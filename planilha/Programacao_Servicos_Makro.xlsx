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Listas" sheetId="2" state="visible" r:id="rId4"/>
    <sheet name="Programação" sheetId="3" state="visible" r:id="rId5"/>
    <sheet name="Semana" sheetId="4" state="visible" r:id="rId6"/>
    <sheet name="Aderência" sheetId="5" state="visible" r:id="rId7"/>
  </sheets>
  <definedNames>
    <definedName function="false" hidden="false" localSheetId="1" name="_xlnm.Print_Area" vbProcedure="false">Listas!$A$1:$F$64</definedName>
    <definedName function="false" hidden="false" localSheetId="2" name="_xlnm.Print_Area" vbProcedure="false">Programação!$A$1:$W$270</definedName>
    <definedName function="false" hidden="false" localSheetId="2" name="_xlnm.Print_Titles" vbProcedure="false">Programação!$1:$3</definedName>
    <definedName function="false" hidden="true" localSheetId="2" name="_xlnm._FilterDatabase" vbProcedure="false">Programação!$A$3:$W$1004</definedName>
    <definedName function="false" hidden="false" localSheetId="3" name="_xlnm.Print_Area" vbProcedure="false">Semana!$A$1:$L$34</definedName>
    <definedName function="false" hidden="false" localSheetId="3" name="_xlnm.Print_Titles" vbProcedure="false">Semana!$1:$5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3" authorId="0">
      <text>
        <r>
          <rPr>
            <sz val="10"/>
            <rFont val="Arial"/>
            <family val="2"/>
          </rPr>
          <t xml:space="preserve">A ATIVIDADE é a unidade desta planilha: “trocar as lonas”, “regular a catraca”.
Um serviço com três atividades ocupa três linhas — mesma OS, mesmo Serviço.
A aderência é medida por aqui.</t>
        </r>
      </text>
    </comment>
    <comment ref="H3" authorId="0">
      <text>
        <r>
          <rPr>
            <sz val="10"/>
            <rFont val="Arial"/>
            <family val="2"/>
          </rPr>
          <t xml:space="preserve">A SEGUNDA-FEIRA da semana. Escreva numa linha e arraste para baixo.
Para repetir a semana passada: copie as linhas, cole no fim e troque só esta coluna — todas as datas andam junto.</t>
        </r>
      </text>
    </comment>
    <comment ref="I3" authorId="0">
      <text>
        <r>
          <rPr>
            <sz val="10"/>
            <rFont val="Arial"/>
            <family val="2"/>
          </rPr>
          <t xml:space="preserve">Seg, Ter, Qua, Qui, Sex, Sáb ou Dom.
Semana + Dia = Data programada, na coluna ao lado.</t>
        </r>
      </text>
    </comment>
    <comment ref="J3" authorId="0">
      <text>
        <r>
          <rPr>
            <sz val="10"/>
            <rFont val="Arial"/>
            <family val="2"/>
          </rPr>
          <t xml:space="preserve">Sai sozinha de Semana + Dia. Não digite aqui.</t>
        </r>
      </text>
    </comment>
    <comment ref="K3" authorId="0">
      <text>
        <r>
          <rPr>
            <sz val="10"/>
            <rFont val="Arial"/>
            <family val="2"/>
          </rPr>
          <t xml:space="preserve">Preencher esta data já conclui a atividade — não precisa mexer em mais nada.</t>
        </r>
      </text>
    </comment>
    <comment ref="M3" authorId="0">
      <text>
        <r>
          <rPr>
            <sz val="10"/>
            <rFont val="Arial"/>
            <family val="2"/>
          </rPr>
          <t xml:space="preserve">Só ao REPROGRAMAR: guarde aqui a data que estava antes.
É contra ela que sai a aderência ao plano original — o indicador que não melhora quando se empurra o serviço para a frente.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3" authorId="0">
      <text>
        <r>
          <rPr>
            <sz val="10"/>
            <rFont val="Arial"/>
            <family val="2"/>
          </rPr>
          <t xml:space="preserve">Quantas atividades por pessoa por dia você considera cheio. Acima disso o dia fica em vermelho na grade.</t>
        </r>
      </text>
    </comment>
  </commentList>
</comments>
</file>

<file path=xl/sharedStrings.xml><?xml version="1.0" encoding="utf-8"?>
<sst xmlns="http://schemas.openxmlformats.org/spreadsheetml/2006/main" count="2107" uniqueCount="533">
  <si>
    <t xml:space="preserve">PROGRAMAÇÃO DE SERVIÇOS  ·  MAKRO TRANSPORTES</t>
  </si>
  <si>
    <t xml:space="preserve">Planejamento e Controle de Manutenção  ·  aderência medida por atividade</t>
  </si>
  <si>
    <t xml:space="preserve">MONTAR A PROGRAMAÇÃO DA SEMANA — quatro passos</t>
  </si>
  <si>
    <t xml:space="preserve">1</t>
  </si>
  <si>
    <t xml:space="preserve">Na aba PROGRAMAÇÃO, clique na setinha do filtro da coluna SITUAÇÃO e deixe marcado só “Na carteira”. Sobram as atividades que ainda não têm dia.</t>
  </si>
  <si>
    <t xml:space="preserve">2</t>
  </si>
  <si>
    <t xml:space="preserve">Nas que você vai fazer, escreva a SEGUNDA-FEIRA da semana na coluna SEMANA. Escreva numa linha e arraste para baixo — vale para todas.</t>
  </si>
  <si>
    <t xml:space="preserve">3</t>
  </si>
  <si>
    <t xml:space="preserve">Escolha o DIA (Seg, Ter, Qua…) e o EXECUTANTE. A coluna Data programada se preenche sozinha.</t>
  </si>
  <si>
    <t xml:space="preserve">4</t>
  </si>
  <si>
    <t xml:space="preserve">Tire o filtro. A aba SEMANA já mostra quantas atividades cada um ficou por dia — e pinta de vermelho quem passou do limite.</t>
  </si>
  <si>
    <t xml:space="preserve">REPETIR A SEMANA QUE PASSOU</t>
  </si>
  <si>
    <t xml:space="preserve">Boa parte da semana se repete: preventivas, calibrações, inspeções. Em vez de digitar tudo de novo:</t>
  </si>
  <si>
    <t xml:space="preserve">Selecione as linhas da semana passada, copie e cole no fim da lista.</t>
  </si>
  <si>
    <t xml:space="preserve">Troque só a coluna SEMANA pela nova segunda-feira. Todas as datas andam junto — é para isso que existe a coluna Semana.</t>
  </si>
  <si>
    <t xml:space="preserve">Apague o que ficou em CONCLUÍDA EM e em MARCAR nas linhas coladas.</t>
  </si>
  <si>
    <t xml:space="preserve">O DIA A DIA</t>
  </si>
  <si>
    <t xml:space="preserve">Concluiu uma atividade?</t>
  </si>
  <si>
    <t xml:space="preserve">Escreva a data em CONCLUÍDA EM. Só isso — a situação muda sozinha e a aderência já conta.</t>
  </si>
  <si>
    <t xml:space="preserve">Vai empurrar para outro dia?</t>
  </si>
  <si>
    <t xml:space="preserve">Antes de mudar, copie a data de hoje para a coluna 1ª DATA. Depois troque o Dia (ou a Semana) e escreva o MOTIVO. Sem a 1ª data, a aderência ao plano original não tem contra o que medir.</t>
  </si>
  <si>
    <t xml:space="preserve">Serviço em empresa externa?</t>
  </si>
  <si>
    <t xml:space="preserve">Escreva o nome da empresa no EXECUTANTE com “(externo)” no fim — a coluna Oficina se marca sozinha como Terceirizada.</t>
  </si>
  <si>
    <t xml:space="preserve">Cancelou?</t>
  </si>
  <si>
    <t xml:space="preserve">Escolha “Cancelada” na coluna MARCAR. Ela sai dos dois lados da conta da aderência.</t>
  </si>
  <si>
    <t xml:space="preserve">Serviço novo sem dia ainda?</t>
  </si>
  <si>
    <t xml:space="preserve">Escreva tudo menos a Semana e o Dia. Ele fica na carteira até você programar.</t>
  </si>
  <si>
    <t xml:space="preserve">COMO A ADERÊNCIA É CALCULADA</t>
  </si>
  <si>
    <t xml:space="preserve">Aderência  =  atividades concluídas  ÷  atividades programadas no período</t>
  </si>
  <si>
    <t xml:space="preserve">Cada linha da aba Programação é uma ATIVIDADE — “trocar as lonas”, “regular a catraca”. Um serviço com três atividades ocupa três linhas. Se duas saírem e uma ficar, a aderência mostra 67%: nem some da conta, nem finge que fechou.</t>
  </si>
  <si>
    <t xml:space="preserve">A aba Aderência traz ainda dois recortes que a conta principal não mostra:</t>
  </si>
  <si>
    <t xml:space="preserve">    •  Pontualidade — das que foram concluídas, quantas saíram até o próprio dia.</t>
  </si>
  <si>
    <t xml:space="preserve">    •  Aderência ao plano original — mede contra a 1ª data programada. É a única que não melhora quando se empurra o serviço para a frente.</t>
  </si>
  <si>
    <t xml:space="preserve">AS ABAS E AS CORES</t>
  </si>
  <si>
    <t xml:space="preserve">Programação</t>
  </si>
  <si>
    <t xml:space="preserve">Onde se trabalha. Uma linha por atividade.</t>
  </si>
  <si>
    <t xml:space="preserve">Semana</t>
  </si>
  <si>
    <t xml:space="preserve">A carga de cada executante em cada dia.</t>
  </si>
  <si>
    <t xml:space="preserve">Aderência</t>
  </si>
  <si>
    <t xml:space="preserve">Os indicadores do período, por executante, frota e tipo.</t>
  </si>
  <si>
    <t xml:space="preserve">Listas</t>
  </si>
  <si>
    <t xml:space="preserve">Os nomes das caixas de seleção.</t>
  </si>
  <si>
    <t xml:space="preserve">Amarelo</t>
  </si>
  <si>
    <t xml:space="preserve">o que você sempre preenche, e as células de controle</t>
  </si>
  <si>
    <t xml:space="preserve">Azul claro</t>
  </si>
  <si>
    <t xml:space="preserve">Semana e Dia — é onde se programa</t>
  </si>
  <si>
    <t xml:space="preserve">Cinza claro</t>
  </si>
  <si>
    <t xml:space="preserve">só quando acontecer: concluir, cancelar, reprogramar</t>
  </si>
  <si>
    <t xml:space="preserve">Cinza</t>
  </si>
  <si>
    <t xml:space="preserve">calculado pela planilha — não digite</t>
  </si>
  <si>
    <t xml:space="preserve">A planilha já veio carregada com a programação de 24 a 28/08/26 que você imprimiu do site: 260 atividades, sendo 39 ainda na carteira. As da carteira entraram como uma linha por serviço, porque a folha impressa só traz a contagem de pendências — quebre em uma linha por atividade quando for programar.</t>
  </si>
  <si>
    <t xml:space="preserve">Há 1.000 linhas prontas na aba Programação, com as fórmulas das colunas cinzas já em todas elas. Para imprimir a semana: filtre a coluna Data programada pelo período e mande imprimir — sai só o que o filtro deixou visível.</t>
  </si>
  <si>
    <t xml:space="preserve">LISTAS DE APOIO</t>
  </si>
  <si>
    <t xml:space="preserve">Alimentam as caixas de seleção da aba Programação. Acrescente nomes aqui e as caixas acompanham. Não deixe linha em branco no meio de uma lista.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</si>
  <si>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</si>
  <si>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</si>
  <si>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</si>
  <si>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</si>
  <si>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da reprogramação</t>
  </si>
  <si>
    <t xml:space="preserve">Dia</t>
  </si>
  <si>
    <t xml:space="preserve">Adilton</t>
  </si>
  <si>
    <t xml:space="preserve">F-1038</t>
  </si>
  <si>
    <t xml:space="preserve">Corretiva</t>
  </si>
  <si>
    <t xml:space="preserve">Concluída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</si>
  <si>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</si>
  <si>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</si>
  <si>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</si>
  <si>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</si>
  <si>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</si>
  <si>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Em execução</t>
  </si>
  <si>
    <t xml:space="preserve">Frota em viagem</t>
  </si>
  <si>
    <t xml:space="preserve">Ter</t>
  </si>
  <si>
    <t xml:space="preserve">Alexandre</t>
  </si>
  <si>
    <t xml:space="preserve">F-1060</t>
  </si>
  <si>
    <t xml:space="preserve">Preditiva</t>
  </si>
  <si>
    <t xml:space="preserve">Cancelada</t>
  </si>
  <si>
    <t xml:space="preserve">Falta de mão de obra</t>
  </si>
  <si>
    <t xml:space="preserve">Qua</t>
  </si>
  <si>
    <t xml:space="preserve">Gabriel</t>
  </si>
  <si>
    <t xml:space="preserve">F-1061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</si>
  <si>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</si>
  <si>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</si>
  <si>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</si>
  <si>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</si>
  <si>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F-1064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</si>
  <si>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</si>
  <si>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</si>
  <si>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</si>
  <si>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</si>
  <si>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F-1065</t>
  </si>
  <si>
    <t xml:space="preserve">Oficina cheia</t>
  </si>
  <si>
    <t xml:space="preserve">Sáb</t>
  </si>
  <si>
    <t xml:space="preserve">Luiz Paulo</t>
  </si>
  <si>
    <t xml:space="preserve">F-150</t>
  </si>
  <si>
    <t xml:space="preserve">Aguardando terceiro</t>
  </si>
  <si>
    <t xml:space="preserve">Dom</t>
  </si>
  <si>
    <t xml:space="preserve">Thawan</t>
  </si>
  <si>
    <t xml:space="preserve">F-246</t>
  </si>
  <si>
    <t xml:space="preserve">Box bloqueado</t>
  </si>
  <si>
    <t xml:space="preserve">ASX (externo)</t>
  </si>
  <si>
    <t xml:space="preserve">F-326</t>
  </si>
  <si>
    <t xml:space="preserve">Eduardo da sticker (externo)</t>
  </si>
  <si>
    <t xml:space="preserve">F-327</t>
  </si>
  <si>
    <t xml:space="preserve">Molas Pinheiro (externo)</t>
  </si>
  <si>
    <t xml:space="preserve">F-328</t>
  </si>
  <si>
    <t xml:space="preserve">Rodo Ceará (externo)</t>
  </si>
  <si>
    <t xml:space="preserve">F-331</t>
  </si>
  <si>
    <t xml:space="preserve">F-333</t>
  </si>
  <si>
    <t xml:space="preserve">F-401</t>
  </si>
  <si>
    <t xml:space="preserve">F-402</t>
  </si>
  <si>
    <t xml:space="preserve">F-423</t>
  </si>
  <si>
    <t xml:space="preserve">F-424</t>
  </si>
  <si>
    <t xml:space="preserve">F-426</t>
  </si>
  <si>
    <t xml:space="preserve">F-457</t>
  </si>
  <si>
    <t xml:space="preserve">F-458</t>
  </si>
  <si>
    <t xml:space="preserve">F-485</t>
  </si>
  <si>
    <t xml:space="preserve">F-613</t>
  </si>
  <si>
    <t xml:space="preserve">F-614</t>
  </si>
  <si>
    <t xml:space="preserve">F-617</t>
  </si>
  <si>
    <t xml:space="preserve">F-618</t>
  </si>
  <si>
    <t xml:space="preserve">F-619</t>
  </si>
  <si>
    <t xml:space="preserve">F-620</t>
  </si>
  <si>
    <t xml:space="preserve">F-623</t>
  </si>
  <si>
    <t xml:space="preserve">F-624</t>
  </si>
  <si>
    <t xml:space="preserve">F-626</t>
  </si>
  <si>
    <t xml:space="preserve">F-627</t>
  </si>
  <si>
    <t xml:space="preserve">F-683</t>
  </si>
  <si>
    <t xml:space="preserve">F-696</t>
  </si>
  <si>
    <t xml:space="preserve">F-700</t>
  </si>
  <si>
    <t xml:space="preserve">F-702</t>
  </si>
  <si>
    <t xml:space="preserve">F-751</t>
  </si>
  <si>
    <t xml:space="preserve">F-752</t>
  </si>
  <si>
    <t xml:space="preserve">F-754</t>
  </si>
  <si>
    <t xml:space="preserve">F-763</t>
  </si>
  <si>
    <t xml:space="preserve">F-789</t>
  </si>
  <si>
    <t xml:space="preserve">F-815</t>
  </si>
  <si>
    <t xml:space="preserve">F-818</t>
  </si>
  <si>
    <t xml:space="preserve">F-820</t>
  </si>
  <si>
    <t xml:space="preserve">F-856</t>
  </si>
  <si>
    <t xml:space="preserve">F-871</t>
  </si>
  <si>
    <t xml:space="preserve">F-877</t>
  </si>
  <si>
    <t xml:space="preserve">F-883</t>
  </si>
  <si>
    <t xml:space="preserve">F-936</t>
  </si>
  <si>
    <t xml:space="preserve">F-938</t>
  </si>
  <si>
    <t xml:space="preserve">F-962</t>
  </si>
  <si>
    <t xml:space="preserve">F-964</t>
  </si>
  <si>
    <t xml:space="preserve">F-966</t>
  </si>
  <si>
    <t xml:space="preserve">F-969</t>
  </si>
  <si>
    <t xml:space="preserve">F-970</t>
  </si>
  <si>
    <t xml:space="preserve">F-974</t>
  </si>
  <si>
    <t xml:space="preserve">F-982</t>
  </si>
  <si>
    <t xml:space="preserve">PROGRAMAÇÃO DE SERVIÇOS  ·  MAKRO TRANSPORTES  ·  uma linha por atividade</t>
  </si>
  <si>
    <t xml:space="preserve">1 · SEMPRE — o que é o serviço</t>
  </si>
  <si>
    <t xml:space="preserve">2 · PROGRAMAR — escreva a semana e o dia</t>
  </si>
  <si>
    <t xml:space="preserve">3 · SÓ QUANDO ACONTECER</t>
  </si>
  <si>
    <t xml:space="preserve">CALCULADO — não digite aqui</t>
  </si>
  <si>
    <t xml:space="preserve">Nº</t>
  </si>
  <si>
    <t xml:space="preserve">OS</t>
  </si>
  <si>
    <t xml:space="preserve">Frota</t>
  </si>
  <si>
    <t xml:space="preserve">Serviço</t>
  </si>
  <si>
    <t xml:space="preserve">Atividade</t>
  </si>
  <si>
    <t xml:space="preserve">Tipo</t>
  </si>
  <si>
    <t xml:space="preserve">Executante</t>
  </si>
  <si>
    <t xml:space="preserve">Data programada</t>
  </si>
  <si>
    <t xml:space="preserve">Concluída em</t>
  </si>
  <si>
    <t xml:space="preserve">1ª data</t>
  </si>
  <si>
    <t xml:space="preserve">Motivo</t>
  </si>
  <si>
    <t xml:space="preserve">Obs.</t>
  </si>
  <si>
    <t xml:space="preserve">Situação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</si>
  <si>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</si>
  <si>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</si>
  <si>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</si>
  <si>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</si>
  <si>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</si>
  <si>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</si>
  <si>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</si>
  <si>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Enbuxamento e aperto das folgas dos tirantes</t>
  </si>
  <si>
    <t xml:space="preserve">Enbuxamento</t>
  </si>
  <si>
    <t xml:space="preserve">Aperto das folgas dos tirantes</t>
  </si>
  <si>
    <t xml:space="preserve">Calibração e troca de pneus</t>
  </si>
  <si>
    <t xml:space="preserve">Calibrar e trocar pneus</t>
  </si>
  <si>
    <t xml:space="preserve">Airton, Luiz Paulo</t>
  </si>
  <si>
    <t xml:space="preserve">Troca e calibração de pneus</t>
  </si>
  <si>
    <t xml:space="preserve">021188</t>
  </si>
  <si>
    <t xml:space="preserve">Realizar troca de pneus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</si>
  <si>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</si>
  <si>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</si>
  <si>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</si>
  <si>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</si>
  <si>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</si>
  <si>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Realizar adesivagem</t>
  </si>
  <si>
    <t xml:space="preserve">Adesivar frota</t>
  </si>
  <si>
    <t xml:space="preserve">Montar adesivos 327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</si>
  <si>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</si>
  <si>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</si>
  <si>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Corrigir ligação da chave geral (serviço interno Matriz)</t>
  </si>
  <si>
    <t xml:space="preserve">Verificado intercooler com reparos, ficando apenas em observação de substituição (serviço interno Matriz)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</si>
  <si>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</si>
  <si>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</si>
  <si>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Fixar banco do passageiro LD (serviço interno Matriz)</t>
  </si>
  <si>
    <t xml:space="preserve">Corrigir empeno do aro segundo eixo LD (serviço interno Matriz)</t>
  </si>
  <si>
    <t xml:space="preserve">Programar substituição das juntas do escapamento gastas (serviço interno Matriz/20855371, realizar acompanhamento (6 unidades))</t>
  </si>
  <si>
    <t xml:space="preserve">Substituir estribo da cabine LD (3175928/realizar acompanhamento)</t>
  </si>
  <si>
    <t xml:space="preserve">Substituir para-sol avariado (82245535)</t>
  </si>
  <si>
    <t xml:space="preserve">Repor acabamento do cinto do banco do motorista (0586501)</t>
  </si>
  <si>
    <t xml:space="preserve">Realizar reparo no engate de marchas</t>
  </si>
  <si>
    <t xml:space="preserve">Realizar reparo na marcha ré (Dificuldade no engate)</t>
  </si>
  <si>
    <t xml:space="preserve">Mangote do arrefecimento folgado</t>
  </si>
  <si>
    <t xml:space="preserve">Realizar troca de óleo e filtro</t>
  </si>
  <si>
    <t xml:space="preserve">Adilton, Gabriel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</si>
  <si>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</si>
  <si>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</si>
  <si>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</si>
  <si>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</si>
  <si>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</si>
  <si>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</si>
  <si>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</si>
  <si>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</si>
  <si>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</si>
  <si>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</si>
  <si>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</si>
  <si>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Verificar válvula de freio</t>
  </si>
  <si>
    <t xml:space="preserve">Sistema: Freios</t>
  </si>
  <si>
    <t xml:space="preserve">021186</t>
  </si>
  <si>
    <t xml:space="preserve">Realizar troca ou calibração dos pneus</t>
  </si>
  <si>
    <t xml:space="preserve">Mudou a prioridade trocado pela frota 1064 e 1065</t>
  </si>
  <si>
    <t xml:space="preserve">Preventiva da frota 614 João Camara RN</t>
  </si>
  <si>
    <t xml:space="preserve">Realizar troca de oleo e filtros</t>
  </si>
  <si>
    <t xml:space="preserve">Trocar pneus</t>
  </si>
  <si>
    <t xml:space="preserve">Baixa de pendências backlog</t>
  </si>
  <si>
    <t xml:space="preserve">1. Substituir reservatório do líquido de arrefecimento contaminado</t>
  </si>
  <si>
    <t xml:space="preserve">Adilton, Gabriel, Júnior</t>
  </si>
  <si>
    <t xml:space="preserve">Sistema: Estruturas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</si>
  <si>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</si>
  <si>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</si>
  <si>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</si>
  <si>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</si>
  <si>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</si>
  <si>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</si>
  <si>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</si>
  <si>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</si>
  <si>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</si>
  <si>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</si>
  <si>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</si>
  <si>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</si>
  <si>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</si>
  <si>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</si>
  <si>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</si>
  <si>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</si>
  <si>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</si>
  <si>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</si>
  <si>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</si>
  <si>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Tapeçaria</t>
  </si>
  <si>
    <t xml:space="preserve">Realizar tapeçaria</t>
  </si>
  <si>
    <t xml:space="preserve">Trocar o cabeçote</t>
  </si>
  <si>
    <t xml:space="preserve">Trocar cabeçote de combustível</t>
  </si>
  <si>
    <t xml:space="preserve">Adilton, Alexandre</t>
  </si>
  <si>
    <t xml:space="preserve">Bomba de combustível</t>
  </si>
  <si>
    <t xml:space="preserve">Realizar ajuste no velocímetro</t>
  </si>
  <si>
    <t xml:space="preserve">Programar a substituição das juntas do coletor de escapamento (20855371 (6 unidades))</t>
  </si>
  <si>
    <t xml:space="preserve">Programar recuperação das barras de direção curta e longa (serviço empresa especializada)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</si>
  <si>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</si>
  <si>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</si>
  <si>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</si>
  <si>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Programar substituição das mangueiras do trocador de calor da caixa de marchas devido vazamento (21818292/21818296)</t>
  </si>
  <si>
    <t xml:space="preserve">Substituir vedação do sensor de velocidade da caixa de marchas devido vazamento (serviço interno Matriz)</t>
  </si>
  <si>
    <t xml:space="preserve">Substituir vedação do tubo de enchimento de óleo no cárter devido vazamento (serviço interno Matriz)</t>
  </si>
  <si>
    <t xml:space="preserve">Repor silenciador da válvula APU (4350995)</t>
  </si>
  <si>
    <t xml:space="preserve">Corrigir esguicho do limpador LE (serviço interno Matriz)</t>
  </si>
  <si>
    <t xml:space="preserve">Realizar lavagem e verificar vazamento LE do motor, se da junta do cárter (serviço interno Matriz/20541940)</t>
  </si>
  <si>
    <t xml:space="preserve">Substituir vedação do sensor de nível de temperatura de óleo do cárter devido vazamento (serviço interno Matriz)</t>
  </si>
  <si>
    <t xml:space="preserve">Corrigir fixação carenagem frontal LE, repor parafusos (serviço interno Matriz)</t>
  </si>
  <si>
    <t xml:space="preserve">Montar grade</t>
  </si>
  <si>
    <t xml:space="preserve">Montar retrovisor</t>
  </si>
  <si>
    <t xml:space="preserve">Saia lateral</t>
  </si>
  <si>
    <t xml:space="preserve">* Diagnosticar e sanar falha no sistema do motor: contrapressão dos gases de escape</t>
  </si>
  <si>
    <t xml:space="preserve">* Realizar substituição do cárter reparado</t>
  </si>
  <si>
    <t xml:space="preserve">* Substituir junta da tampa de válvulas com vazamento</t>
  </si>
  <si>
    <t xml:space="preserve">* Repor placa de proteção da dosadora do arla</t>
  </si>
  <si>
    <t xml:space="preserve">* Substituir tomada da bomba do arla avariada</t>
  </si>
  <si>
    <t xml:space="preserve">* Corrigir iluminação farol de neblina LD</t>
  </si>
  <si>
    <t xml:space="preserve">* Corrigir fixação das mangueiras e do chicote elétrico traseiro</t>
  </si>
  <si>
    <t xml:space="preserve">* Substituir conexão pneumática traseira com vazamento</t>
  </si>
  <si>
    <t xml:space="preserve">* Corrigir fixação da tampa do catalisador</t>
  </si>
  <si>
    <t xml:space="preserve">* Substituir saia lateral da cabine LD avariada</t>
  </si>
  <si>
    <t xml:space="preserve">* Substituir extensão da porta LD</t>
  </si>
  <si>
    <t xml:space="preserve">* Substituir tampa da grade frontal e corrigir funilaria/pintura LD</t>
  </si>
  <si>
    <t xml:space="preserve">* Repor tampa do estribo LE e LD</t>
  </si>
  <si>
    <t xml:space="preserve">* Repor capa do espelho retrovisor inferior LE e acabamento inferior do mesmo</t>
  </si>
  <si>
    <t xml:space="preserve">* Substituir alças do pega mão</t>
  </si>
  <si>
    <t xml:space="preserve">* Substituir paralama traseiro LE</t>
  </si>
  <si>
    <t xml:space="preserve">* Fixar pisante entre longarinas</t>
  </si>
  <si>
    <t xml:space="preserve">* Substituir estribo inferior LE</t>
  </si>
  <si>
    <t xml:space="preserve">* Repor acabamento frontal do parachoque</t>
  </si>
  <si>
    <t xml:space="preserve">* Retirar giroflex e substituir quebra sol avariado</t>
  </si>
  <si>
    <t xml:space="preserve">* Corrigir tapeçaria interna da cabine, repor cortinas e base da mesma</t>
  </si>
  <si>
    <t xml:space="preserve">* Pega mão - 1</t>
  </si>
  <si>
    <t xml:space="preserve">* Para sol - 1</t>
  </si>
  <si>
    <t xml:space="preserve">* Extensão de paralama LD - 1</t>
  </si>
  <si>
    <t xml:space="preserve">* Retrovisor LE - 1</t>
  </si>
  <si>
    <t xml:space="preserve">* Retrovisor LD - 1</t>
  </si>
  <si>
    <t xml:space="preserve">Substituir alças do pega mão (OS 20404 · 20383543 (2 unidades))</t>
  </si>
  <si>
    <t xml:space="preserve">Aplicar faixas refletivas</t>
  </si>
  <si>
    <t xml:space="preserve">Aplicar faixa refletiva</t>
  </si>
  <si>
    <t xml:space="preserve">Calibrar ou trocar pneus</t>
  </si>
  <si>
    <t xml:space="preserve">Corrigir iluminação da lanterna traseira LE e LD (serviço interno Matriz)</t>
  </si>
  <si>
    <t xml:space="preserve">Corrigir iluminação das lanternas laterais LD e LE (serviço interno Matriz)</t>
  </si>
  <si>
    <t xml:space="preserve">Corrigir iluminação traseira: luz e sirene de ré (serviço interno Matriz)</t>
  </si>
  <si>
    <t xml:space="preserve">Extrair parafuso quebrado da tampa do cubo de roda primeiro eixo LD (serviço interno Matriz)</t>
  </si>
  <si>
    <t xml:space="preserve">Corrigir empeno no pé de apoio da carreta LD (serviço interno Matriz)</t>
  </si>
  <si>
    <t xml:space="preserve">Corrigir trinca na estrutura acima do primeiro eixo LE (serviço interno Matriz)</t>
  </si>
  <si>
    <t xml:space="preserve">Repor estepe do implemento (serviço interno Matriz)</t>
  </si>
  <si>
    <t xml:space="preserve">Corrigir estrutura das grades de proteção do ciclista LD (serviço empresa especializada)</t>
  </si>
  <si>
    <t xml:space="preserve">Fixar grades de proteção do ciclista LE (serviço interno Matriz)</t>
  </si>
  <si>
    <t xml:space="preserve">Baixa de pendências backlog — F-815</t>
  </si>
  <si>
    <t xml:space="preserve">Completar nível de óleo do motor e corrigir vazamentos no mesmo (OS ABRIR OS · serviço interno Matriz)</t>
  </si>
  <si>
    <t xml:space="preserve">Airton, Heliton, Luiz Paulo</t>
  </si>
  <si>
    <t xml:space="preserve">Gerada pela importação do backlog (Cópia de 03- ACOMPANHAMENTO DE BACKLOG (Salvo automaticamente).xlsx)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</si>
  <si>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</si>
  <si>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</si>
  <si>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</si>
  <si>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</si>
  <si>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</si>
  <si>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</si>
  <si>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</si>
  <si>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</si>
  <si>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Substituir chave geral avariada (OS 7158 · 21243844)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</si>
  <si>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</si>
  <si>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</si>
  <si>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</si>
  <si>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</si>
  <si>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</si>
  <si>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</si>
  <si>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</si>
  <si>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</si>
  <si>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</si>
  <si>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</si>
  <si>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</si>
  <si>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</si>
  <si>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</si>
  <si>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</si>
  <si>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</si>
  <si>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</si>
  <si>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</si>
  <si>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</si>
  <si>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</si>
  <si>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</si>
  <si>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</si>
  <si>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</si>
  <si>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</si>
  <si>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</si>
  <si>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Gabriel, Júnior</t>
  </si>
  <si>
    <t xml:space="preserve">Sistema: Motor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</si>
  <si>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</si>
  <si>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</si>
  <si>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</si>
  <si>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</si>
  <si>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Instalar puxador e maquna doo vidro</t>
  </si>
  <si>
    <t xml:space="preserve">Instalar puxador</t>
  </si>
  <si>
    <t xml:space="preserve">Máquina do vidro</t>
  </si>
  <si>
    <t xml:space="preserve">Cabo do puxador</t>
  </si>
  <si>
    <t xml:space="preserve">PE</t>
  </si>
  <si>
    <t xml:space="preserve">Trocar palhetas do climatizador</t>
  </si>
  <si>
    <t xml:space="preserve">Limpeza do climatizador</t>
  </si>
  <si>
    <t xml:space="preserve">Alinhar</t>
  </si>
  <si>
    <t xml:space="preserve">7186 7166 7187 7189 7166 7171 7198 7199 7200 7194 7185</t>
  </si>
  <si>
    <t xml:space="preserve">inspeção backlog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</si>
  <si>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</si>
  <si>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</si>
  <si>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</si>
  <si>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</si>
  <si>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</si>
  <si>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</si>
  <si>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</si>
  <si>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</si>
  <si>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</si>
  <si>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</si>
  <si>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</si>
  <si>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</si>
  <si>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</si>
  <si>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</si>
  <si>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</si>
  <si>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</si>
  <si>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</si>
  <si>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</si>
  <si>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</si>
  <si>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</si>
  <si>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</si>
  <si>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</si>
  <si>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</si>
  <si>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</si>
  <si>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</si>
  <si>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</si>
  <si>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</si>
  <si>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</si>
  <si>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</si>
  <si>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</si>
  <si>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</si>
  <si>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</si>
  <si>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</si>
  <si>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</si>
  <si>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007210</t>
  </si>
  <si>
    <t xml:space="preserve">Montagem da caixa de direção</t>
  </si>
  <si>
    <t xml:space="preserve">Trocar sensor de nível de água</t>
  </si>
  <si>
    <t xml:space="preserve">Alexandre, Heliton</t>
  </si>
  <si>
    <t xml:space="preserve">Mudança de programação seguindo agenda correta</t>
  </si>
  <si>
    <t xml:space="preserve">Sistema: Direção</t>
  </si>
  <si>
    <t xml:space="preserve">Fixar chicote elétrico solto entre as travas da cabine (OS 7092 · serviço interno base Mossoró)</t>
  </si>
  <si>
    <t xml:space="preserve">Fixar chicote elétrico solto ao lado do bloco de comando (OS 7093 · serviço interno base Mossoró)</t>
  </si>
  <si>
    <t xml:space="preserve">Substituir acabamento do painel e fixar tomada OBD (OS 7094 · A 940 680 08 06)</t>
  </si>
  <si>
    <t xml:space="preserve">Substituir acabamentos do painel, tampa da caixa de fusíveis (OS 7095 · A 940 680 29 06/A 940 680 15 06)</t>
  </si>
  <si>
    <t xml:space="preserve">Substituir tampa do tanque de arla(tanque completo 966) (OS 7097 · Kit de Reparo do Bocal do Tanque de Arla 11-KRT1003)</t>
  </si>
  <si>
    <t xml:space="preserve">Repor espelho contrapeira do terceiro eixo LE e verificar acionamento/regulagem do freio (OS 7094 · serviço interno base Mossoró / A 305</t>
  </si>
  <si>
    <t xml:space="preserve">Fixar grade frontal solta, faltando parafusos (OS 7095 · serviço interno base Mossoró)</t>
  </si>
  <si>
    <t xml:space="preserve">Repor janela de inspeção frontal (OS 7098 · A 940 888 11 23)</t>
  </si>
  <si>
    <t xml:space="preserve">Completar oleo hidraulico da direção</t>
  </si>
  <si>
    <t xml:space="preserve">Realizar lavagem e corrigir vazamento na bomba de direção hidraulica</t>
  </si>
  <si>
    <t xml:space="preserve">Recuperar caixa de direção com vazamento</t>
  </si>
  <si>
    <t xml:space="preserve">Repor parafuso de fixação da grade do farol LE</t>
  </si>
  <si>
    <t xml:space="preserve">Verificar ou substituir trancas das portas LD e LE</t>
  </si>
  <si>
    <t xml:space="preserve">Substituir ventoinha avariada</t>
  </si>
  <si>
    <t xml:space="preserve">Montagem do carter e juntas</t>
  </si>
  <si>
    <t xml:space="preserve">Aplicar oleo do motor</t>
  </si>
  <si>
    <t xml:space="preserve">Fixar chicote elétrico</t>
  </si>
  <si>
    <t xml:space="preserve">Trocar sensor do arla</t>
  </si>
  <si>
    <t xml:space="preserve">Trocar e calibrar pneus</t>
  </si>
  <si>
    <t xml:space="preserve">F-327 — sobra de Montar adesivos 327</t>
  </si>
  <si>
    <t xml:space="preserve">8 pendência(s) a detalhar — quebre em uma linha por atividade quando for programar</t>
  </si>
  <si>
    <t xml:space="preserve">Baixa de pendências backlog — F-328</t>
  </si>
  <si>
    <t xml:space="preserve">4 pendência(s) a detalhar — quebre em uma linha por atividade quando for programar</t>
  </si>
  <si>
    <t xml:space="preserve">Baixa de pendências backlog — F-333</t>
  </si>
  <si>
    <t xml:space="preserve">23 pendência(s) a detalhar — quebre em uma linha por atividade quando for programar</t>
  </si>
  <si>
    <t xml:space="preserve">Baixa de pendências backlog — F-401</t>
  </si>
  <si>
    <t xml:space="preserve">13 pendência(s) a detalhar — quebre em uma linha por atividade quando for programar</t>
  </si>
  <si>
    <t xml:space="preserve">Baixa de pendências backlog — F-402</t>
  </si>
  <si>
    <t xml:space="preserve">14 pendência(s) a detalhar — quebre em uma linha por atividade quando for programar</t>
  </si>
  <si>
    <t xml:space="preserve">Baixa de pendências backlog — F-423</t>
  </si>
  <si>
    <t xml:space="preserve">11 pendência(s) a detalhar — quebre em uma linha por atividade quando for programar</t>
  </si>
  <si>
    <t xml:space="preserve">Baixa de pendências backlog — F-424</t>
  </si>
  <si>
    <t xml:space="preserve">31 pendência(s) a detalhar — quebre em uma linha por atividade quando for programar</t>
  </si>
  <si>
    <t xml:space="preserve">Baixa de pendências backlog — F-426</t>
  </si>
  <si>
    <t xml:space="preserve">5 pendência(s) a detalhar — quebre em uma linha por atividade quando for programar</t>
  </si>
  <si>
    <t xml:space="preserve">Baixa de pendências backlog — F-613</t>
  </si>
  <si>
    <t xml:space="preserve">Baixa de pendências backlog — F-614</t>
  </si>
  <si>
    <t xml:space="preserve">7 pendência(s) a detalhar — quebre em uma linha por atividade quando for programar</t>
  </si>
  <si>
    <t xml:space="preserve">Baixa de pendências backlog — F-618</t>
  </si>
  <si>
    <t xml:space="preserve">20 pendência(s) a detalhar — quebre em uma linha por atividade quando for programar</t>
  </si>
  <si>
    <t xml:space="preserve">Baixa de pendências backlog — F-619</t>
  </si>
  <si>
    <t xml:space="preserve">12 pendência(s) a detalhar — quebre em uma linha por atividade quando for programar</t>
  </si>
  <si>
    <t xml:space="preserve">Baixa de pendências backlog — F-620</t>
  </si>
  <si>
    <t xml:space="preserve">Baixa de pendências backlog — F-623</t>
  </si>
  <si>
    <t xml:space="preserve">F-624 — sobra de Baixa de pendências backlog</t>
  </si>
  <si>
    <t xml:space="preserve">2 pendência(s) a detalhar — quebre em uma linha por atividade quando for programar</t>
  </si>
  <si>
    <t xml:space="preserve">F-626 — sobra de Trocar o cabeçote</t>
  </si>
  <si>
    <t xml:space="preserve">3 pendência(s) a detalhar — quebre em uma linha por atividade quando for programar</t>
  </si>
  <si>
    <t xml:space="preserve">F-627 — sobra de Baixa de pendências backlog</t>
  </si>
  <si>
    <t xml:space="preserve">Baixa de pendências backlog — F-683</t>
  </si>
  <si>
    <t xml:space="preserve">9 pendência(s) a detalhar — quebre em uma linha por atividade quando for programar</t>
  </si>
  <si>
    <t xml:space="preserve">Baixa de pendências backlog — F-700</t>
  </si>
  <si>
    <t xml:space="preserve">16 pendência(s) a detalhar — quebre em uma linha por atividade quando for programar</t>
  </si>
  <si>
    <t xml:space="preserve">Baixa de pendências backlog — F-702</t>
  </si>
  <si>
    <t xml:space="preserve">10 pendência(s) a detalhar — quebre em uma linha por atividade quando for programar</t>
  </si>
  <si>
    <t xml:space="preserve">Baixa de pendências backlog — F-751</t>
  </si>
  <si>
    <t xml:space="preserve">Baixa de pendências backlog — F-752</t>
  </si>
  <si>
    <t xml:space="preserve">Baixa de pendências backlog — F-754</t>
  </si>
  <si>
    <t xml:space="preserve">F-789 — sobra de Calibração e troca de pneus</t>
  </si>
  <si>
    <t xml:space="preserve">Baixa de pendências backlog — F-818</t>
  </si>
  <si>
    <t xml:space="preserve">Baixa de pendências backlog — F-820</t>
  </si>
  <si>
    <t xml:space="preserve">Baixa de pendências backlog — F-871</t>
  </si>
  <si>
    <t xml:space="preserve">Baixa de pendências backlog — F-877</t>
  </si>
  <si>
    <t xml:space="preserve">6 pendência(s) a detalhar — quebre em uma linha por atividade quando for programar</t>
  </si>
  <si>
    <t xml:space="preserve">Baixa de pendências backlog — F-883</t>
  </si>
  <si>
    <t xml:space="preserve">Baixa de pendências backlog — F-936</t>
  </si>
  <si>
    <t xml:space="preserve">Baixa de pendências backlog — F-962</t>
  </si>
  <si>
    <t xml:space="preserve">Baixa de pendências backlog — F-969</t>
  </si>
  <si>
    <t xml:space="preserve">Baixa de pendências backlog — F-970</t>
  </si>
  <si>
    <t xml:space="preserve">Baixa de pendências backlog — F-974</t>
  </si>
  <si>
    <t xml:space="preserve">Baixa de pendências backlog — F-982</t>
  </si>
  <si>
    <t xml:space="preserve">Baixa de pendências backlog — F-1038</t>
  </si>
  <si>
    <t xml:space="preserve">Baixa de pendências backlog — F-1039</t>
  </si>
  <si>
    <t xml:space="preserve">Baixa de pendências backlog — F-1060</t>
  </si>
  <si>
    <t xml:space="preserve">Baixa de pendências backlog — F-1061</t>
  </si>
  <si>
    <t xml:space="preserve">GRADE DA SEMANA  ·  atividades por executante e por dia</t>
  </si>
  <si>
    <t xml:space="preserve">Semana (segunda-feira):</t>
  </si>
  <si>
    <t xml:space="preserve">←  troque para ver outra semana</t>
  </si>
  <si>
    <t xml:space="preserve">Alerta acima de:</t>
  </si>
  <si>
    <t xml:space="preserve">atividades por dia</t>
  </si>
  <si>
    <t xml:space="preserve">Programadas</t>
  </si>
  <si>
    <t xml:space="preserve">Concluídas</t>
  </si>
  <si>
    <t xml:space="preserve">Vencidas</t>
  </si>
  <si>
    <t xml:space="preserve">— sem executante definido —</t>
  </si>
  <si>
    <t xml:space="preserve">TOTAL DE ATIVIDADES</t>
  </si>
  <si>
    <t xml:space="preserve">Na carteira, ainda sem dia:</t>
  </si>
  <si>
    <t xml:space="preserve">atividade(s) esperando encaixe — filtre a coluna Situação por “Na carteira” na aba Programação e escreva a Semana e o Dia</t>
  </si>
  <si>
    <t xml:space="preserve">ADERÊNCIA DA PROGRAMAÇÃO  ·  medida por atividade</t>
  </si>
  <si>
    <t xml:space="preserve">De:</t>
  </si>
  <si>
    <t xml:space="preserve">←  troque as duas datas para analisar outro período</t>
  </si>
  <si>
    <t xml:space="preserve">Até:</t>
  </si>
  <si>
    <t xml:space="preserve">As atividades entram pelo dia para o qual foram PROGRAMADAS.</t>
  </si>
  <si>
    <t xml:space="preserve">Indicador</t>
  </si>
  <si>
    <t xml:space="preserve">Valor</t>
  </si>
  <si>
    <t xml:space="preserve">Como é medido</t>
  </si>
  <si>
    <t xml:space="preserve">Atividades programadas</t>
  </si>
  <si>
    <t xml:space="preserve">com data programada no período, exceto as canceladas</t>
  </si>
  <si>
    <t xml:space="preserve">com data em Concluída em, ou marcadas como Concluída</t>
  </si>
  <si>
    <t xml:space="preserve">Aderência por atividade</t>
  </si>
  <si>
    <t xml:space="preserve">concluídas ÷ programadas — o indicador principal</t>
  </si>
  <si>
    <t xml:space="preserve">Concluídas no prazo</t>
  </si>
  <si>
    <t xml:space="preserve">concluídas até o próprio dia programado — só conta quem tem data de conclusão</t>
  </si>
  <si>
    <t xml:space="preserve">Pontualidade</t>
  </si>
  <si>
    <t xml:space="preserve">concluídas no prazo ÷ concluídas COM data — as sem data ficam de fora</t>
  </si>
  <si>
    <t xml:space="preserve">Programadas no plano original</t>
  </si>
  <si>
    <t xml:space="preserve">pela 1ª data programada, e não pela data de hoje</t>
  </si>
  <si>
    <t xml:space="preserve">Concluídas até a 1ª data</t>
  </si>
  <si>
    <t xml:space="preserve">entregues sem precisar empurrar o dia</t>
  </si>
  <si>
    <t xml:space="preserve">Aderência ao plano original</t>
  </si>
  <si>
    <t xml:space="preserve">não melhora quando se reprograma — mostra se a semana combinada foi cumprida</t>
  </si>
  <si>
    <t xml:space="preserve">o dia passou e a atividade não foi concluída nem cancelada</t>
  </si>
  <si>
    <t xml:space="preserve">Canceladas</t>
  </si>
  <si>
    <t xml:space="preserve">fora do cálculo da aderência</t>
  </si>
  <si>
    <t xml:space="preserve">Atividades reprogramadas</t>
  </si>
  <si>
    <t xml:space="preserve">a 1ª data programada é diferente da data de hoje</t>
  </si>
  <si>
    <t xml:space="preserve">Atraso médio, quando atrasa</t>
  </si>
  <si>
    <t xml:space="preserve">dias entre o programado e o concluído, só das que passaram do dia</t>
  </si>
  <si>
    <t xml:space="preserve">Na carteira, sem dia</t>
  </si>
  <si>
    <t xml:space="preserve">não depende do período — é o que ainda espera encaixe</t>
  </si>
  <si>
    <t xml:space="preserve">Atividades em empresa externa</t>
  </si>
  <si>
    <t xml:space="preserve">executante escrito com “(externo)” no fim</t>
  </si>
  <si>
    <t xml:space="preserve">POR EXECUTANTE</t>
  </si>
  <si>
    <t xml:space="preserve">POR FROTA</t>
  </si>
  <si>
    <t xml:space="preserve">Nome</t>
  </si>
  <si>
    <t xml:space="preserve">Progr.</t>
  </si>
  <si>
    <t xml:space="preserve">POR TIPO DE SERVIÇO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</si>
</sst>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dd/mm/yyyy"/>
    <numFmt numFmtId="167" formatCode="[$-416]ddd\ dd/mm;@"/>
    <numFmt numFmtId="168" formatCode="0%"/>
    <numFmt numFmtId="169" formatCode="0"/>
    <numFmt numFmtId="170" formatCode="0.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.5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116B3E"/>
      <name val="Arial"/>
      <family val="0"/>
      <charset val="1"/>
    </font>
    <font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2"/>
    </font>
    <font>
      <b val="true"/>
      <sz val="11"/>
      <name val="Arial"/>
      <family val="0"/>
      <charset val="1"/>
    </font>
    <font>
      <b val="true"/>
      <sz val="12"/>
      <color rgb="FFE4002A"/>
      <name val="Arial"/>
      <family val="0"/>
      <charset val="1"/>
    </font>
    <font>
      <b val="true"/>
      <sz val="40"/>
      <color rgb="FF13164E"/>
      <name val="Arial"/>
      <family val="0"/>
      <charset val="1"/>
    </font>
    <font>
      <sz val="12"/>
      <color rgb="FF14181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2A3170"/>
        <bgColor rgb="FF333333"/>
      </patternFill>
    </fill>
    <fill>
      <patternFill patternType="solid">
        <fgColor rgb="FFEDF1F9"/>
        <bgColor rgb="FFEEF1F7"/>
      </patternFill>
    </fill>
    <fill>
      <patternFill patternType="solid">
        <fgColor rgb="FFFFF3CF"/>
        <bgColor rgb="FFFDF0D8"/>
      </patternFill>
    </fill>
    <fill>
      <patternFill patternType="solid">
        <fgColor rgb="FFF4F9FF"/>
        <bgColor rgb="FFEEF1F7"/>
      </patternFill>
    </fill>
    <fill>
      <patternFill patternType="solid">
        <fgColor rgb="FFEDEFF4"/>
        <bgColor rgb="FFEEF1F7"/>
      </patternFill>
    </fill>
    <fill>
      <patternFill patternType="solid">
        <fgColor rgb="FFEEF1F7"/>
        <bgColor rgb="FFEDF1F9"/>
      </patternFill>
    </fill>
    <fill>
      <patternFill patternType="solid">
        <fgColor rgb="FFE3F5EA"/>
        <bgColor rgb="FFEDEFF4"/>
      </patternFill>
    </fill>
    <fill>
      <patternFill patternType="solid">
        <fgColor rgb="FFD9DEE8"/>
        <bgColor rgb="FFDCE9FA"/>
      </patternFill>
    </fill>
    <fill>
      <patternFill patternType="solid">
        <fgColor rgb="FFDCE9FA"/>
        <bgColor rgb="FFE7EEF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8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20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D9DEE8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8A5A05"/>
        <sz val="10"/>
      </font>
      <fill>
        <patternFill>
          <bgColor rgb="FFFDF0D8"/>
        </patternFill>
      </fill>
    </dxf>
    <dxf>
      <font>
        <name val="Arial"/>
        <charset val="1"/>
        <family val="0"/>
        <b val="1"/>
        <color rgb="FF1749C4"/>
        <sz val="10"/>
      </font>
      <fill>
        <patternFill>
          <bgColor rgb="FFE7EEFB"/>
        </patternFill>
      </fill>
    </dxf>
    <dxf>
      <font>
        <name val="Arial"/>
        <charset val="1"/>
        <family val="0"/>
        <b val="1"/>
        <color rgb="FF4A5464"/>
        <sz val="10"/>
      </font>
      <fill>
        <patternFill>
          <bgColor rgb="FFD9DEE8"/>
        </patternFill>
      </fill>
    </dxf>
    <dxf>
      <font>
        <name val="Arial"/>
        <charset val="1"/>
        <family val="0"/>
        <b val="1"/>
        <color rgb="FFB00020"/>
        <sz val="10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116B3E"/>
        <sz val="40"/>
      </font>
    </dxf>
    <dxf>
      <font>
        <name val="Arial"/>
        <charset val="1"/>
        <family val="0"/>
        <b val="1"/>
        <color rgb="FFB00020"/>
        <sz val="40"/>
      </font>
    </dxf>
  </dxfs>
  <colors>
    <indexedColors>
      <rgbColor rgb="FF000000"/>
      <rgbColor rgb="FFFFFFFF"/>
      <rgbColor rgb="FFE4002A"/>
      <rgbColor rgb="FF00FF00"/>
      <rgbColor rgb="FF0000FF"/>
      <rgbColor rgb="FFF4F9FF"/>
      <rgbColor rgb="FFFF00FF"/>
      <rgbColor rgb="FF00FFFF"/>
      <rgbColor rgb="FFB00020"/>
      <rgbColor rgb="FF116B3E"/>
      <rgbColor rgb="FF13164E"/>
      <rgbColor rgb="FF8A5A05"/>
      <rgbColor rgb="FF800080"/>
      <rgbColor rgb="FF008080"/>
      <rgbColor rgb="FFD9DEE8"/>
      <rgbColor rgb="FF808080"/>
      <rgbColor rgb="FF9999FF"/>
      <rgbColor rgb="FF993366"/>
      <rgbColor rgb="FFFFF3CF"/>
      <rgbColor rgb="FFE3F5EA"/>
      <rgbColor rgb="FF660066"/>
      <rgbColor rgb="FFFF8080"/>
      <rgbColor rgb="FF1749C4"/>
      <rgbColor rgb="FFC8D0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9FA"/>
      <rgbColor rgb="FFE7EEFB"/>
      <rgbColor rgb="FFFDF0D8"/>
      <rgbColor rgb="FFEDEFF4"/>
      <rgbColor rgb="FFEEF1F7"/>
      <rgbColor rgb="FFEDF1F9"/>
      <rgbColor rgb="FFFDE4E7"/>
      <rgbColor rgb="FF3366FF"/>
      <rgbColor rgb="FF33CCCC"/>
      <rgbColor rgb="FF99CC00"/>
      <rgbColor rgb="FFFFCC00"/>
      <rgbColor rgb="FFFF9900"/>
      <rgbColor rgb="FFFF6600"/>
      <rgbColor rgb="FF4A5464"/>
      <rgbColor rgb="FF969696"/>
      <rgbColor rgb="FF003366"/>
      <rgbColor rgb="FF339966"/>
      <rgbColor rgb="FF14181F"/>
      <rgbColor rgb="FF333300"/>
      <rgbColor rgb="FF993300"/>
      <rgbColor rgb="FF993366"/>
      <rgbColor rgb="FF2A31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33.75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  <c r="G5" s="5"/>
      <c r="H5" s="5"/>
    </row>
    <row r="6" customFormat="false" ht="33.75" hidden="false" customHeight="true" outlineLevel="0" collapsed="false">
      <c r="A6" s="4" t="s">
        <v>5</v>
      </c>
      <c r="B6" s="5" t="s">
        <v>6</v>
      </c>
      <c r="C6" s="5"/>
      <c r="D6" s="5"/>
      <c r="E6" s="5"/>
      <c r="F6" s="5"/>
      <c r="G6" s="5"/>
      <c r="H6" s="5"/>
    </row>
    <row r="7" customFormat="false" ht="33.75" hidden="false" customHeight="true" outlineLevel="0" collapsed="false">
      <c r="A7" s="4" t="s">
        <v>7</v>
      </c>
      <c r="B7" s="5" t="s">
        <v>8</v>
      </c>
      <c r="C7" s="5"/>
      <c r="D7" s="5"/>
      <c r="E7" s="5"/>
      <c r="F7" s="5"/>
      <c r="G7" s="5"/>
      <c r="H7" s="5"/>
    </row>
    <row r="8" customFormat="false" ht="33.75" hidden="false" customHeight="true" outlineLevel="0" collapsed="false">
      <c r="A8" s="4" t="s">
        <v>9</v>
      </c>
      <c r="B8" s="5" t="s">
        <v>10</v>
      </c>
      <c r="C8" s="5"/>
      <c r="D8" s="5"/>
      <c r="E8" s="5"/>
      <c r="F8" s="5"/>
      <c r="G8" s="5"/>
      <c r="H8" s="5"/>
    </row>
    <row r="10" customFormat="false" ht="24" hidden="false" customHeight="true" outlineLevel="0" collapsed="false">
      <c r="A10" s="3" t="s">
        <v>11</v>
      </c>
      <c r="B10" s="3"/>
      <c r="C10" s="3"/>
      <c r="D10" s="3"/>
      <c r="E10" s="3"/>
      <c r="F10" s="3"/>
      <c r="G10" s="3"/>
      <c r="H10" s="3"/>
    </row>
    <row r="11" customFormat="false" ht="18" hidden="false" customHeight="true" outlineLevel="0" collapsed="false">
      <c r="A11" s="6" t="s">
        <v>12</v>
      </c>
      <c r="B11" s="6"/>
      <c r="C11" s="6"/>
      <c r="D11" s="6"/>
      <c r="E11" s="6"/>
      <c r="F11" s="6"/>
      <c r="G11" s="6"/>
      <c r="H11" s="6"/>
    </row>
    <row r="12" customFormat="false" ht="33.75" hidden="false" customHeight="true" outlineLevel="0" collapsed="false">
      <c r="A12" s="7" t="s">
        <v>3</v>
      </c>
      <c r="B12" s="5" t="s">
        <v>13</v>
      </c>
      <c r="C12" s="5"/>
      <c r="D12" s="5"/>
      <c r="E12" s="5"/>
      <c r="F12" s="5"/>
      <c r="G12" s="5"/>
      <c r="H12" s="5"/>
    </row>
    <row r="13" customFormat="false" ht="33.75" hidden="false" customHeight="true" outlineLevel="0" collapsed="false">
      <c r="A13" s="7" t="s">
        <v>5</v>
      </c>
      <c r="B13" s="5" t="s">
        <v>14</v>
      </c>
      <c r="C13" s="5"/>
      <c r="D13" s="5"/>
      <c r="E13" s="5"/>
      <c r="F13" s="5"/>
      <c r="G13" s="5"/>
      <c r="H13" s="5"/>
    </row>
    <row r="14" customFormat="false" ht="33.75" hidden="false" customHeight="true" outlineLevel="0" collapsed="false">
      <c r="A14" s="7" t="s">
        <v>7</v>
      </c>
      <c r="B14" s="5" t="s">
        <v>15</v>
      </c>
      <c r="C14" s="5"/>
      <c r="D14" s="5"/>
      <c r="E14" s="5"/>
      <c r="F14" s="5"/>
      <c r="G14" s="5"/>
      <c r="H14" s="5"/>
    </row>
    <row r="16" customFormat="false" ht="24" hidden="false" customHeight="true" outlineLevel="0" collapsed="false">
      <c r="A16" s="3" t="s">
        <v>16</v>
      </c>
      <c r="B16" s="3"/>
      <c r="C16" s="3"/>
      <c r="D16" s="3"/>
      <c r="E16" s="3"/>
      <c r="F16" s="3"/>
      <c r="G16" s="3"/>
      <c r="H16" s="3"/>
    </row>
    <row r="17" customFormat="false" ht="33.75" hidden="false" customHeight="true" outlineLevel="0" collapsed="false">
      <c r="A17" s="8" t="s">
        <v>17</v>
      </c>
      <c r="B17" s="8"/>
      <c r="C17" s="9" t="s">
        <v>18</v>
      </c>
      <c r="D17" s="9"/>
      <c r="E17" s="9"/>
      <c r="F17" s="9"/>
      <c r="G17" s="9"/>
      <c r="H17" s="9"/>
    </row>
    <row r="18" customFormat="false" ht="33.75" hidden="false" customHeight="true" outlineLevel="0" collapsed="false">
      <c r="A18" s="8" t="s">
        <v>19</v>
      </c>
      <c r="B18" s="8"/>
      <c r="C18" s="9" t="s">
        <v>20</v>
      </c>
      <c r="D18" s="9"/>
      <c r="E18" s="9"/>
      <c r="F18" s="9"/>
      <c r="G18" s="9"/>
      <c r="H18" s="9"/>
    </row>
    <row r="19" customFormat="false" ht="33.75" hidden="false" customHeight="true" outlineLevel="0" collapsed="false">
      <c r="A19" s="8" t="s">
        <v>21</v>
      </c>
      <c r="B19" s="8"/>
      <c r="C19" s="9" t="s">
        <v>22</v>
      </c>
      <c r="D19" s="9"/>
      <c r="E19" s="9"/>
      <c r="F19" s="9"/>
      <c r="G19" s="9"/>
      <c r="H19" s="9"/>
    </row>
    <row r="20" customFormat="false" ht="33.75" hidden="false" customHeight="true" outlineLevel="0" collapsed="false">
      <c r="A20" s="8" t="s">
        <v>23</v>
      </c>
      <c r="B20" s="8"/>
      <c r="C20" s="9" t="s">
        <v>24</v>
      </c>
      <c r="D20" s="9"/>
      <c r="E20" s="9"/>
      <c r="F20" s="9"/>
      <c r="G20" s="9"/>
      <c r="H20" s="9"/>
    </row>
    <row r="21" customFormat="false" ht="33.75" hidden="false" customHeight="true" outlineLevel="0" collapsed="false">
      <c r="A21" s="8" t="s">
        <v>25</v>
      </c>
      <c r="B21" s="8"/>
      <c r="C21" s="9" t="s">
        <v>26</v>
      </c>
      <c r="D21" s="9"/>
      <c r="E21" s="9"/>
      <c r="F21" s="9"/>
      <c r="G21" s="9"/>
      <c r="H21" s="9"/>
    </row>
    <row r="23" customFormat="false" ht="24" hidden="false" customHeight="true" outlineLevel="0" collapsed="false">
      <c r="A23" s="3" t="s">
        <v>27</v>
      </c>
      <c r="B23" s="3"/>
      <c r="C23" s="3"/>
      <c r="D23" s="3"/>
      <c r="E23" s="3"/>
      <c r="F23" s="3"/>
      <c r="G23" s="3"/>
      <c r="H23" s="3"/>
    </row>
    <row r="24" customFormat="false" ht="25.5" hidden="false" customHeight="true" outlineLevel="0" collapsed="false">
      <c r="A24" s="10" t="s">
        <v>28</v>
      </c>
      <c r="B24" s="10"/>
      <c r="C24" s="10"/>
      <c r="D24" s="10"/>
      <c r="E24" s="10"/>
      <c r="F24" s="10"/>
      <c r="G24" s="10"/>
      <c r="H24" s="10"/>
    </row>
    <row r="25" customFormat="false" ht="31.5" hidden="false" customHeight="true" outlineLevel="0" collapsed="false">
      <c r="A25" s="6" t="s">
        <v>29</v>
      </c>
      <c r="B25" s="6"/>
      <c r="C25" s="6"/>
      <c r="D25" s="6"/>
      <c r="E25" s="6"/>
      <c r="F25" s="6"/>
      <c r="G25" s="6"/>
      <c r="H25" s="6"/>
    </row>
    <row r="26" customFormat="false" ht="15.75" hidden="false" customHeight="true" outlineLevel="0" collapsed="false">
      <c r="A26" s="6" t="s">
        <v>30</v>
      </c>
      <c r="B26" s="6"/>
      <c r="C26" s="6"/>
      <c r="D26" s="6"/>
      <c r="E26" s="6"/>
      <c r="F26" s="6"/>
      <c r="G26" s="6"/>
      <c r="H26" s="6"/>
    </row>
    <row r="27" customFormat="false" ht="15.75" hidden="false" customHeight="true" outlineLevel="0" collapsed="false">
      <c r="A27" s="6" t="s">
        <v>31</v>
      </c>
      <c r="B27" s="6"/>
      <c r="C27" s="6"/>
      <c r="D27" s="6"/>
      <c r="E27" s="6"/>
      <c r="F27" s="6"/>
      <c r="G27" s="6"/>
      <c r="H27" s="6"/>
    </row>
    <row r="28" customFormat="false" ht="27.75" hidden="false" customHeight="true" outlineLevel="0" collapsed="false">
      <c r="A28" s="6" t="s">
        <v>32</v>
      </c>
      <c r="B28" s="6"/>
      <c r="C28" s="6"/>
      <c r="D28" s="6"/>
      <c r="E28" s="6"/>
      <c r="F28" s="6"/>
      <c r="G28" s="6"/>
      <c r="H28" s="6"/>
    </row>
    <row r="30" customFormat="false" ht="24" hidden="false" customHeight="true" outlineLevel="0" collapsed="false">
      <c r="A30" s="3" t="s">
        <v>33</v>
      </c>
      <c r="B30" s="3"/>
      <c r="C30" s="3"/>
      <c r="D30" s="3"/>
      <c r="E30" s="3"/>
      <c r="F30" s="3"/>
      <c r="G30" s="3"/>
      <c r="H30" s="3"/>
    </row>
    <row r="31" customFormat="false" ht="18" hidden="false" customHeight="true" outlineLevel="0" collapsed="false">
      <c r="A31" s="11" t="s">
        <v>34</v>
      </c>
      <c r="B31" s="12" t="s">
        <v>35</v>
      </c>
      <c r="C31" s="12"/>
      <c r="D31" s="12"/>
      <c r="E31" s="12"/>
      <c r="F31" s="12"/>
      <c r="G31" s="12"/>
      <c r="H31" s="12"/>
    </row>
    <row r="32" customFormat="false" ht="18" hidden="false" customHeight="true" outlineLevel="0" collapsed="false">
      <c r="A32" s="11" t="s">
        <v>36</v>
      </c>
      <c r="B32" s="12" t="s">
        <v>37</v>
      </c>
      <c r="C32" s="12"/>
      <c r="D32" s="12"/>
      <c r="E32" s="12"/>
      <c r="F32" s="12"/>
      <c r="G32" s="12"/>
      <c r="H32" s="12"/>
    </row>
    <row r="33" customFormat="false" ht="18" hidden="false" customHeight="true" outlineLevel="0" collapsed="false">
      <c r="A33" s="11" t="s">
        <v>38</v>
      </c>
      <c r="B33" s="12" t="s">
        <v>39</v>
      </c>
      <c r="C33" s="12"/>
      <c r="D33" s="12"/>
      <c r="E33" s="12"/>
      <c r="F33" s="12"/>
      <c r="G33" s="12"/>
      <c r="H33" s="12"/>
    </row>
    <row r="34" customFormat="false" ht="18" hidden="false" customHeight="true" outlineLevel="0" collapsed="false">
      <c r="A34" s="11" t="s">
        <v>40</v>
      </c>
      <c r="B34" s="12" t="s">
        <v>41</v>
      </c>
      <c r="C34" s="12"/>
      <c r="D34" s="12"/>
      <c r="E34" s="12"/>
      <c r="F34" s="12"/>
      <c r="G34" s="12"/>
      <c r="H34" s="12"/>
    </row>
    <row r="35" customFormat="false" ht="18" hidden="false" customHeight="true" outlineLevel="0" collapsed="false">
      <c r="A35" s="13" t="s">
        <v>42</v>
      </c>
      <c r="B35" s="12" t="s">
        <v>43</v>
      </c>
      <c r="C35" s="12"/>
      <c r="D35" s="12"/>
      <c r="E35" s="12"/>
      <c r="F35" s="12"/>
      <c r="G35" s="12"/>
      <c r="H35" s="12"/>
    </row>
    <row r="36" customFormat="false" ht="18" hidden="false" customHeight="true" outlineLevel="0" collapsed="false">
      <c r="A36" s="14" t="s">
        <v>44</v>
      </c>
      <c r="B36" s="12" t="s">
        <v>45</v>
      </c>
      <c r="C36" s="12"/>
      <c r="D36" s="12"/>
      <c r="E36" s="12"/>
      <c r="F36" s="12"/>
      <c r="G36" s="12"/>
      <c r="H36" s="12"/>
    </row>
    <row r="37" customFormat="false" ht="18" hidden="false" customHeight="true" outlineLevel="0" collapsed="false">
      <c r="A37" s="15" t="s">
        <v>46</v>
      </c>
      <c r="B37" s="12" t="s">
        <v>47</v>
      </c>
      <c r="C37" s="12"/>
      <c r="D37" s="12"/>
      <c r="E37" s="12"/>
      <c r="F37" s="12"/>
      <c r="G37" s="12"/>
      <c r="H37" s="12"/>
    </row>
    <row r="38" customFormat="false" ht="18" hidden="false" customHeight="true" outlineLevel="0" collapsed="false">
      <c r="A38" s="16" t="s">
        <v>48</v>
      </c>
      <c r="B38" s="12" t="s">
        <v>49</v>
      </c>
      <c r="C38" s="12"/>
      <c r="D38" s="12"/>
      <c r="E38" s="12"/>
      <c r="F38" s="12"/>
      <c r="G38" s="12"/>
      <c r="H38" s="12"/>
    </row>
    <row r="40" customFormat="false" ht="45.75" hidden="false" customHeight="true" outlineLevel="0" collapsed="false">
      <c r="A40" s="17" t="s">
        <v>50</v>
      </c>
      <c r="B40" s="17"/>
      <c r="C40" s="17"/>
      <c r="D40" s="17"/>
      <c r="E40" s="17"/>
      <c r="F40" s="17"/>
      <c r="G40" s="17"/>
      <c r="H40" s="17"/>
    </row>
    <row r="42" customFormat="false" ht="31.5" hidden="false" customHeight="true" outlineLevel="0" collapsed="false">
      <c r="A42" s="18" t="s">
        <v>51</v>
      </c>
      <c r="B42" s="18"/>
      <c r="C42" s="18"/>
      <c r="D42" s="18"/>
      <c r="E42" s="18"/>
      <c r="F42" s="18"/>
      <c r="G42" s="18"/>
      <c r="H42" s="18"/>
    </row>
  </sheetData>
  <mergeCells count="40">
    <mergeCell ref="A1:H1"/>
    <mergeCell ref="A2:H2"/>
    <mergeCell ref="A4:H4"/>
    <mergeCell ref="B5:H5"/>
    <mergeCell ref="B6:H6"/>
    <mergeCell ref="B7:H7"/>
    <mergeCell ref="B8:H8"/>
    <mergeCell ref="A10:H10"/>
    <mergeCell ref="A11:H11"/>
    <mergeCell ref="B12:H12"/>
    <mergeCell ref="B13:H13"/>
    <mergeCell ref="B14:H14"/>
    <mergeCell ref="A16:H16"/>
    <mergeCell ref="A17:B17"/>
    <mergeCell ref="C17:H17"/>
    <mergeCell ref="A18:B18"/>
    <mergeCell ref="C18:H18"/>
    <mergeCell ref="A19:B19"/>
    <mergeCell ref="C19:H19"/>
    <mergeCell ref="A20:B20"/>
    <mergeCell ref="C20:H20"/>
    <mergeCell ref="A21:B21"/>
    <mergeCell ref="C21:H21"/>
    <mergeCell ref="A23:H23"/>
    <mergeCell ref="A24:H24"/>
    <mergeCell ref="A25:H25"/>
    <mergeCell ref="A26:H26"/>
    <mergeCell ref="A27:H27"/>
    <mergeCell ref="A28:H28"/>
    <mergeCell ref="A30:H30"/>
    <mergeCell ref="B31:H31"/>
    <mergeCell ref="B32:H32"/>
    <mergeCell ref="B33:H33"/>
    <mergeCell ref="B34:H34"/>
    <mergeCell ref="B35:H35"/>
    <mergeCell ref="B36:H36"/>
    <mergeCell ref="B37:H37"/>
    <mergeCell ref="B38:H38"/>
    <mergeCell ref="A40:H40"/>
    <mergeCell ref="A42:H4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8"/>
  </cols>
  <sheetData>
    <row r="1" customFormat="false" ht="24" hidden="false" customHeight="true" outlineLevel="0" collapsed="false">
      <c r="A1" s="19" t="s">
        <v>52</v>
      </c>
      <c r="B1" s="19"/>
      <c r="C1" s="19"/>
      <c r="D1" s="19"/>
      <c r="E1" s="19"/>
      <c r="F1" s="19"/>
    </row>
    <row r="2" customFormat="false" ht="15" hidden="false" customHeight="false" outlineLevel="0" collapsed="false">
      <c r="A2" s="20" t="s">
        <v>53</v>
      </c>
      <c r="B2" s="20"/>
      <c r="C2" s="20"/>
      <c r="D2" s="20"/>
      <c r="E2" s="20"/>
      <c r="F2" s="20"/>
    </row>
    <row r="4" customFormat="false" ht="15" hidden="false" customHeight="false" outlineLevel="0" collapsed="false">
      <c r="A4" s="21" t="s">
        <v>54</v>
      </c>
      <c r="B4" s="21" t="s">
        <v>55</v>
      </c>
      <c r="C4" s="21" t="s">
        <v>56</v>
      </c>
      <c r="D4" s="21" t="s">
        <v>57</v>
      </c>
      <c r="E4" s="21" t="s">
        <v>58</v>
      </c>
      <c r="F4" s="21" t="s">
        <v>59</v>
      </c>
    </row>
    <row r="5" customFormat="false" ht="15" hidden="false" customHeight="false" outlineLevel="0" collapsed="false">
      <c r="A5" s="22" t="s">
        <v>60</v>
      </c>
      <c r="B5" s="22" t="s">
        <v>61</v>
      </c>
      <c r="C5" s="22" t="s">
        <v>62</v>
      </c>
      <c r="D5" s="22" t="s">
        <v>63</v>
      </c>
      <c r="E5" s="22" t="s">
        <v>64</v>
      </c>
      <c r="F5" s="22" t="s">
        <v>65</v>
      </c>
    </row>
    <row r="6" customFormat="false" ht="15" hidden="false" customHeight="false" outlineLevel="0" collapsed="false">
      <c r="A6" s="22" t="s">
        <v>66</v>
      </c>
      <c r="B6" s="22" t="s">
        <v>67</v>
      </c>
      <c r="C6" s="22" t="s">
        <v>68</v>
      </c>
      <c r="D6" s="22" t="s">
        <v>69</v>
      </c>
      <c r="E6" s="22" t="s">
        <v>70</v>
      </c>
      <c r="F6" s="22" t="s">
        <v>71</v>
      </c>
    </row>
    <row r="7" customFormat="false" ht="15" hidden="false" customHeight="false" outlineLevel="0" collapsed="false">
      <c r="A7" s="22" t="s">
        <v>72</v>
      </c>
      <c r="B7" s="22" t="s">
        <v>73</v>
      </c>
      <c r="C7" s="22" t="s">
        <v>74</v>
      </c>
      <c r="D7" s="22" t="s">
        <v>75</v>
      </c>
      <c r="E7" s="22" t="s">
        <v>76</v>
      </c>
      <c r="F7" s="22" t="s">
        <v>77</v>
      </c>
    </row>
    <row r="8" customFormat="false" ht="15" hidden="false" customHeight="false" outlineLevel="0" collapsed="false">
      <c r="A8" s="22" t="s">
        <v>78</v>
      </c>
      <c r="B8" s="22" t="s">
        <v>79</v>
      </c>
      <c r="C8" s="22" t="s">
        <v>80</v>
      </c>
      <c r="D8" s="22"/>
      <c r="E8" s="22" t="s">
        <v>81</v>
      </c>
      <c r="F8" s="22" t="s">
        <v>82</v>
      </c>
    </row>
    <row r="9" customFormat="false" ht="15" hidden="false" customHeight="false" outlineLevel="0" collapsed="false">
      <c r="A9" s="22" t="s">
        <v>83</v>
      </c>
      <c r="B9" s="22" t="s">
        <v>84</v>
      </c>
      <c r="C9" s="22" t="s">
        <v>85</v>
      </c>
      <c r="D9" s="22"/>
      <c r="E9" s="22" t="s">
        <v>86</v>
      </c>
      <c r="F9" s="22" t="s">
        <v>87</v>
      </c>
    </row>
    <row r="10" customFormat="false" ht="15" hidden="false" customHeight="false" outlineLevel="0" collapsed="false">
      <c r="A10" s="22" t="s">
        <v>88</v>
      </c>
      <c r="B10" s="22" t="s">
        <v>89</v>
      </c>
      <c r="C10" s="22"/>
      <c r="D10" s="22"/>
      <c r="E10" s="22" t="s">
        <v>90</v>
      </c>
      <c r="F10" s="22" t="s">
        <v>91</v>
      </c>
    </row>
    <row r="11" customFormat="false" ht="15" hidden="false" customHeight="false" outlineLevel="0" collapsed="false">
      <c r="A11" s="22" t="s">
        <v>92</v>
      </c>
      <c r="B11" s="22" t="s">
        <v>93</v>
      </c>
      <c r="C11" s="22"/>
      <c r="D11" s="22"/>
      <c r="E11" s="22" t="s">
        <v>94</v>
      </c>
      <c r="F11" s="22" t="s">
        <v>95</v>
      </c>
    </row>
    <row r="12" customFormat="false" ht="15" hidden="false" customHeight="false" outlineLevel="0" collapsed="false">
      <c r="A12" s="22" t="s">
        <v>96</v>
      </c>
      <c r="B12" s="22" t="s">
        <v>97</v>
      </c>
      <c r="C12" s="22"/>
      <c r="D12" s="22"/>
      <c r="E12" s="22" t="s">
        <v>98</v>
      </c>
      <c r="F12" s="22"/>
    </row>
    <row r="13" customFormat="false" ht="15" hidden="false" customHeight="false" outlineLevel="0" collapsed="false">
      <c r="A13" s="22" t="s">
        <v>99</v>
      </c>
      <c r="B13" s="22" t="s">
        <v>100</v>
      </c>
      <c r="C13" s="22"/>
      <c r="D13" s="22"/>
      <c r="E13" s="22"/>
      <c r="F13" s="22"/>
    </row>
    <row r="14" customFormat="false" ht="15" hidden="false" customHeight="false" outlineLevel="0" collapsed="false">
      <c r="A14" s="22" t="s">
        <v>101</v>
      </c>
      <c r="B14" s="22" t="s">
        <v>102</v>
      </c>
      <c r="C14" s="22"/>
      <c r="D14" s="22"/>
      <c r="E14" s="22"/>
      <c r="F14" s="22"/>
    </row>
    <row r="15" customFormat="false" ht="15" hidden="false" customHeight="false" outlineLevel="0" collapsed="false">
      <c r="A15" s="22" t="s">
        <v>103</v>
      </c>
      <c r="B15" s="22" t="s">
        <v>104</v>
      </c>
      <c r="C15" s="22"/>
      <c r="D15" s="22"/>
      <c r="E15" s="22"/>
      <c r="F15" s="22"/>
    </row>
    <row r="16" customFormat="false" ht="15" hidden="false" customHeight="false" outlineLevel="0" collapsed="false">
      <c r="A16" s="22" t="s">
        <v>105</v>
      </c>
      <c r="B16" s="22" t="s">
        <v>106</v>
      </c>
      <c r="C16" s="22"/>
      <c r="D16" s="22"/>
      <c r="E16" s="22"/>
      <c r="F16" s="22"/>
    </row>
    <row r="17" customFormat="false" ht="15" hidden="false" customHeight="false" outlineLevel="0" collapsed="false">
      <c r="A17" s="22"/>
      <c r="B17" s="22" t="s">
        <v>107</v>
      </c>
      <c r="C17" s="22"/>
      <c r="D17" s="22"/>
      <c r="E17" s="22"/>
      <c r="F17" s="22"/>
    </row>
    <row r="18" customFormat="false" ht="15" hidden="false" customHeight="false" outlineLevel="0" collapsed="false">
      <c r="A18" s="22"/>
      <c r="B18" s="22" t="s">
        <v>108</v>
      </c>
      <c r="C18" s="22"/>
      <c r="D18" s="22"/>
      <c r="E18" s="22"/>
      <c r="F18" s="22"/>
    </row>
    <row r="19" customFormat="false" ht="15" hidden="false" customHeight="false" outlineLevel="0" collapsed="false">
      <c r="A19" s="22"/>
      <c r="B19" s="22" t="s">
        <v>109</v>
      </c>
      <c r="C19" s="22"/>
      <c r="D19" s="22"/>
      <c r="E19" s="22"/>
      <c r="F19" s="22"/>
    </row>
    <row r="20" customFormat="false" ht="15" hidden="false" customHeight="false" outlineLevel="0" collapsed="false">
      <c r="A20" s="22"/>
      <c r="B20" s="22" t="s">
        <v>110</v>
      </c>
      <c r="C20" s="22"/>
      <c r="D20" s="22"/>
      <c r="E20" s="22"/>
      <c r="F20" s="22"/>
    </row>
    <row r="21" customFormat="false" ht="15" hidden="false" customHeight="false" outlineLevel="0" collapsed="false">
      <c r="A21" s="22"/>
      <c r="B21" s="22" t="s">
        <v>111</v>
      </c>
      <c r="C21" s="22"/>
      <c r="D21" s="22"/>
      <c r="E21" s="22"/>
      <c r="F21" s="22"/>
    </row>
    <row r="22" customFormat="false" ht="15" hidden="false" customHeight="false" outlineLevel="0" collapsed="false">
      <c r="A22" s="22"/>
      <c r="B22" s="22" t="s">
        <v>112</v>
      </c>
      <c r="C22" s="22"/>
      <c r="D22" s="22"/>
      <c r="E22" s="22"/>
      <c r="F22" s="22"/>
    </row>
    <row r="23" customFormat="false" ht="15" hidden="false" customHeight="false" outlineLevel="0" collapsed="false">
      <c r="A23" s="22"/>
      <c r="B23" s="22" t="s">
        <v>113</v>
      </c>
      <c r="C23" s="22"/>
      <c r="D23" s="22"/>
      <c r="E23" s="22"/>
      <c r="F23" s="22"/>
    </row>
    <row r="24" customFormat="false" ht="15" hidden="false" customHeight="false" outlineLevel="0" collapsed="false">
      <c r="A24" s="22"/>
      <c r="B24" s="22" t="s">
        <v>114</v>
      </c>
      <c r="C24" s="22"/>
      <c r="D24" s="22"/>
      <c r="E24" s="22"/>
      <c r="F24" s="22"/>
    </row>
    <row r="25" customFormat="false" ht="15" hidden="false" customHeight="false" outlineLevel="0" collapsed="false">
      <c r="A25" s="22"/>
      <c r="B25" s="22" t="s">
        <v>115</v>
      </c>
      <c r="C25" s="22"/>
      <c r="D25" s="22"/>
      <c r="E25" s="22"/>
      <c r="F25" s="22"/>
    </row>
    <row r="26" customFormat="false" ht="15" hidden="false" customHeight="false" outlineLevel="0" collapsed="false">
      <c r="A26" s="22"/>
      <c r="B26" s="22" t="s">
        <v>116</v>
      </c>
      <c r="C26" s="22"/>
      <c r="D26" s="22"/>
      <c r="E26" s="22"/>
      <c r="F26" s="22"/>
    </row>
    <row r="27" customFormat="false" ht="15" hidden="false" customHeight="false" outlineLevel="0" collapsed="false">
      <c r="A27" s="22"/>
      <c r="B27" s="22" t="s">
        <v>117</v>
      </c>
      <c r="C27" s="22"/>
      <c r="D27" s="22"/>
      <c r="E27" s="22"/>
      <c r="F27" s="22"/>
    </row>
    <row r="28" customFormat="false" ht="15" hidden="false" customHeight="false" outlineLevel="0" collapsed="false">
      <c r="A28" s="22"/>
      <c r="B28" s="22" t="s">
        <v>118</v>
      </c>
      <c r="C28" s="22"/>
      <c r="D28" s="22"/>
      <c r="E28" s="22"/>
      <c r="F28" s="22"/>
    </row>
    <row r="29" customFormat="false" ht="15" hidden="false" customHeight="false" outlineLevel="0" collapsed="false">
      <c r="A29" s="22"/>
      <c r="B29" s="22" t="s">
        <v>119</v>
      </c>
      <c r="C29" s="22"/>
      <c r="D29" s="22"/>
      <c r="E29" s="22"/>
      <c r="F29" s="22"/>
    </row>
    <row r="30" customFormat="false" ht="15" hidden="false" customHeight="false" outlineLevel="0" collapsed="false">
      <c r="A30" s="22"/>
      <c r="B30" s="22" t="s">
        <v>120</v>
      </c>
      <c r="C30" s="22"/>
      <c r="D30" s="22"/>
      <c r="E30" s="22"/>
      <c r="F30" s="22"/>
    </row>
    <row r="31" customFormat="false" ht="15" hidden="false" customHeight="false" outlineLevel="0" collapsed="false">
      <c r="A31" s="22"/>
      <c r="B31" s="22" t="s">
        <v>121</v>
      </c>
      <c r="C31" s="22"/>
      <c r="D31" s="22"/>
      <c r="E31" s="22"/>
      <c r="F31" s="22"/>
    </row>
    <row r="32" customFormat="false" ht="15" hidden="false" customHeight="false" outlineLevel="0" collapsed="false">
      <c r="A32" s="22"/>
      <c r="B32" s="22" t="s">
        <v>122</v>
      </c>
      <c r="C32" s="22"/>
      <c r="D32" s="22"/>
      <c r="E32" s="22"/>
      <c r="F32" s="22"/>
    </row>
    <row r="33" customFormat="false" ht="15" hidden="false" customHeight="false" outlineLevel="0" collapsed="false">
      <c r="A33" s="22"/>
      <c r="B33" s="22" t="s">
        <v>123</v>
      </c>
      <c r="C33" s="22"/>
      <c r="D33" s="22"/>
      <c r="E33" s="22"/>
      <c r="F33" s="22"/>
    </row>
    <row r="34" customFormat="false" ht="15" hidden="false" customHeight="false" outlineLevel="0" collapsed="false">
      <c r="A34" s="22"/>
      <c r="B34" s="22" t="s">
        <v>124</v>
      </c>
      <c r="C34" s="22"/>
      <c r="D34" s="22"/>
      <c r="E34" s="22"/>
      <c r="F34" s="22"/>
    </row>
    <row r="35" customFormat="false" ht="15" hidden="false" customHeight="false" outlineLevel="0" collapsed="false">
      <c r="A35" s="22"/>
      <c r="B35" s="22" t="s">
        <v>125</v>
      </c>
      <c r="C35" s="22"/>
      <c r="D35" s="22"/>
      <c r="E35" s="22"/>
      <c r="F35" s="22"/>
    </row>
    <row r="36" customFormat="false" ht="15" hidden="false" customHeight="false" outlineLevel="0" collapsed="false">
      <c r="A36" s="22"/>
      <c r="B36" s="22" t="s">
        <v>126</v>
      </c>
      <c r="C36" s="22"/>
      <c r="D36" s="22"/>
      <c r="E36" s="22"/>
      <c r="F36" s="22"/>
    </row>
    <row r="37" customFormat="false" ht="15" hidden="false" customHeight="false" outlineLevel="0" collapsed="false">
      <c r="A37" s="22"/>
      <c r="B37" s="22" t="s">
        <v>127</v>
      </c>
      <c r="C37" s="22"/>
      <c r="D37" s="22"/>
      <c r="E37" s="22"/>
      <c r="F37" s="22"/>
    </row>
    <row r="38" customFormat="false" ht="15" hidden="false" customHeight="false" outlineLevel="0" collapsed="false">
      <c r="A38" s="22"/>
      <c r="B38" s="22" t="s">
        <v>128</v>
      </c>
      <c r="C38" s="22"/>
      <c r="D38" s="22"/>
      <c r="E38" s="22"/>
      <c r="F38" s="22"/>
    </row>
    <row r="39" customFormat="false" ht="15" hidden="false" customHeight="false" outlineLevel="0" collapsed="false">
      <c r="A39" s="22"/>
      <c r="B39" s="22" t="s">
        <v>129</v>
      </c>
      <c r="C39" s="22"/>
      <c r="D39" s="22"/>
      <c r="E39" s="22"/>
      <c r="F39" s="22"/>
    </row>
    <row r="40" customFormat="false" ht="15" hidden="false" customHeight="false" outlineLevel="0" collapsed="false">
      <c r="A40" s="22"/>
      <c r="B40" s="22" t="s">
        <v>130</v>
      </c>
      <c r="C40" s="22"/>
      <c r="D40" s="22"/>
      <c r="E40" s="22"/>
      <c r="F40" s="22"/>
    </row>
    <row r="41" customFormat="false" ht="15" hidden="false" customHeight="false" outlineLevel="0" collapsed="false">
      <c r="A41" s="22"/>
      <c r="B41" s="22" t="s">
        <v>131</v>
      </c>
      <c r="C41" s="22"/>
      <c r="D41" s="22"/>
      <c r="E41" s="22"/>
      <c r="F41" s="22"/>
    </row>
    <row r="42" customFormat="false" ht="15" hidden="false" customHeight="false" outlineLevel="0" collapsed="false">
      <c r="A42" s="22"/>
      <c r="B42" s="22" t="s">
        <v>132</v>
      </c>
      <c r="C42" s="22"/>
      <c r="D42" s="22"/>
      <c r="E42" s="22"/>
      <c r="F42" s="22"/>
    </row>
    <row r="43" customFormat="false" ht="15" hidden="false" customHeight="false" outlineLevel="0" collapsed="false">
      <c r="A43" s="22"/>
      <c r="B43" s="22" t="s">
        <v>133</v>
      </c>
      <c r="C43" s="22"/>
      <c r="D43" s="22"/>
      <c r="E43" s="22"/>
      <c r="F43" s="22"/>
    </row>
    <row r="44" customFormat="false" ht="15" hidden="false" customHeight="false" outlineLevel="0" collapsed="false">
      <c r="A44" s="22"/>
      <c r="B44" s="22" t="s">
        <v>134</v>
      </c>
      <c r="C44" s="22"/>
      <c r="D44" s="22"/>
      <c r="E44" s="22"/>
      <c r="F44" s="22"/>
    </row>
    <row r="45" customFormat="false" ht="15" hidden="false" customHeight="false" outlineLevel="0" collapsed="false">
      <c r="A45" s="22"/>
      <c r="B45" s="22" t="s">
        <v>135</v>
      </c>
      <c r="C45" s="22"/>
      <c r="D45" s="22"/>
      <c r="E45" s="22"/>
      <c r="F45" s="22"/>
    </row>
    <row r="46" customFormat="false" ht="15" hidden="false" customHeight="false" outlineLevel="0" collapsed="false">
      <c r="A46" s="22"/>
      <c r="B46" s="22" t="s">
        <v>136</v>
      </c>
      <c r="C46" s="22"/>
      <c r="D46" s="22"/>
      <c r="E46" s="22"/>
      <c r="F46" s="22"/>
    </row>
    <row r="47" customFormat="false" ht="15" hidden="false" customHeight="false" outlineLevel="0" collapsed="false">
      <c r="A47" s="22"/>
      <c r="B47" s="22" t="s">
        <v>137</v>
      </c>
      <c r="C47" s="22"/>
      <c r="D47" s="22"/>
      <c r="E47" s="22"/>
      <c r="F47" s="22"/>
    </row>
    <row r="48" customFormat="false" ht="15" hidden="false" customHeight="false" outlineLevel="0" collapsed="false">
      <c r="A48" s="22"/>
      <c r="B48" s="22" t="s">
        <v>138</v>
      </c>
      <c r="C48" s="22"/>
      <c r="D48" s="22"/>
      <c r="E48" s="22"/>
      <c r="F48" s="22"/>
    </row>
    <row r="49" customFormat="false" ht="15" hidden="false" customHeight="false" outlineLevel="0" collapsed="false">
      <c r="A49" s="22"/>
      <c r="B49" s="22" t="s">
        <v>139</v>
      </c>
      <c r="C49" s="22"/>
      <c r="D49" s="22"/>
      <c r="E49" s="22"/>
      <c r="F49" s="22"/>
    </row>
    <row r="50" customFormat="false" ht="15" hidden="false" customHeight="false" outlineLevel="0" collapsed="false">
      <c r="A50" s="22"/>
      <c r="B50" s="22" t="s">
        <v>140</v>
      </c>
      <c r="C50" s="22"/>
      <c r="D50" s="22"/>
      <c r="E50" s="22"/>
      <c r="F50" s="22"/>
    </row>
    <row r="51" customFormat="false" ht="15" hidden="false" customHeight="false" outlineLevel="0" collapsed="false">
      <c r="A51" s="22"/>
      <c r="B51" s="22" t="s">
        <v>141</v>
      </c>
      <c r="C51" s="22"/>
      <c r="D51" s="22"/>
      <c r="E51" s="22"/>
      <c r="F51" s="22"/>
    </row>
    <row r="52" customFormat="false" ht="15" hidden="false" customHeight="false" outlineLevel="0" collapsed="false">
      <c r="A52" s="22"/>
      <c r="B52" s="22" t="s">
        <v>142</v>
      </c>
      <c r="C52" s="22"/>
      <c r="D52" s="22"/>
      <c r="E52" s="22"/>
      <c r="F52" s="22"/>
    </row>
    <row r="53" customFormat="false" ht="15" hidden="false" customHeight="false" outlineLevel="0" collapsed="false">
      <c r="A53" s="22"/>
      <c r="B53" s="22" t="s">
        <v>143</v>
      </c>
      <c r="C53" s="22"/>
      <c r="D53" s="22"/>
      <c r="E53" s="22"/>
      <c r="F53" s="22"/>
    </row>
    <row r="54" customFormat="false" ht="15" hidden="false" customHeight="false" outlineLevel="0" collapsed="false">
      <c r="A54" s="22"/>
      <c r="B54" s="22" t="s">
        <v>144</v>
      </c>
      <c r="C54" s="22"/>
      <c r="D54" s="22"/>
      <c r="E54" s="22"/>
      <c r="F54" s="22"/>
    </row>
    <row r="55" customFormat="false" ht="15" hidden="false" customHeight="false" outlineLevel="0" collapsed="false">
      <c r="A55" s="22"/>
      <c r="B55" s="22" t="s">
        <v>145</v>
      </c>
      <c r="C55" s="22"/>
      <c r="D55" s="22"/>
      <c r="E55" s="22"/>
      <c r="F55" s="22"/>
    </row>
    <row r="56" customFormat="false" ht="15" hidden="false" customHeight="false" outlineLevel="0" collapsed="false">
      <c r="A56" s="22"/>
      <c r="B56" s="22" t="s">
        <v>146</v>
      </c>
      <c r="C56" s="22"/>
      <c r="D56" s="22"/>
      <c r="E56" s="22"/>
      <c r="F56" s="22"/>
    </row>
    <row r="57" customFormat="false" ht="15" hidden="false" customHeight="false" outlineLevel="0" collapsed="false">
      <c r="A57" s="22"/>
      <c r="B57" s="22" t="s">
        <v>147</v>
      </c>
      <c r="C57" s="22"/>
      <c r="D57" s="22"/>
      <c r="E57" s="22"/>
      <c r="F57" s="22"/>
    </row>
    <row r="58" customFormat="false" ht="15" hidden="false" customHeight="false" outlineLevel="0" collapsed="false">
      <c r="A58" s="22"/>
      <c r="B58" s="22" t="s">
        <v>148</v>
      </c>
      <c r="C58" s="22"/>
      <c r="D58" s="22"/>
      <c r="E58" s="22"/>
      <c r="F58" s="22"/>
    </row>
    <row r="59" customFormat="false" ht="15" hidden="false" customHeight="false" outlineLevel="0" collapsed="false">
      <c r="A59" s="22"/>
      <c r="B59" s="22" t="s">
        <v>149</v>
      </c>
      <c r="C59" s="22"/>
      <c r="D59" s="22"/>
      <c r="E59" s="22"/>
      <c r="F59" s="22"/>
    </row>
    <row r="60" customFormat="false" ht="15" hidden="false" customHeight="false" outlineLevel="0" collapsed="false">
      <c r="A60" s="22"/>
      <c r="B60" s="22" t="s">
        <v>150</v>
      </c>
      <c r="C60" s="22"/>
      <c r="D60" s="22"/>
      <c r="E60" s="22"/>
      <c r="F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</row>
  </sheetData>
  <mergeCells count="2">
    <mergeCell ref="A1:F1"/>
    <mergeCell ref="A2:F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W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46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8"/>
    <col collapsed="false" customWidth="true" hidden="false" outlineLevel="0" max="10" min="10" style="0" width="15"/>
    <col collapsed="false" customWidth="true" hidden="false" outlineLevel="0" max="12" min="11" style="0" width="13"/>
    <col collapsed="false" customWidth="true" hidden="false" outlineLevel="0" max="13" min="13" style="0" width="11"/>
    <col collapsed="false" customWidth="true" hidden="false" outlineLevel="0" max="14" min="14" style="0" width="24"/>
    <col collapsed="false" customWidth="true" hidden="false" outlineLevel="0" max="15" min="15" style="0" width="26"/>
    <col collapsed="false" customWidth="true" hidden="false" outlineLevel="0" max="16" min="16" style="0" width="19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23" min="19" style="0" width="8"/>
  </cols>
  <sheetData>
    <row r="1" customFormat="false" ht="30" hidden="false" customHeight="true" outlineLevel="0" collapsed="false">
      <c r="A1" s="23" t="s">
        <v>151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</row>
    <row r="2" customFormat="false" ht="18" hidden="false" customHeight="true" outlineLevel="0" collapsed="false">
      <c r="A2" s="24"/>
      <c r="B2" s="25" t="s">
        <v>152</v>
      </c>
      <c r="C2" s="25"/>
      <c r="D2" s="25"/>
      <c r="E2" s="25"/>
      <c r="F2" s="25"/>
      <c r="G2" s="25"/>
      <c r="H2" s="26" t="s">
        <v>153</v>
      </c>
      <c r="I2" s="26"/>
      <c r="J2" s="26"/>
      <c r="K2" s="27" t="s">
        <v>154</v>
      </c>
      <c r="L2" s="27"/>
      <c r="M2" s="27"/>
      <c r="N2" s="27"/>
      <c r="O2" s="27"/>
      <c r="P2" s="28" t="s">
        <v>155</v>
      </c>
      <c r="Q2" s="28"/>
      <c r="R2" s="28"/>
      <c r="S2" s="28"/>
      <c r="T2" s="28"/>
      <c r="U2" s="28"/>
      <c r="V2" s="28"/>
      <c r="W2" s="28"/>
    </row>
    <row r="3" customFormat="false" ht="30" hidden="false" customHeight="true" outlineLevel="0" collapsed="false">
      <c r="A3" s="29" t="s">
        <v>156</v>
      </c>
      <c r="B3" s="30" t="s">
        <v>157</v>
      </c>
      <c r="C3" s="30" t="s">
        <v>158</v>
      </c>
      <c r="D3" s="30" t="s">
        <v>159</v>
      </c>
      <c r="E3" s="30" t="s">
        <v>160</v>
      </c>
      <c r="F3" s="30" t="s">
        <v>161</v>
      </c>
      <c r="G3" s="30" t="s">
        <v>162</v>
      </c>
      <c r="H3" s="30" t="s">
        <v>36</v>
      </c>
      <c r="I3" s="30" t="s">
        <v>59</v>
      </c>
      <c r="J3" s="29" t="s">
        <v>163</v>
      </c>
      <c r="K3" s="30" t="s">
        <v>164</v>
      </c>
      <c r="L3" s="30" t="s">
        <v>57</v>
      </c>
      <c r="M3" s="30" t="s">
        <v>165</v>
      </c>
      <c r="N3" s="30" t="s">
        <v>166</v>
      </c>
      <c r="O3" s="30" t="s">
        <v>167</v>
      </c>
      <c r="P3" s="29" t="s">
        <v>168</v>
      </c>
      <c r="Q3" s="29" t="s">
        <v>169</v>
      </c>
      <c r="R3" s="29" t="s">
        <v>170</v>
      </c>
      <c r="S3" s="29" t="s">
        <v>171</v>
      </c>
      <c r="T3" s="29" t="s">
        <v>172</v>
      </c>
      <c r="U3" s="29" t="s">
        <v>173</v>
      </c>
      <c r="V3" s="29" t="s">
        <v>174</v>
      </c>
      <c r="W3" s="29" t="s">
        <v>175</v>
      </c>
    </row>
    <row r="5" customFormat="false" ht="15" hidden="false" customHeight="true" outlineLevel="0" collapsed="false">
      <c r="A5" s="31" t="n">
        <f aca="false">IF($E5="","",COUNTA($E$5:$E5))</f>
        <v>1</v>
      </c>
      <c r="B5" s="32"/>
      <c r="C5" s="32" t="s">
        <v>93</v>
      </c>
      <c r="D5" s="32" t="s">
        <v>176</v>
      </c>
      <c r="E5" s="32" t="s">
        <v>177</v>
      </c>
      <c r="F5" s="33" t="s">
        <v>62</v>
      </c>
      <c r="G5" s="32" t="s">
        <v>103</v>
      </c>
      <c r="H5" s="34" t="n">
        <v>46258</v>
      </c>
      <c r="I5" s="35" t="s">
        <v>77</v>
      </c>
      <c r="J5" s="36" t="n">
        <f aca="false">IF(OR($H5="",$I5=""),"",$H5+MATCH($I5,Listas!$F$5:$F$11,0)-1)</f>
        <v>46260</v>
      </c>
      <c r="K5" s="37"/>
      <c r="L5" s="33" t="s">
        <v>69</v>
      </c>
      <c r="M5" s="37"/>
      <c r="N5" s="32"/>
      <c r="O5" s="32"/>
      <c r="P5" s="38" t="str">
        <f aca="true">IF($E5="","",IF($L5="Cancelada","Cancelada",IF(OR($K5&lt;&gt;"",$L5="Concluída"),IF(OR($J5="",$K5="",$K5&lt;=$J5),"Concluída","Concluída com atraso"),IF($J5="","Na carteira",IF($J5&lt;TODAY(),"VENCIDA",IF($L5="Em execução","Em execução",IF($J5=TODAY(),"Hoje","Programada")))))))</f>
        <v>Em execução</v>
      </c>
      <c r="Q5" s="31" t="str">
        <f aca="false">IF($E5="","",IF(ISNUMBER(SEARCH("(externo)",$G5)),"Terceirizada","Interna"))</f>
        <v>Terceirizada</v>
      </c>
      <c r="R5" s="36" t="n">
        <f aca="false">IF($J5="","",IF($M5="",$J5,$M5))</f>
        <v>46260</v>
      </c>
      <c r="S5" s="31" t="n">
        <f aca="false">IF($E5="","",IF(OR($K5="",$J5=""),0,IF($K5&lt;=$J5,1,0)))</f>
        <v>0</v>
      </c>
      <c r="T5" s="31" t="n">
        <f aca="false">IF($E5="","",IF(OR($K5="",$R5=""),0,IF($K5&lt;=$R5,1,0)))</f>
        <v>0</v>
      </c>
      <c r="U5" s="38" t="str">
        <f aca="false">IF(OR($K5="",$J5=""),"",MAX(0,$K5-$J5))</f>
        <v/>
      </c>
      <c r="V5" s="31" t="n">
        <f aca="false">IF($E5="","",IF(AND($M5&lt;&gt;"",$J5&lt;&gt;"",$M5&lt;&gt;$J5),1,0))</f>
        <v>0</v>
      </c>
      <c r="W5" s="39" t="n">
        <f aca="false">IF($E5="","",IF($L5="Cancelada",0,IF(OR($K5&lt;&gt;"",$L5="Concluída"),1,0)))</f>
        <v>0</v>
      </c>
    </row>
    <row r="6" customFormat="false" ht="15" hidden="false" customHeight="true" outlineLevel="0" collapsed="false">
      <c r="A6" s="31" t="n">
        <f aca="false">IF($E6="","",COUNTA($E$5:$E6))</f>
        <v>2</v>
      </c>
      <c r="B6" s="32"/>
      <c r="C6" s="32" t="s">
        <v>93</v>
      </c>
      <c r="D6" s="32" t="s">
        <v>176</v>
      </c>
      <c r="E6" s="32" t="s">
        <v>178</v>
      </c>
      <c r="F6" s="33" t="s">
        <v>62</v>
      </c>
      <c r="G6" s="32" t="s">
        <v>103</v>
      </c>
      <c r="H6" s="34" t="n">
        <v>46258</v>
      </c>
      <c r="I6" s="35" t="s">
        <v>82</v>
      </c>
      <c r="J6" s="36" t="n">
        <f aca="false">IF(OR($H6="",$I6=""),"",$H6+MATCH($I6,Listas!$F$5:$F$11,0)-1)</f>
        <v>46261</v>
      </c>
      <c r="K6" s="37"/>
      <c r="L6" s="33" t="s">
        <v>69</v>
      </c>
      <c r="M6" s="37"/>
      <c r="N6" s="32"/>
      <c r="O6" s="32"/>
      <c r="P6" s="38" t="str">
        <f aca="true">IF($E6="","",IF($L6="Cancelada","Cancelada",IF(OR($K6&lt;&gt;"",$L6="Concluída"),IF(OR($J6="",$K6="",$K6&lt;=$J6),"Concluída","Concluída com atraso"),IF($J6="","Na carteira",IF($J6&lt;TODAY(),"VENCIDA",IF($L6="Em execução","Em execução",IF($J6=TODAY(),"Hoje","Programada")))))))</f>
        <v>Em execução</v>
      </c>
      <c r="Q6" s="31" t="str">
        <f aca="false">IF($E6="","",IF(ISNUMBER(SEARCH("(externo)",$G6)),"Terceirizada","Interna"))</f>
        <v>Terceirizada</v>
      </c>
      <c r="R6" s="36" t="n">
        <f aca="false">IF($J6="","",IF($M6="",$J6,$M6))</f>
        <v>46261</v>
      </c>
      <c r="S6" s="31" t="n">
        <f aca="false">IF($E6="","",IF(OR($K6="",$J6=""),0,IF($K6&lt;=$J6,1,0)))</f>
        <v>0</v>
      </c>
      <c r="T6" s="31" t="n">
        <f aca="false">IF($E6="","",IF(OR($K6="",$R6=""),0,IF($K6&lt;=$R6,1,0)))</f>
        <v>0</v>
      </c>
      <c r="U6" s="38" t="str">
        <f aca="false">IF(OR($K6="",$J6=""),"",MAX(0,$K6-$J6))</f>
        <v/>
      </c>
      <c r="V6" s="31" t="n">
        <f aca="false">IF($E6="","",IF(AND($M6&lt;&gt;"",$J6&lt;&gt;"",$M6&lt;&gt;$J6),1,0))</f>
        <v>0</v>
      </c>
      <c r="W6" s="39" t="n">
        <f aca="false">IF($E6="","",IF($L6="Cancelada",0,IF(OR($K6&lt;&gt;"",$L6="Concluída"),1,0)))</f>
        <v>0</v>
      </c>
    </row>
    <row r="7" customFormat="false" ht="15" hidden="false" customHeight="true" outlineLevel="0" collapsed="false">
      <c r="A7" s="31" t="n">
        <f aca="false">IF($E7="","",COUNTA($E$5:$E7))</f>
        <v>3</v>
      </c>
      <c r="B7" s="32"/>
      <c r="C7" s="32" t="s">
        <v>97</v>
      </c>
      <c r="D7" s="32" t="s">
        <v>179</v>
      </c>
      <c r="E7" s="32" t="s">
        <v>180</v>
      </c>
      <c r="F7" s="33" t="s">
        <v>62</v>
      </c>
      <c r="G7" s="32" t="s">
        <v>181</v>
      </c>
      <c r="H7" s="34" t="n">
        <v>46258</v>
      </c>
      <c r="I7" s="35" t="s">
        <v>82</v>
      </c>
      <c r="J7" s="36" t="n">
        <f aca="false">IF(OR($H7="",$I7=""),"",$H7+MATCH($I7,Listas!$F$5:$F$11,0)-1)</f>
        <v>46261</v>
      </c>
      <c r="K7" s="37"/>
      <c r="L7" s="33"/>
      <c r="M7" s="37"/>
      <c r="N7" s="32"/>
      <c r="O7" s="32"/>
      <c r="P7" s="38" t="str">
        <f aca="true">IF($E7="","",IF($L7="Cancelada","Cancelada",IF(OR($K7&lt;&gt;"",$L7="Concluída"),IF(OR($J7="",$K7="",$K7&lt;=$J7),"Concluída","Concluída com atraso"),IF($J7="","Na carteira",IF($J7&lt;TODAY(),"VENCIDA",IF($L7="Em execução","Em execução",IF($J7=TODAY(),"Hoje","Programada")))))))</f>
        <v>Programada</v>
      </c>
      <c r="Q7" s="31" t="str">
        <f aca="false">IF($E7="","",IF(ISNUMBER(SEARCH("(externo)",$G7)),"Terceirizada","Interna"))</f>
        <v>Interna</v>
      </c>
      <c r="R7" s="36" t="n">
        <f aca="false">IF($J7="","",IF($M7="",$J7,$M7))</f>
        <v>46261</v>
      </c>
      <c r="S7" s="31" t="n">
        <f aca="false">IF($E7="","",IF(OR($K7="",$J7=""),0,IF($K7&lt;=$J7,1,0)))</f>
        <v>0</v>
      </c>
      <c r="T7" s="31" t="n">
        <f aca="false">IF($E7="","",IF(OR($K7="",$R7=""),0,IF($K7&lt;=$R7,1,0)))</f>
        <v>0</v>
      </c>
      <c r="U7" s="38" t="str">
        <f aca="false">IF(OR($K7="",$J7=""),"",MAX(0,$K7-$J7))</f>
        <v/>
      </c>
      <c r="V7" s="31" t="n">
        <f aca="false">IF($E7="","",IF(AND($M7&lt;&gt;"",$J7&lt;&gt;"",$M7&lt;&gt;$J7),1,0))</f>
        <v>0</v>
      </c>
      <c r="W7" s="39" t="n">
        <f aca="false">IF($E7="","",IF($L7="Cancelada",0,IF(OR($K7&lt;&gt;"",$L7="Concluída"),1,0)))</f>
        <v>0</v>
      </c>
    </row>
    <row r="8" customFormat="false" ht="15" hidden="false" customHeight="true" outlineLevel="0" collapsed="false">
      <c r="A8" s="31" t="n">
        <f aca="false">IF($E8="","",COUNTA($E$5:$E8))</f>
        <v>4</v>
      </c>
      <c r="B8" s="32"/>
      <c r="C8" s="32" t="s">
        <v>97</v>
      </c>
      <c r="D8" s="32" t="s">
        <v>179</v>
      </c>
      <c r="E8" s="32" t="s">
        <v>182</v>
      </c>
      <c r="F8" s="33" t="s">
        <v>62</v>
      </c>
      <c r="G8" s="32" t="s">
        <v>181</v>
      </c>
      <c r="H8" s="34" t="n">
        <v>46258</v>
      </c>
      <c r="I8" s="35" t="s">
        <v>82</v>
      </c>
      <c r="J8" s="36" t="n">
        <f aca="false">IF(OR($H8="",$I8=""),"",$H8+MATCH($I8,Listas!$F$5:$F$11,0)-1)</f>
        <v>46261</v>
      </c>
      <c r="K8" s="37"/>
      <c r="L8" s="33"/>
      <c r="M8" s="37"/>
      <c r="N8" s="32"/>
      <c r="O8" s="32"/>
      <c r="P8" s="38" t="str">
        <f aca="true">IF($E8="","",IF($L8="Cancelada","Cancelada",IF(OR($K8&lt;&gt;"",$L8="Concluída"),IF(OR($J8="",$K8="",$K8&lt;=$J8),"Concluída","Concluída com atraso"),IF($J8="","Na carteira",IF($J8&lt;TODAY(),"VENCIDA",IF($L8="Em execução","Em execução",IF($J8=TODAY(),"Hoje","Programada")))))))</f>
        <v>Programada</v>
      </c>
      <c r="Q8" s="31" t="str">
        <f aca="false">IF($E8="","",IF(ISNUMBER(SEARCH("(externo)",$G8)),"Terceirizada","Interna"))</f>
        <v>Interna</v>
      </c>
      <c r="R8" s="36" t="n">
        <f aca="false">IF($J8="","",IF($M8="",$J8,$M8))</f>
        <v>46261</v>
      </c>
      <c r="S8" s="31" t="n">
        <f aca="false">IF($E8="","",IF(OR($K8="",$J8=""),0,IF($K8&lt;=$J8,1,0)))</f>
        <v>0</v>
      </c>
      <c r="T8" s="31" t="n">
        <f aca="false">IF($E8="","",IF(OR($K8="",$R8=""),0,IF($K8&lt;=$R8,1,0)))</f>
        <v>0</v>
      </c>
      <c r="U8" s="38" t="str">
        <f aca="false">IF(OR($K8="",$J8=""),"",MAX(0,$K8-$J8))</f>
        <v/>
      </c>
      <c r="V8" s="31" t="n">
        <f aca="false">IF($E8="","",IF(AND($M8&lt;&gt;"",$J8&lt;&gt;"",$M8&lt;&gt;$J8),1,0))</f>
        <v>0</v>
      </c>
      <c r="W8" s="39" t="n">
        <f aca="false">IF($E8="","",IF($L8="Cancelada",0,IF(OR($K8&lt;&gt;"",$L8="Concluída"),1,0)))</f>
        <v>0</v>
      </c>
    </row>
    <row r="9" customFormat="false" ht="15" hidden="false" customHeight="true" outlineLevel="0" collapsed="false">
      <c r="A9" s="31" t="n">
        <f aca="false">IF($E9="","",COUNTA($E$5:$E9))</f>
        <v>5</v>
      </c>
      <c r="B9" s="32" t="s">
        <v>183</v>
      </c>
      <c r="C9" s="32" t="s">
        <v>100</v>
      </c>
      <c r="D9" s="32" t="s">
        <v>179</v>
      </c>
      <c r="E9" s="32" t="s">
        <v>184</v>
      </c>
      <c r="F9" s="33" t="s">
        <v>62</v>
      </c>
      <c r="G9" s="32" t="s">
        <v>181</v>
      </c>
      <c r="H9" s="34" t="n">
        <v>46258</v>
      </c>
      <c r="I9" s="35" t="s">
        <v>77</v>
      </c>
      <c r="J9" s="36" t="n">
        <f aca="false">IF(OR($H9="",$I9=""),"",$H9+MATCH($I9,Listas!$F$5:$F$11,0)-1)</f>
        <v>46260</v>
      </c>
      <c r="K9" s="37"/>
      <c r="L9" s="33" t="s">
        <v>63</v>
      </c>
      <c r="M9" s="37"/>
      <c r="N9" s="32"/>
      <c r="O9" s="32" t="s">
        <v>185</v>
      </c>
      <c r="P9" s="38" t="str">
        <f aca="true">IF($E9="","",IF($L9="Cancelada","Cancelada",IF(OR($K9&lt;&gt;"",$L9="Concluída"),IF(OR($J9="",$K9="",$K9&lt;=$J9),"Concluída","Concluída com atraso"),IF($J9="","Na carteira",IF($J9&lt;TODAY(),"VENCIDA",IF($L9="Em execução","Em execução",IF($J9=TODAY(),"Hoje","Programada")))))))</f>
        <v>Concluída</v>
      </c>
      <c r="Q9" s="31" t="str">
        <f aca="false">IF($E9="","",IF(ISNUMBER(SEARCH("(externo)",$G9)),"Terceirizada","Interna"))</f>
        <v>Interna</v>
      </c>
      <c r="R9" s="36" t="n">
        <f aca="false">IF($J9="","",IF($M9="",$J9,$M9))</f>
        <v>46260</v>
      </c>
      <c r="S9" s="31" t="n">
        <f aca="false">IF($E9="","",IF(OR($K9="",$J9=""),0,IF($K9&lt;=$J9,1,0)))</f>
        <v>0</v>
      </c>
      <c r="T9" s="31" t="n">
        <f aca="false">IF($E9="","",IF(OR($K9="",$R9=""),0,IF($K9&lt;=$R9,1,0)))</f>
        <v>0</v>
      </c>
      <c r="U9" s="38" t="str">
        <f aca="false">IF(OR($K9="",$J9=""),"",MAX(0,$K9-$J9))</f>
        <v/>
      </c>
      <c r="V9" s="31" t="n">
        <f aca="false">IF($E9="","",IF(AND($M9&lt;&gt;"",$J9&lt;&gt;"",$M9&lt;&gt;$J9),1,0))</f>
        <v>0</v>
      </c>
      <c r="W9" s="39" t="n">
        <f aca="false">IF($E9="","",IF($L9="Cancelada",0,IF(OR($K9&lt;&gt;"",$L9="Concluída"),1,0)))</f>
        <v>1</v>
      </c>
    </row>
    <row r="10" customFormat="false" ht="15" hidden="false" customHeight="true" outlineLevel="0" collapsed="false">
      <c r="A10" s="31" t="n">
        <f aca="false">IF($E10="","",COUNTA($E$5:$E10))</f>
        <v>6</v>
      </c>
      <c r="B10" s="32" t="s">
        <v>183</v>
      </c>
      <c r="C10" s="32" t="s">
        <v>100</v>
      </c>
      <c r="D10" s="32" t="s">
        <v>179</v>
      </c>
      <c r="E10" s="32" t="s">
        <v>186</v>
      </c>
      <c r="F10" s="33" t="s">
        <v>62</v>
      </c>
      <c r="G10" s="32" t="s">
        <v>181</v>
      </c>
      <c r="H10" s="34" t="n">
        <v>46258</v>
      </c>
      <c r="I10" s="35" t="s">
        <v>77</v>
      </c>
      <c r="J10" s="36" t="n">
        <f aca="false">IF(OR($H10="",$I10=""),"",$H10+MATCH($I10,Listas!$F$5:$F$11,0)-1)</f>
        <v>46260</v>
      </c>
      <c r="K10" s="37"/>
      <c r="L10" s="33" t="s">
        <v>63</v>
      </c>
      <c r="M10" s="37"/>
      <c r="N10" s="32"/>
      <c r="O10" s="32" t="s">
        <v>185</v>
      </c>
      <c r="P10" s="38" t="str">
        <f aca="true">IF($E10="","",IF($L10="Cancelada","Cancelada",IF(OR($K10&lt;&gt;"",$L10="Concluída"),IF(OR($J10="",$K10="",$K10&lt;=$J10),"Concluída","Concluída com atraso"),IF($J10="","Na carteira",IF($J10&lt;TODAY(),"VENCIDA",IF($L10="Em execução","Em execução",IF($J10=TODAY(),"Hoje","Programada")))))))</f>
        <v>Concluída</v>
      </c>
      <c r="Q10" s="31" t="str">
        <f aca="false">IF($E10="","",IF(ISNUMBER(SEARCH("(externo)",$G10)),"Terceirizada","Interna"))</f>
        <v>Interna</v>
      </c>
      <c r="R10" s="36" t="n">
        <f aca="false">IF($J10="","",IF($M10="",$J10,$M10))</f>
        <v>46260</v>
      </c>
      <c r="S10" s="31" t="n">
        <f aca="false">IF($E10="","",IF(OR($K10="",$J10=""),0,IF($K10&lt;=$J10,1,0)))</f>
        <v>0</v>
      </c>
      <c r="T10" s="31" t="n">
        <f aca="false">IF($E10="","",IF(OR($K10="",$R10=""),0,IF($K10&lt;=$R10,1,0)))</f>
        <v>0</v>
      </c>
      <c r="U10" s="38" t="str">
        <f aca="false">IF(OR($K10="",$J10=""),"",MAX(0,$K10-$J10))</f>
        <v/>
      </c>
      <c r="V10" s="31" t="n">
        <f aca="false">IF($E10="","",IF(AND($M10&lt;&gt;"",$J10&lt;&gt;"",$M10&lt;&gt;$J10),1,0))</f>
        <v>0</v>
      </c>
      <c r="W10" s="39" t="n">
        <f aca="false">IF($E10="","",IF($L10="Cancelada",0,IF(OR($K10&lt;&gt;"",$L10="Concluída"),1,0)))</f>
        <v>1</v>
      </c>
    </row>
    <row r="11" customFormat="false" ht="15" hidden="false" customHeight="true" outlineLevel="0" collapsed="false">
      <c r="A11" s="31" t="n">
        <f aca="false">IF($E11="","",COUNTA($E$5:$E11))</f>
        <v>7</v>
      </c>
      <c r="B11" s="32" t="s">
        <v>183</v>
      </c>
      <c r="C11" s="32" t="s">
        <v>100</v>
      </c>
      <c r="D11" s="32" t="s">
        <v>179</v>
      </c>
      <c r="E11" s="32" t="s">
        <v>187</v>
      </c>
      <c r="F11" s="33" t="s">
        <v>62</v>
      </c>
      <c r="G11" s="32" t="s">
        <v>181</v>
      </c>
      <c r="H11" s="34" t="n">
        <v>46258</v>
      </c>
      <c r="I11" s="35" t="s">
        <v>77</v>
      </c>
      <c r="J11" s="36" t="n">
        <f aca="false">IF(OR($H11="",$I11=""),"",$H11+MATCH($I11,Listas!$F$5:$F$11,0)-1)</f>
        <v>46260</v>
      </c>
      <c r="K11" s="37"/>
      <c r="L11" s="33" t="s">
        <v>63</v>
      </c>
      <c r="M11" s="37"/>
      <c r="N11" s="32"/>
      <c r="O11" s="32" t="s">
        <v>185</v>
      </c>
      <c r="P11" s="38" t="str">
        <f aca="true">IF($E11="","",IF($L11="Cancelada","Cancelada",IF(OR($K11&lt;&gt;"",$L11="Concluída"),IF(OR($J11="",$K11="",$K11&lt;=$J11),"Concluída","Concluída com atraso"),IF($J11="","Na carteira",IF($J11&lt;TODAY(),"VENCIDA",IF($L11="Em execução","Em execução",IF($J11=TODAY(),"Hoje","Programada")))))))</f>
        <v>Concluída</v>
      </c>
      <c r="Q11" s="31" t="str">
        <f aca="false">IF($E11="","",IF(ISNUMBER(SEARCH("(externo)",$G11)),"Terceirizada","Interna"))</f>
        <v>Interna</v>
      </c>
      <c r="R11" s="36" t="n">
        <f aca="false">IF($J11="","",IF($M11="",$J11,$M11))</f>
        <v>46260</v>
      </c>
      <c r="S11" s="31" t="n">
        <f aca="false">IF($E11="","",IF(OR($K11="",$J11=""),0,IF($K11&lt;=$J11,1,0)))</f>
        <v>0</v>
      </c>
      <c r="T11" s="31" t="n">
        <f aca="false">IF($E11="","",IF(OR($K11="",$R11=""),0,IF($K11&lt;=$R11,1,0)))</f>
        <v>0</v>
      </c>
      <c r="U11" s="38" t="str">
        <f aca="false">IF(OR($K11="",$J11=""),"",MAX(0,$K11-$J11))</f>
        <v/>
      </c>
      <c r="V11" s="31" t="n">
        <f aca="false">IF($E11="","",IF(AND($M11&lt;&gt;"",$J11&lt;&gt;"",$M11&lt;&gt;$J11),1,0))</f>
        <v>0</v>
      </c>
      <c r="W11" s="39" t="n">
        <f aca="false">IF($E11="","",IF($L11="Cancelada",0,IF(OR($K11&lt;&gt;"",$L11="Concluída"),1,0)))</f>
        <v>1</v>
      </c>
    </row>
    <row r="12" customFormat="false" ht="15" hidden="false" customHeight="true" outlineLevel="0" collapsed="false">
      <c r="A12" s="31" t="n">
        <f aca="false">IF($E12="","",COUNTA($E$5:$E12))</f>
        <v>8</v>
      </c>
      <c r="B12" s="32" t="s">
        <v>183</v>
      </c>
      <c r="C12" s="32" t="s">
        <v>100</v>
      </c>
      <c r="D12" s="32" t="s">
        <v>179</v>
      </c>
      <c r="E12" s="32" t="s">
        <v>188</v>
      </c>
      <c r="F12" s="33" t="s">
        <v>62</v>
      </c>
      <c r="G12" s="32" t="s">
        <v>181</v>
      </c>
      <c r="H12" s="34" t="n">
        <v>46258</v>
      </c>
      <c r="I12" s="35" t="s">
        <v>77</v>
      </c>
      <c r="J12" s="36" t="n">
        <f aca="false">IF(OR($H12="",$I12=""),"",$H12+MATCH($I12,Listas!$F$5:$F$11,0)-1)</f>
        <v>46260</v>
      </c>
      <c r="K12" s="37"/>
      <c r="L12" s="33" t="s">
        <v>63</v>
      </c>
      <c r="M12" s="37"/>
      <c r="N12" s="32"/>
      <c r="O12" s="32" t="s">
        <v>185</v>
      </c>
      <c r="P12" s="38" t="str">
        <f aca="true">IF($E12="","",IF($L12="Cancelada","Cancelada",IF(OR($K12&lt;&gt;"",$L12="Concluída"),IF(OR($J12="",$K12="",$K12&lt;=$J12),"Concluída","Concluída com atraso"),IF($J12="","Na carteira",IF($J12&lt;TODAY(),"VENCIDA",IF($L12="Em execução","Em execução",IF($J12=TODAY(),"Hoje","Programada")))))))</f>
        <v>Concluída</v>
      </c>
      <c r="Q12" s="31" t="str">
        <f aca="false">IF($E12="","",IF(ISNUMBER(SEARCH("(externo)",$G12)),"Terceirizada","Interna"))</f>
        <v>Interna</v>
      </c>
      <c r="R12" s="36" t="n">
        <f aca="false">IF($J12="","",IF($M12="",$J12,$M12))</f>
        <v>46260</v>
      </c>
      <c r="S12" s="31" t="n">
        <f aca="false">IF($E12="","",IF(OR($K12="",$J12=""),0,IF($K12&lt;=$J12,1,0)))</f>
        <v>0</v>
      </c>
      <c r="T12" s="31" t="n">
        <f aca="false">IF($E12="","",IF(OR($K12="",$R12=""),0,IF($K12&lt;=$R12,1,0)))</f>
        <v>0</v>
      </c>
      <c r="U12" s="38" t="str">
        <f aca="false">IF(OR($K12="",$J12=""),"",MAX(0,$K12-$J12))</f>
        <v/>
      </c>
      <c r="V12" s="31" t="n">
        <f aca="false">IF($E12="","",IF(AND($M12&lt;&gt;"",$J12&lt;&gt;"",$M12&lt;&gt;$J12),1,0))</f>
        <v>0</v>
      </c>
      <c r="W12" s="39" t="n">
        <f aca="false">IF($E12="","",IF($L12="Cancelada",0,IF(OR($K12&lt;&gt;"",$L12="Concluída"),1,0)))</f>
        <v>1</v>
      </c>
    </row>
    <row r="13" customFormat="false" ht="15" hidden="false" customHeight="true" outlineLevel="0" collapsed="false">
      <c r="A13" s="31" t="n">
        <f aca="false">IF($E13="","",COUNTA($E$5:$E13))</f>
        <v>9</v>
      </c>
      <c r="B13" s="32" t="s">
        <v>183</v>
      </c>
      <c r="C13" s="32" t="s">
        <v>100</v>
      </c>
      <c r="D13" s="32" t="s">
        <v>179</v>
      </c>
      <c r="E13" s="32" t="s">
        <v>189</v>
      </c>
      <c r="F13" s="33" t="s">
        <v>62</v>
      </c>
      <c r="G13" s="32" t="s">
        <v>181</v>
      </c>
      <c r="H13" s="34" t="n">
        <v>46258</v>
      </c>
      <c r="I13" s="35" t="s">
        <v>77</v>
      </c>
      <c r="J13" s="36" t="n">
        <f aca="false">IF(OR($H13="",$I13=""),"",$H13+MATCH($I13,Listas!$F$5:$F$11,0)-1)</f>
        <v>46260</v>
      </c>
      <c r="K13" s="37"/>
      <c r="L13" s="33" t="s">
        <v>63</v>
      </c>
      <c r="M13" s="37"/>
      <c r="N13" s="32"/>
      <c r="O13" s="32" t="s">
        <v>185</v>
      </c>
      <c r="P13" s="38" t="str">
        <f aca="true">IF($E13="","",IF($L13="Cancelada","Cancelada",IF(OR($K13&lt;&gt;"",$L13="Concluída"),IF(OR($J13="",$K13="",$K13&lt;=$J13),"Concluída","Concluída com atraso"),IF($J13="","Na carteira",IF($J13&lt;TODAY(),"VENCIDA",IF($L13="Em execução","Em execução",IF($J13=TODAY(),"Hoje","Programada")))))))</f>
        <v>Concluída</v>
      </c>
      <c r="Q13" s="31" t="str">
        <f aca="false">IF($E13="","",IF(ISNUMBER(SEARCH("(externo)",$G13)),"Terceirizada","Interna"))</f>
        <v>Interna</v>
      </c>
      <c r="R13" s="36" t="n">
        <f aca="false">IF($J13="","",IF($M13="",$J13,$M13))</f>
        <v>46260</v>
      </c>
      <c r="S13" s="31" t="n">
        <f aca="false">IF($E13="","",IF(OR($K13="",$J13=""),0,IF($K13&lt;=$J13,1,0)))</f>
        <v>0</v>
      </c>
      <c r="T13" s="31" t="n">
        <f aca="false">IF($E13="","",IF(OR($K13="",$R13=""),0,IF($K13&lt;=$R13,1,0)))</f>
        <v>0</v>
      </c>
      <c r="U13" s="38" t="str">
        <f aca="false">IF(OR($K13="",$J13=""),"",MAX(0,$K13-$J13))</f>
        <v/>
      </c>
      <c r="V13" s="31" t="n">
        <f aca="false">IF($E13="","",IF(AND($M13&lt;&gt;"",$J13&lt;&gt;"",$M13&lt;&gt;$J13),1,0))</f>
        <v>0</v>
      </c>
      <c r="W13" s="39" t="n">
        <f aca="false">IF($E13="","",IF($L13="Cancelada",0,IF(OR($K13&lt;&gt;"",$L13="Concluída"),1,0)))</f>
        <v>1</v>
      </c>
    </row>
    <row r="14" customFormat="false" ht="15" hidden="false" customHeight="true" outlineLevel="0" collapsed="false">
      <c r="A14" s="31" t="n">
        <f aca="false">IF($E14="","",COUNTA($E$5:$E14))</f>
        <v>10</v>
      </c>
      <c r="B14" s="32"/>
      <c r="C14" s="32" t="s">
        <v>102</v>
      </c>
      <c r="D14" s="32" t="s">
        <v>190</v>
      </c>
      <c r="E14" s="32" t="s">
        <v>191</v>
      </c>
      <c r="F14" s="33" t="s">
        <v>62</v>
      </c>
      <c r="G14" s="32" t="s">
        <v>101</v>
      </c>
      <c r="H14" s="34" t="n">
        <v>46258</v>
      </c>
      <c r="I14" s="35" t="s">
        <v>71</v>
      </c>
      <c r="J14" s="36" t="n">
        <f aca="false">IF(OR($H14="",$I14=""),"",$H14+MATCH($I14,Listas!$F$5:$F$11,0)-1)</f>
        <v>46259</v>
      </c>
      <c r="K14" s="37"/>
      <c r="L14" s="33" t="s">
        <v>63</v>
      </c>
      <c r="M14" s="37"/>
      <c r="N14" s="32"/>
      <c r="O14" s="32"/>
      <c r="P14" s="38" t="str">
        <f aca="true">IF($E14="","",IF($L14="Cancelada","Cancelada",IF(OR($K14&lt;&gt;"",$L14="Concluída"),IF(OR($J14="",$K14="",$K14&lt;=$J14),"Concluída","Concluída com atraso"),IF($J14="","Na carteira",IF($J14&lt;TODAY(),"VENCIDA",IF($L14="Em execução","Em execução",IF($J14=TODAY(),"Hoje","Programada")))))))</f>
        <v>Concluída</v>
      </c>
      <c r="Q14" s="31" t="str">
        <f aca="false">IF($E14="","",IF(ISNUMBER(SEARCH("(externo)",$G14)),"Terceirizada","Interna"))</f>
        <v>Terceirizada</v>
      </c>
      <c r="R14" s="36" t="n">
        <f aca="false">IF($J14="","",IF($M14="",$J14,$M14))</f>
        <v>46259</v>
      </c>
      <c r="S14" s="31" t="n">
        <f aca="false">IF($E14="","",IF(OR($K14="",$J14=""),0,IF($K14&lt;=$J14,1,0)))</f>
        <v>0</v>
      </c>
      <c r="T14" s="31" t="n">
        <f aca="false">IF($E14="","",IF(OR($K14="",$R14=""),0,IF($K14&lt;=$R14,1,0)))</f>
        <v>0</v>
      </c>
      <c r="U14" s="38" t="str">
        <f aca="false">IF(OR($K14="",$J14=""),"",MAX(0,$K14-$J14))</f>
        <v/>
      </c>
      <c r="V14" s="31" t="n">
        <f aca="false">IF($E14="","",IF(AND($M14&lt;&gt;"",$J14&lt;&gt;"",$M14&lt;&gt;$J14),1,0))</f>
        <v>0</v>
      </c>
      <c r="W14" s="39" t="n">
        <f aca="false">IF($E14="","",IF($L14="Cancelada",0,IF(OR($K14&lt;&gt;"",$L14="Concluída"),1,0)))</f>
        <v>1</v>
      </c>
    </row>
    <row r="15" customFormat="false" ht="15" hidden="false" customHeight="true" outlineLevel="0" collapsed="false">
      <c r="A15" s="31" t="n">
        <f aca="false">IF($E15="","",COUNTA($E$5:$E15))</f>
        <v>11</v>
      </c>
      <c r="B15" s="32"/>
      <c r="C15" s="32" t="s">
        <v>102</v>
      </c>
      <c r="D15" s="32" t="s">
        <v>192</v>
      </c>
      <c r="E15" s="32" t="s">
        <v>193</v>
      </c>
      <c r="F15" s="33" t="s">
        <v>62</v>
      </c>
      <c r="G15" s="32" t="s">
        <v>88</v>
      </c>
      <c r="H15" s="34" t="n">
        <v>46258</v>
      </c>
      <c r="I15" s="35" t="s">
        <v>77</v>
      </c>
      <c r="J15" s="36" t="n">
        <f aca="false">IF(OR($H15="",$I15=""),"",$H15+MATCH($I15,Listas!$F$5:$F$11,0)-1)</f>
        <v>46260</v>
      </c>
      <c r="K15" s="37"/>
      <c r="L15" s="33" t="s">
        <v>63</v>
      </c>
      <c r="M15" s="37"/>
      <c r="N15" s="32"/>
      <c r="O15" s="32"/>
      <c r="P15" s="38" t="str">
        <f aca="true">IF($E15="","",IF($L15="Cancelada","Cancelada",IF(OR($K15&lt;&gt;"",$L15="Concluída"),IF(OR($J15="",$K15="",$K15&lt;=$J15),"Concluída","Concluída com atraso"),IF($J15="","Na carteira",IF($J15&lt;TODAY(),"VENCIDA",IF($L15="Em execução","Em execução",IF($J15=TODAY(),"Hoje","Programada")))))))</f>
        <v>Concluída</v>
      </c>
      <c r="Q15" s="31" t="str">
        <f aca="false">IF($E15="","",IF(ISNUMBER(SEARCH("(externo)",$G15)),"Terceirizada","Interna"))</f>
        <v>Interna</v>
      </c>
      <c r="R15" s="36" t="n">
        <f aca="false">IF($J15="","",IF($M15="",$J15,$M15))</f>
        <v>46260</v>
      </c>
      <c r="S15" s="31" t="n">
        <f aca="false">IF($E15="","",IF(OR($K15="",$J15=""),0,IF($K15&lt;=$J15,1,0)))</f>
        <v>0</v>
      </c>
      <c r="T15" s="31" t="n">
        <f aca="false">IF($E15="","",IF(OR($K15="",$R15=""),0,IF($K15&lt;=$R15,1,0)))</f>
        <v>0</v>
      </c>
      <c r="U15" s="38" t="str">
        <f aca="false">IF(OR($K15="",$J15=""),"",MAX(0,$K15-$J15))</f>
        <v/>
      </c>
      <c r="V15" s="31" t="n">
        <f aca="false">IF($E15="","",IF(AND($M15&lt;&gt;"",$J15&lt;&gt;"",$M15&lt;&gt;$J15),1,0))</f>
        <v>0</v>
      </c>
      <c r="W15" s="39" t="n">
        <f aca="false">IF($E15="","",IF($L15="Cancelada",0,IF(OR($K15&lt;&gt;"",$L15="Concluída"),1,0)))</f>
        <v>1</v>
      </c>
    </row>
    <row r="16" customFormat="false" ht="15" hidden="false" customHeight="true" outlineLevel="0" collapsed="false">
      <c r="A16" s="31" t="n">
        <f aca="false">IF($E16="","",COUNTA($E$5:$E16))</f>
        <v>12</v>
      </c>
      <c r="B16" s="32"/>
      <c r="C16" s="32" t="s">
        <v>102</v>
      </c>
      <c r="D16" s="32" t="s">
        <v>192</v>
      </c>
      <c r="E16" s="32" t="s">
        <v>194</v>
      </c>
      <c r="F16" s="33" t="s">
        <v>62</v>
      </c>
      <c r="G16" s="32" t="s">
        <v>88</v>
      </c>
      <c r="H16" s="34" t="n">
        <v>46258</v>
      </c>
      <c r="I16" s="35" t="s">
        <v>77</v>
      </c>
      <c r="J16" s="36" t="n">
        <f aca="false">IF(OR($H16="",$I16=""),"",$H16+MATCH($I16,Listas!$F$5:$F$11,0)-1)</f>
        <v>46260</v>
      </c>
      <c r="K16" s="37"/>
      <c r="L16" s="33" t="s">
        <v>63</v>
      </c>
      <c r="M16" s="37"/>
      <c r="N16" s="32"/>
      <c r="O16" s="32"/>
      <c r="P16" s="38" t="str">
        <f aca="true">IF($E16="","",IF($L16="Cancelada","Cancelada",IF(OR($K16&lt;&gt;"",$L16="Concluída"),IF(OR($J16="",$K16="",$K16&lt;=$J16),"Concluída","Concluída com atraso"),IF($J16="","Na carteira",IF($J16&lt;TODAY(),"VENCIDA",IF($L16="Em execução","Em execução",IF($J16=TODAY(),"Hoje","Programada")))))))</f>
        <v>Concluída</v>
      </c>
      <c r="Q16" s="31" t="str">
        <f aca="false">IF($E16="","",IF(ISNUMBER(SEARCH("(externo)",$G16)),"Terceirizada","Interna"))</f>
        <v>Interna</v>
      </c>
      <c r="R16" s="36" t="n">
        <f aca="false">IF($J16="","",IF($M16="",$J16,$M16))</f>
        <v>46260</v>
      </c>
      <c r="S16" s="31" t="n">
        <f aca="false">IF($E16="","",IF(OR($K16="",$J16=""),0,IF($K16&lt;=$J16,1,0)))</f>
        <v>0</v>
      </c>
      <c r="T16" s="31" t="n">
        <f aca="false">IF($E16="","",IF(OR($K16="",$R16=""),0,IF($K16&lt;=$R16,1,0)))</f>
        <v>0</v>
      </c>
      <c r="U16" s="38" t="str">
        <f aca="false">IF(OR($K16="",$J16=""),"",MAX(0,$K16-$J16))</f>
        <v/>
      </c>
      <c r="V16" s="31" t="n">
        <f aca="false">IF($E16="","",IF(AND($M16&lt;&gt;"",$J16&lt;&gt;"",$M16&lt;&gt;$J16),1,0))</f>
        <v>0</v>
      </c>
      <c r="W16" s="39" t="n">
        <f aca="false">IF($E16="","",IF($L16="Cancelada",0,IF(OR($K16&lt;&gt;"",$L16="Concluída"),1,0)))</f>
        <v>1</v>
      </c>
    </row>
    <row r="17" customFormat="false" ht="15" hidden="false" customHeight="true" outlineLevel="0" collapsed="false">
      <c r="A17" s="31" t="n">
        <f aca="false">IF($E17="","",COUNTA($E$5:$E17))</f>
        <v>13</v>
      </c>
      <c r="B17" s="32"/>
      <c r="C17" s="32" t="s">
        <v>102</v>
      </c>
      <c r="D17" s="32" t="s">
        <v>192</v>
      </c>
      <c r="E17" s="32" t="s">
        <v>195</v>
      </c>
      <c r="F17" s="33" t="s">
        <v>62</v>
      </c>
      <c r="G17" s="32" t="s">
        <v>88</v>
      </c>
      <c r="H17" s="34" t="n">
        <v>46258</v>
      </c>
      <c r="I17" s="35" t="s">
        <v>77</v>
      </c>
      <c r="J17" s="36" t="n">
        <f aca="false">IF(OR($H17="",$I17=""),"",$H17+MATCH($I17,Listas!$F$5:$F$11,0)-1)</f>
        <v>46260</v>
      </c>
      <c r="K17" s="37"/>
      <c r="L17" s="33" t="s">
        <v>63</v>
      </c>
      <c r="M17" s="37"/>
      <c r="N17" s="32"/>
      <c r="O17" s="32"/>
      <c r="P17" s="38" t="str">
        <f aca="true">IF($E17="","",IF($L17="Cancelada","Cancelada",IF(OR($K17&lt;&gt;"",$L17="Concluída"),IF(OR($J17="",$K17="",$K17&lt;=$J17),"Concluída","Concluída com atraso"),IF($J17="","Na carteira",IF($J17&lt;TODAY(),"VENCIDA",IF($L17="Em execução","Em execução",IF($J17=TODAY(),"Hoje","Programada")))))))</f>
        <v>Concluída</v>
      </c>
      <c r="Q17" s="31" t="str">
        <f aca="false">IF($E17="","",IF(ISNUMBER(SEARCH("(externo)",$G17)),"Terceirizada","Interna"))</f>
        <v>Interna</v>
      </c>
      <c r="R17" s="36" t="n">
        <f aca="false">IF($J17="","",IF($M17="",$J17,$M17))</f>
        <v>46260</v>
      </c>
      <c r="S17" s="31" t="n">
        <f aca="false">IF($E17="","",IF(OR($K17="",$J17=""),0,IF($K17&lt;=$J17,1,0)))</f>
        <v>0</v>
      </c>
      <c r="T17" s="31" t="n">
        <f aca="false">IF($E17="","",IF(OR($K17="",$R17=""),0,IF($K17&lt;=$R17,1,0)))</f>
        <v>0</v>
      </c>
      <c r="U17" s="38" t="str">
        <f aca="false">IF(OR($K17="",$J17=""),"",MAX(0,$K17-$J17))</f>
        <v/>
      </c>
      <c r="V17" s="31" t="n">
        <f aca="false">IF($E17="","",IF(AND($M17&lt;&gt;"",$J17&lt;&gt;"",$M17&lt;&gt;$J17),1,0))</f>
        <v>0</v>
      </c>
      <c r="W17" s="39" t="n">
        <f aca="false">IF($E17="","",IF($L17="Cancelada",0,IF(OR($K17&lt;&gt;"",$L17="Concluída"),1,0)))</f>
        <v>1</v>
      </c>
    </row>
    <row r="18" customFormat="false" ht="15" hidden="false" customHeight="true" outlineLevel="0" collapsed="false">
      <c r="A18" s="31" t="n">
        <f aca="false">IF($E18="","",COUNTA($E$5:$E18))</f>
        <v>14</v>
      </c>
      <c r="B18" s="32"/>
      <c r="C18" s="32" t="s">
        <v>102</v>
      </c>
      <c r="D18" s="32" t="s">
        <v>192</v>
      </c>
      <c r="E18" s="32" t="s">
        <v>196</v>
      </c>
      <c r="F18" s="33" t="s">
        <v>62</v>
      </c>
      <c r="G18" s="32" t="s">
        <v>88</v>
      </c>
      <c r="H18" s="34" t="n">
        <v>46258</v>
      </c>
      <c r="I18" s="35" t="s">
        <v>77</v>
      </c>
      <c r="J18" s="36" t="n">
        <f aca="false">IF(OR($H18="",$I18=""),"",$H18+MATCH($I18,Listas!$F$5:$F$11,0)-1)</f>
        <v>46260</v>
      </c>
      <c r="K18" s="37"/>
      <c r="L18" s="33" t="s">
        <v>63</v>
      </c>
      <c r="M18" s="37"/>
      <c r="N18" s="32"/>
      <c r="O18" s="32"/>
      <c r="P18" s="38" t="str">
        <f aca="true">IF($E18="","",IF($L18="Cancelada","Cancelada",IF(OR($K18&lt;&gt;"",$L18="Concluída"),IF(OR($J18="",$K18="",$K18&lt;=$J18),"Concluída","Concluída com atraso"),IF($J18="","Na carteira",IF($J18&lt;TODAY(),"VENCIDA",IF($L18="Em execução","Em execução",IF($J18=TODAY(),"Hoje","Programada")))))))</f>
        <v>Concluída</v>
      </c>
      <c r="Q18" s="31" t="str">
        <f aca="false">IF($E18="","",IF(ISNUMBER(SEARCH("(externo)",$G18)),"Terceirizada","Interna"))</f>
        <v>Interna</v>
      </c>
      <c r="R18" s="36" t="n">
        <f aca="false">IF($J18="","",IF($M18="",$J18,$M18))</f>
        <v>46260</v>
      </c>
      <c r="S18" s="31" t="n">
        <f aca="false">IF($E18="","",IF(OR($K18="",$J18=""),0,IF($K18&lt;=$J18,1,0)))</f>
        <v>0</v>
      </c>
      <c r="T18" s="31" t="n">
        <f aca="false">IF($E18="","",IF(OR($K18="",$R18=""),0,IF($K18&lt;=$R18,1,0)))</f>
        <v>0</v>
      </c>
      <c r="U18" s="38" t="str">
        <f aca="false">IF(OR($K18="",$J18=""),"",MAX(0,$K18-$J18))</f>
        <v/>
      </c>
      <c r="V18" s="31" t="n">
        <f aca="false">IF($E18="","",IF(AND($M18&lt;&gt;"",$J18&lt;&gt;"",$M18&lt;&gt;$J18),1,0))</f>
        <v>0</v>
      </c>
      <c r="W18" s="39" t="n">
        <f aca="false">IF($E18="","",IF($L18="Cancelada",0,IF(OR($K18&lt;&gt;"",$L18="Concluída"),1,0)))</f>
        <v>1</v>
      </c>
    </row>
    <row r="19" customFormat="false" ht="15" hidden="false" customHeight="true" outlineLevel="0" collapsed="false">
      <c r="A19" s="31" t="n">
        <f aca="false">IF($E19="","",COUNTA($E$5:$E19))</f>
        <v>15</v>
      </c>
      <c r="B19" s="32"/>
      <c r="C19" s="32" t="s">
        <v>102</v>
      </c>
      <c r="D19" s="32" t="s">
        <v>192</v>
      </c>
      <c r="E19" s="32" t="s">
        <v>197</v>
      </c>
      <c r="F19" s="33" t="s">
        <v>62</v>
      </c>
      <c r="G19" s="32" t="s">
        <v>88</v>
      </c>
      <c r="H19" s="34" t="n">
        <v>46258</v>
      </c>
      <c r="I19" s="35" t="s">
        <v>77</v>
      </c>
      <c r="J19" s="36" t="n">
        <f aca="false">IF(OR($H19="",$I19=""),"",$H19+MATCH($I19,Listas!$F$5:$F$11,0)-1)</f>
        <v>46260</v>
      </c>
      <c r="K19" s="37"/>
      <c r="L19" s="33" t="s">
        <v>63</v>
      </c>
      <c r="M19" s="37"/>
      <c r="N19" s="32"/>
      <c r="O19" s="32"/>
      <c r="P19" s="38" t="str">
        <f aca="true">IF($E19="","",IF($L19="Cancelada","Cancelada",IF(OR($K19&lt;&gt;"",$L19="Concluída"),IF(OR($J19="",$K19="",$K19&lt;=$J19),"Concluída","Concluída com atraso"),IF($J19="","Na carteira",IF($J19&lt;TODAY(),"VENCIDA",IF($L19="Em execução","Em execução",IF($J19=TODAY(),"Hoje","Programada")))))))</f>
        <v>Concluída</v>
      </c>
      <c r="Q19" s="31" t="str">
        <f aca="false">IF($E19="","",IF(ISNUMBER(SEARCH("(externo)",$G19)),"Terceirizada","Interna"))</f>
        <v>Interna</v>
      </c>
      <c r="R19" s="36" t="n">
        <f aca="false">IF($J19="","",IF($M19="",$J19,$M19))</f>
        <v>46260</v>
      </c>
      <c r="S19" s="31" t="n">
        <f aca="false">IF($E19="","",IF(OR($K19="",$J19=""),0,IF($K19&lt;=$J19,1,0)))</f>
        <v>0</v>
      </c>
      <c r="T19" s="31" t="n">
        <f aca="false">IF($E19="","",IF(OR($K19="",$R19=""),0,IF($K19&lt;=$R19,1,0)))</f>
        <v>0</v>
      </c>
      <c r="U19" s="38" t="str">
        <f aca="false">IF(OR($K19="",$J19=""),"",MAX(0,$K19-$J19))</f>
        <v/>
      </c>
      <c r="V19" s="31" t="n">
        <f aca="false">IF($E19="","",IF(AND($M19&lt;&gt;"",$J19&lt;&gt;"",$M19&lt;&gt;$J19),1,0))</f>
        <v>0</v>
      </c>
      <c r="W19" s="39" t="n">
        <f aca="false">IF($E19="","",IF($L19="Cancelada",0,IF(OR($K19&lt;&gt;"",$L19="Concluída"),1,0)))</f>
        <v>1</v>
      </c>
    </row>
    <row r="20" customFormat="false" ht="15" hidden="false" customHeight="true" outlineLevel="0" collapsed="false">
      <c r="A20" s="31" t="n">
        <f aca="false">IF($E20="","",COUNTA($E$5:$E20))</f>
        <v>16</v>
      </c>
      <c r="B20" s="32"/>
      <c r="C20" s="32" t="s">
        <v>102</v>
      </c>
      <c r="D20" s="32" t="s">
        <v>192</v>
      </c>
      <c r="E20" s="32" t="s">
        <v>198</v>
      </c>
      <c r="F20" s="33" t="s">
        <v>62</v>
      </c>
      <c r="G20" s="32" t="s">
        <v>88</v>
      </c>
      <c r="H20" s="34" t="n">
        <v>46258</v>
      </c>
      <c r="I20" s="35" t="s">
        <v>77</v>
      </c>
      <c r="J20" s="36" t="n">
        <f aca="false">IF(OR($H20="",$I20=""),"",$H20+MATCH($I20,Listas!$F$5:$F$11,0)-1)</f>
        <v>46260</v>
      </c>
      <c r="K20" s="37"/>
      <c r="L20" s="33" t="s">
        <v>63</v>
      </c>
      <c r="M20" s="37"/>
      <c r="N20" s="32"/>
      <c r="O20" s="32"/>
      <c r="P20" s="38" t="str">
        <f aca="true">IF($E20="","",IF($L20="Cancelada","Cancelada",IF(OR($K20&lt;&gt;"",$L20="Concluída"),IF(OR($J20="",$K20="",$K20&lt;=$J20),"Concluída","Concluída com atraso"),IF($J20="","Na carteira",IF($J20&lt;TODAY(),"VENCIDA",IF($L20="Em execução","Em execução",IF($J20=TODAY(),"Hoje","Programada")))))))</f>
        <v>Concluída</v>
      </c>
      <c r="Q20" s="31" t="str">
        <f aca="false">IF($E20="","",IF(ISNUMBER(SEARCH("(externo)",$G20)),"Terceirizada","Interna"))</f>
        <v>Interna</v>
      </c>
      <c r="R20" s="36" t="n">
        <f aca="false">IF($J20="","",IF($M20="",$J20,$M20))</f>
        <v>46260</v>
      </c>
      <c r="S20" s="31" t="n">
        <f aca="false">IF($E20="","",IF(OR($K20="",$J20=""),0,IF($K20&lt;=$J20,1,0)))</f>
        <v>0</v>
      </c>
      <c r="T20" s="31" t="n">
        <f aca="false">IF($E20="","",IF(OR($K20="",$R20=""),0,IF($K20&lt;=$R20,1,0)))</f>
        <v>0</v>
      </c>
      <c r="U20" s="38" t="str">
        <f aca="false">IF(OR($K20="",$J20=""),"",MAX(0,$K20-$J20))</f>
        <v/>
      </c>
      <c r="V20" s="31" t="n">
        <f aca="false">IF($E20="","",IF(AND($M20&lt;&gt;"",$J20&lt;&gt;"",$M20&lt;&gt;$J20),1,0))</f>
        <v>0</v>
      </c>
      <c r="W20" s="39" t="n">
        <f aca="false">IF($E20="","",IF($L20="Cancelada",0,IF(OR($K20&lt;&gt;"",$L20="Concluída"),1,0)))</f>
        <v>1</v>
      </c>
    </row>
    <row r="21" customFormat="false" ht="15" hidden="false" customHeight="true" outlineLevel="0" collapsed="false">
      <c r="A21" s="31" t="n">
        <f aca="false">IF($E21="","",COUNTA($E$5:$E21))</f>
        <v>17</v>
      </c>
      <c r="B21" s="32"/>
      <c r="C21" s="32" t="s">
        <v>102</v>
      </c>
      <c r="D21" s="32" t="s">
        <v>192</v>
      </c>
      <c r="E21" s="32" t="s">
        <v>199</v>
      </c>
      <c r="F21" s="33" t="s">
        <v>62</v>
      </c>
      <c r="G21" s="32" t="s">
        <v>88</v>
      </c>
      <c r="H21" s="34" t="n">
        <v>46258</v>
      </c>
      <c r="I21" s="35" t="s">
        <v>77</v>
      </c>
      <c r="J21" s="36" t="n">
        <f aca="false">IF(OR($H21="",$I21=""),"",$H21+MATCH($I21,Listas!$F$5:$F$11,0)-1)</f>
        <v>46260</v>
      </c>
      <c r="K21" s="37"/>
      <c r="L21" s="33" t="s">
        <v>63</v>
      </c>
      <c r="M21" s="37"/>
      <c r="N21" s="32"/>
      <c r="O21" s="32"/>
      <c r="P21" s="38" t="str">
        <f aca="true">IF($E21="","",IF($L21="Cancelada","Cancelada",IF(OR($K21&lt;&gt;"",$L21="Concluída"),IF(OR($J21="",$K21="",$K21&lt;=$J21),"Concluída","Concluída com atraso"),IF($J21="","Na carteira",IF($J21&lt;TODAY(),"VENCIDA",IF($L21="Em execução","Em execução",IF($J21=TODAY(),"Hoje","Programada")))))))</f>
        <v>Concluída</v>
      </c>
      <c r="Q21" s="31" t="str">
        <f aca="false">IF($E21="","",IF(ISNUMBER(SEARCH("(externo)",$G21)),"Terceirizada","Interna"))</f>
        <v>Interna</v>
      </c>
      <c r="R21" s="36" t="n">
        <f aca="false">IF($J21="","",IF($M21="",$J21,$M21))</f>
        <v>46260</v>
      </c>
      <c r="S21" s="31" t="n">
        <f aca="false">IF($E21="","",IF(OR($K21="",$J21=""),0,IF($K21&lt;=$J21,1,0)))</f>
        <v>0</v>
      </c>
      <c r="T21" s="31" t="n">
        <f aca="false">IF($E21="","",IF(OR($K21="",$R21=""),0,IF($K21&lt;=$R21,1,0)))</f>
        <v>0</v>
      </c>
      <c r="U21" s="38" t="str">
        <f aca="false">IF(OR($K21="",$J21=""),"",MAX(0,$K21-$J21))</f>
        <v/>
      </c>
      <c r="V21" s="31" t="n">
        <f aca="false">IF($E21="","",IF(AND($M21&lt;&gt;"",$J21&lt;&gt;"",$M21&lt;&gt;$J21),1,0))</f>
        <v>0</v>
      </c>
      <c r="W21" s="39" t="n">
        <f aca="false">IF($E21="","",IF($L21="Cancelada",0,IF(OR($K21&lt;&gt;"",$L21="Concluída"),1,0)))</f>
        <v>1</v>
      </c>
    </row>
    <row r="22" customFormat="false" ht="15" hidden="false" customHeight="true" outlineLevel="0" collapsed="false">
      <c r="A22" s="31" t="n">
        <f aca="false">IF($E22="","",COUNTA($E$5:$E22))</f>
        <v>18</v>
      </c>
      <c r="B22" s="32"/>
      <c r="C22" s="32" t="s">
        <v>102</v>
      </c>
      <c r="D22" s="32" t="s">
        <v>192</v>
      </c>
      <c r="E22" s="32" t="s">
        <v>200</v>
      </c>
      <c r="F22" s="33" t="s">
        <v>62</v>
      </c>
      <c r="G22" s="32" t="s">
        <v>88</v>
      </c>
      <c r="H22" s="34" t="n">
        <v>46258</v>
      </c>
      <c r="I22" s="35" t="s">
        <v>77</v>
      </c>
      <c r="J22" s="36" t="n">
        <f aca="false">IF(OR($H22="",$I22=""),"",$H22+MATCH($I22,Listas!$F$5:$F$11,0)-1)</f>
        <v>46260</v>
      </c>
      <c r="K22" s="37"/>
      <c r="L22" s="33" t="s">
        <v>63</v>
      </c>
      <c r="M22" s="37"/>
      <c r="N22" s="32"/>
      <c r="O22" s="32"/>
      <c r="P22" s="38" t="str">
        <f aca="true">IF($E22="","",IF($L22="Cancelada","Cancelada",IF(OR($K22&lt;&gt;"",$L22="Concluída"),IF(OR($J22="",$K22="",$K22&lt;=$J22),"Concluída","Concluída com atraso"),IF($J22="","Na carteira",IF($J22&lt;TODAY(),"VENCIDA",IF($L22="Em execução","Em execução",IF($J22=TODAY(),"Hoje","Programada")))))))</f>
        <v>Concluída</v>
      </c>
      <c r="Q22" s="31" t="str">
        <f aca="false">IF($E22="","",IF(ISNUMBER(SEARCH("(externo)",$G22)),"Terceirizada","Interna"))</f>
        <v>Interna</v>
      </c>
      <c r="R22" s="36" t="n">
        <f aca="false">IF($J22="","",IF($M22="",$J22,$M22))</f>
        <v>46260</v>
      </c>
      <c r="S22" s="31" t="n">
        <f aca="false">IF($E22="","",IF(OR($K22="",$J22=""),0,IF($K22&lt;=$J22,1,0)))</f>
        <v>0</v>
      </c>
      <c r="T22" s="31" t="n">
        <f aca="false">IF($E22="","",IF(OR($K22="",$R22=""),0,IF($K22&lt;=$R22,1,0)))</f>
        <v>0</v>
      </c>
      <c r="U22" s="38" t="str">
        <f aca="false">IF(OR($K22="",$J22=""),"",MAX(0,$K22-$J22))</f>
        <v/>
      </c>
      <c r="V22" s="31" t="n">
        <f aca="false">IF($E22="","",IF(AND($M22&lt;&gt;"",$J22&lt;&gt;"",$M22&lt;&gt;$J22),1,0))</f>
        <v>0</v>
      </c>
      <c r="W22" s="39" t="n">
        <f aca="false">IF($E22="","",IF($L22="Cancelada",0,IF(OR($K22&lt;&gt;"",$L22="Concluída"),1,0)))</f>
        <v>1</v>
      </c>
    </row>
    <row r="23" customFormat="false" ht="15" hidden="false" customHeight="true" outlineLevel="0" collapsed="false">
      <c r="A23" s="31" t="n">
        <f aca="false">IF($E23="","",COUNTA($E$5:$E23))</f>
        <v>19</v>
      </c>
      <c r="B23" s="32"/>
      <c r="C23" s="32" t="s">
        <v>102</v>
      </c>
      <c r="D23" s="32" t="s">
        <v>192</v>
      </c>
      <c r="E23" s="32" t="s">
        <v>201</v>
      </c>
      <c r="F23" s="33" t="s">
        <v>62</v>
      </c>
      <c r="G23" s="32" t="s">
        <v>88</v>
      </c>
      <c r="H23" s="34" t="n">
        <v>46258</v>
      </c>
      <c r="I23" s="35" t="s">
        <v>77</v>
      </c>
      <c r="J23" s="36" t="n">
        <f aca="false">IF(OR($H23="",$I23=""),"",$H23+MATCH($I23,Listas!$F$5:$F$11,0)-1)</f>
        <v>46260</v>
      </c>
      <c r="K23" s="37"/>
      <c r="L23" s="33" t="s">
        <v>63</v>
      </c>
      <c r="M23" s="37"/>
      <c r="N23" s="32"/>
      <c r="O23" s="32"/>
      <c r="P23" s="38" t="str">
        <f aca="true">IF($E23="","",IF($L23="Cancelada","Cancelada",IF(OR($K23&lt;&gt;"",$L23="Concluída"),IF(OR($J23="",$K23="",$K23&lt;=$J23),"Concluída","Concluída com atraso"),IF($J23="","Na carteira",IF($J23&lt;TODAY(),"VENCIDA",IF($L23="Em execução","Em execução",IF($J23=TODAY(),"Hoje","Programada")))))))</f>
        <v>Concluída</v>
      </c>
      <c r="Q23" s="31" t="str">
        <f aca="false">IF($E23="","",IF(ISNUMBER(SEARCH("(externo)",$G23)),"Terceirizada","Interna"))</f>
        <v>Interna</v>
      </c>
      <c r="R23" s="36" t="n">
        <f aca="false">IF($J23="","",IF($M23="",$J23,$M23))</f>
        <v>46260</v>
      </c>
      <c r="S23" s="31" t="n">
        <f aca="false">IF($E23="","",IF(OR($K23="",$J23=""),0,IF($K23&lt;=$J23,1,0)))</f>
        <v>0</v>
      </c>
      <c r="T23" s="31" t="n">
        <f aca="false">IF($E23="","",IF(OR($K23="",$R23=""),0,IF($K23&lt;=$R23,1,0)))</f>
        <v>0</v>
      </c>
      <c r="U23" s="38" t="str">
        <f aca="false">IF(OR($K23="",$J23=""),"",MAX(0,$K23-$J23))</f>
        <v/>
      </c>
      <c r="V23" s="31" t="n">
        <f aca="false">IF($E23="","",IF(AND($M23&lt;&gt;"",$J23&lt;&gt;"",$M23&lt;&gt;$J23),1,0))</f>
        <v>0</v>
      </c>
      <c r="W23" s="39" t="n">
        <f aca="false">IF($E23="","",IF($L23="Cancelada",0,IF(OR($K23&lt;&gt;"",$L23="Concluída"),1,0)))</f>
        <v>1</v>
      </c>
    </row>
    <row r="24" customFormat="false" ht="15" hidden="false" customHeight="true" outlineLevel="0" collapsed="false">
      <c r="A24" s="31" t="n">
        <f aca="false">IF($E24="","",COUNTA($E$5:$E24))</f>
        <v>20</v>
      </c>
      <c r="B24" s="32"/>
      <c r="C24" s="32" t="s">
        <v>102</v>
      </c>
      <c r="D24" s="32" t="s">
        <v>192</v>
      </c>
      <c r="E24" s="32" t="s">
        <v>202</v>
      </c>
      <c r="F24" s="33" t="s">
        <v>62</v>
      </c>
      <c r="G24" s="32" t="s">
        <v>88</v>
      </c>
      <c r="H24" s="34" t="n">
        <v>46258</v>
      </c>
      <c r="I24" s="35" t="s">
        <v>77</v>
      </c>
      <c r="J24" s="36" t="n">
        <f aca="false">IF(OR($H24="",$I24=""),"",$H24+MATCH($I24,Listas!$F$5:$F$11,0)-1)</f>
        <v>46260</v>
      </c>
      <c r="K24" s="37"/>
      <c r="L24" s="33" t="s">
        <v>63</v>
      </c>
      <c r="M24" s="37"/>
      <c r="N24" s="32"/>
      <c r="O24" s="32"/>
      <c r="P24" s="38" t="str">
        <f aca="true">IF($E24="","",IF($L24="Cancelada","Cancelada",IF(OR($K24&lt;&gt;"",$L24="Concluída"),IF(OR($J24="",$K24="",$K24&lt;=$J24),"Concluída","Concluída com atraso"),IF($J24="","Na carteira",IF($J24&lt;TODAY(),"VENCIDA",IF($L24="Em execução","Em execução",IF($J24=TODAY(),"Hoje","Programada")))))))</f>
        <v>Concluída</v>
      </c>
      <c r="Q24" s="31" t="str">
        <f aca="false">IF($E24="","",IF(ISNUMBER(SEARCH("(externo)",$G24)),"Terceirizada","Interna"))</f>
        <v>Interna</v>
      </c>
      <c r="R24" s="36" t="n">
        <f aca="false">IF($J24="","",IF($M24="",$J24,$M24))</f>
        <v>46260</v>
      </c>
      <c r="S24" s="31" t="n">
        <f aca="false">IF($E24="","",IF(OR($K24="",$J24=""),0,IF($K24&lt;=$J24,1,0)))</f>
        <v>0</v>
      </c>
      <c r="T24" s="31" t="n">
        <f aca="false">IF($E24="","",IF(OR($K24="",$R24=""),0,IF($K24&lt;=$R24,1,0)))</f>
        <v>0</v>
      </c>
      <c r="U24" s="38" t="str">
        <f aca="false">IF(OR($K24="",$J24=""),"",MAX(0,$K24-$J24))</f>
        <v/>
      </c>
      <c r="V24" s="31" t="n">
        <f aca="false">IF($E24="","",IF(AND($M24&lt;&gt;"",$J24&lt;&gt;"",$M24&lt;&gt;$J24),1,0))</f>
        <v>0</v>
      </c>
      <c r="W24" s="39" t="n">
        <f aca="false">IF($E24="","",IF($L24="Cancelada",0,IF(OR($K24&lt;&gt;"",$L24="Concluída"),1,0)))</f>
        <v>1</v>
      </c>
    </row>
    <row r="25" customFormat="false" ht="15" hidden="false" customHeight="true" outlineLevel="0" collapsed="false">
      <c r="A25" s="31" t="n">
        <f aca="false">IF($E25="","",COUNTA($E$5:$E25))</f>
        <v>21</v>
      </c>
      <c r="B25" s="32"/>
      <c r="C25" s="32" t="s">
        <v>102</v>
      </c>
      <c r="D25" s="32" t="s">
        <v>192</v>
      </c>
      <c r="E25" s="32" t="s">
        <v>203</v>
      </c>
      <c r="F25" s="33" t="s">
        <v>62</v>
      </c>
      <c r="G25" s="32" t="s">
        <v>88</v>
      </c>
      <c r="H25" s="34" t="n">
        <v>46258</v>
      </c>
      <c r="I25" s="35" t="s">
        <v>77</v>
      </c>
      <c r="J25" s="36" t="n">
        <f aca="false">IF(OR($H25="",$I25=""),"",$H25+MATCH($I25,Listas!$F$5:$F$11,0)-1)</f>
        <v>46260</v>
      </c>
      <c r="K25" s="37"/>
      <c r="L25" s="33" t="s">
        <v>63</v>
      </c>
      <c r="M25" s="37"/>
      <c r="N25" s="32"/>
      <c r="O25" s="32"/>
      <c r="P25" s="38" t="str">
        <f aca="true">IF($E25="","",IF($L25="Cancelada","Cancelada",IF(OR($K25&lt;&gt;"",$L25="Concluída"),IF(OR($J25="",$K25="",$K25&lt;=$J25),"Concluída","Concluída com atraso"),IF($J25="","Na carteira",IF($J25&lt;TODAY(),"VENCIDA",IF($L25="Em execução","Em execução",IF($J25=TODAY(),"Hoje","Programada")))))))</f>
        <v>Concluída</v>
      </c>
      <c r="Q25" s="31" t="str">
        <f aca="false">IF($E25="","",IF(ISNUMBER(SEARCH("(externo)",$G25)),"Terceirizada","Interna"))</f>
        <v>Interna</v>
      </c>
      <c r="R25" s="36" t="n">
        <f aca="false">IF($J25="","",IF($M25="",$J25,$M25))</f>
        <v>46260</v>
      </c>
      <c r="S25" s="31" t="n">
        <f aca="false">IF($E25="","",IF(OR($K25="",$J25=""),0,IF($K25&lt;=$J25,1,0)))</f>
        <v>0</v>
      </c>
      <c r="T25" s="31" t="n">
        <f aca="false">IF($E25="","",IF(OR($K25="",$R25=""),0,IF($K25&lt;=$R25,1,0)))</f>
        <v>0</v>
      </c>
      <c r="U25" s="38" t="str">
        <f aca="false">IF(OR($K25="",$J25=""),"",MAX(0,$K25-$J25))</f>
        <v/>
      </c>
      <c r="V25" s="31" t="n">
        <f aca="false">IF($E25="","",IF(AND($M25&lt;&gt;"",$J25&lt;&gt;"",$M25&lt;&gt;$J25),1,0))</f>
        <v>0</v>
      </c>
      <c r="W25" s="39" t="n">
        <f aca="false">IF($E25="","",IF($L25="Cancelada",0,IF(OR($K25&lt;&gt;"",$L25="Concluída"),1,0)))</f>
        <v>1</v>
      </c>
    </row>
    <row r="26" customFormat="false" ht="15" hidden="false" customHeight="true" outlineLevel="0" collapsed="false">
      <c r="A26" s="31" t="n">
        <f aca="false">IF($E26="","",COUNTA($E$5:$E26))</f>
        <v>22</v>
      </c>
      <c r="B26" s="32"/>
      <c r="C26" s="32" t="s">
        <v>102</v>
      </c>
      <c r="D26" s="32" t="s">
        <v>192</v>
      </c>
      <c r="E26" s="32" t="s">
        <v>204</v>
      </c>
      <c r="F26" s="33" t="s">
        <v>62</v>
      </c>
      <c r="G26" s="32" t="s">
        <v>88</v>
      </c>
      <c r="H26" s="34" t="n">
        <v>46258</v>
      </c>
      <c r="I26" s="35" t="s">
        <v>77</v>
      </c>
      <c r="J26" s="36" t="n">
        <f aca="false">IF(OR($H26="",$I26=""),"",$H26+MATCH($I26,Listas!$F$5:$F$11,0)-1)</f>
        <v>46260</v>
      </c>
      <c r="K26" s="37"/>
      <c r="L26" s="33" t="s">
        <v>63</v>
      </c>
      <c r="M26" s="37"/>
      <c r="N26" s="32"/>
      <c r="O26" s="32"/>
      <c r="P26" s="38" t="str">
        <f aca="true">IF($E26="","",IF($L26="Cancelada","Cancelada",IF(OR($K26&lt;&gt;"",$L26="Concluída"),IF(OR($J26="",$K26="",$K26&lt;=$J26),"Concluída","Concluída com atraso"),IF($J26="","Na carteira",IF($J26&lt;TODAY(),"VENCIDA",IF($L26="Em execução","Em execução",IF($J26=TODAY(),"Hoje","Programada")))))))</f>
        <v>Concluída</v>
      </c>
      <c r="Q26" s="31" t="str">
        <f aca="false">IF($E26="","",IF(ISNUMBER(SEARCH("(externo)",$G26)),"Terceirizada","Interna"))</f>
        <v>Interna</v>
      </c>
      <c r="R26" s="36" t="n">
        <f aca="false">IF($J26="","",IF($M26="",$J26,$M26))</f>
        <v>46260</v>
      </c>
      <c r="S26" s="31" t="n">
        <f aca="false">IF($E26="","",IF(OR($K26="",$J26=""),0,IF($K26&lt;=$J26,1,0)))</f>
        <v>0</v>
      </c>
      <c r="T26" s="31" t="n">
        <f aca="false">IF($E26="","",IF(OR($K26="",$R26=""),0,IF($K26&lt;=$R26,1,0)))</f>
        <v>0</v>
      </c>
      <c r="U26" s="38" t="str">
        <f aca="false">IF(OR($K26="",$J26=""),"",MAX(0,$K26-$J26))</f>
        <v/>
      </c>
      <c r="V26" s="31" t="n">
        <f aca="false">IF($E26="","",IF(AND($M26&lt;&gt;"",$J26&lt;&gt;"",$M26&lt;&gt;$J26),1,0))</f>
        <v>0</v>
      </c>
      <c r="W26" s="39" t="n">
        <f aca="false">IF($E26="","",IF($L26="Cancelada",0,IF(OR($K26&lt;&gt;"",$L26="Concluída"),1,0)))</f>
        <v>1</v>
      </c>
    </row>
    <row r="27" customFormat="false" ht="15" hidden="false" customHeight="true" outlineLevel="0" collapsed="false">
      <c r="A27" s="31" t="n">
        <f aca="false">IF($E27="","",COUNTA($E$5:$E27))</f>
        <v>23</v>
      </c>
      <c r="B27" s="32"/>
      <c r="C27" s="32" t="s">
        <v>104</v>
      </c>
      <c r="D27" s="32" t="s">
        <v>205</v>
      </c>
      <c r="E27" s="32" t="s">
        <v>206</v>
      </c>
      <c r="F27" s="33" t="s">
        <v>62</v>
      </c>
      <c r="G27" s="32" t="s">
        <v>96</v>
      </c>
      <c r="H27" s="34" t="n">
        <v>46258</v>
      </c>
      <c r="I27" s="35" t="s">
        <v>65</v>
      </c>
      <c r="J27" s="36" t="n">
        <f aca="false">IF(OR($H27="",$I27=""),"",$H27+MATCH($I27,Listas!$F$5:$F$11,0)-1)</f>
        <v>46258</v>
      </c>
      <c r="K27" s="37"/>
      <c r="L27" s="33" t="s">
        <v>63</v>
      </c>
      <c r="M27" s="37"/>
      <c r="N27" s="32"/>
      <c r="O27" s="32"/>
      <c r="P27" s="38" t="str">
        <f aca="true">IF($E27="","",IF($L27="Cancelada","Cancelada",IF(OR($K27&lt;&gt;"",$L27="Concluída"),IF(OR($J27="",$K27="",$K27&lt;=$J27),"Concluída","Concluída com atraso"),IF($J27="","Na carteira",IF($J27&lt;TODAY(),"VENCIDA",IF($L27="Em execução","Em execução",IF($J27=TODAY(),"Hoje","Programada")))))))</f>
        <v>Concluída</v>
      </c>
      <c r="Q27" s="31" t="str">
        <f aca="false">IF($E27="","",IF(ISNUMBER(SEARCH("(externo)",$G27)),"Terceirizada","Interna"))</f>
        <v>Interna</v>
      </c>
      <c r="R27" s="36" t="n">
        <f aca="false">IF($J27="","",IF($M27="",$J27,$M27))</f>
        <v>46258</v>
      </c>
      <c r="S27" s="31" t="n">
        <f aca="false">IF($E27="","",IF(OR($K27="",$J27=""),0,IF($K27&lt;=$J27,1,0)))</f>
        <v>0</v>
      </c>
      <c r="T27" s="31" t="n">
        <f aca="false">IF($E27="","",IF(OR($K27="",$R27=""),0,IF($K27&lt;=$R27,1,0)))</f>
        <v>0</v>
      </c>
      <c r="U27" s="38" t="str">
        <f aca="false">IF(OR($K27="",$J27=""),"",MAX(0,$K27-$J27))</f>
        <v/>
      </c>
      <c r="V27" s="31" t="n">
        <f aca="false">IF($E27="","",IF(AND($M27&lt;&gt;"",$J27&lt;&gt;"",$M27&lt;&gt;$J27),1,0))</f>
        <v>0</v>
      </c>
      <c r="W27" s="39" t="n">
        <f aca="false">IF($E27="","",IF($L27="Cancelada",0,IF(OR($K27&lt;&gt;"",$L27="Concluída"),1,0)))</f>
        <v>1</v>
      </c>
    </row>
    <row r="28" customFormat="false" ht="15" hidden="false" customHeight="true" outlineLevel="0" collapsed="false">
      <c r="A28" s="31" t="n">
        <f aca="false">IF($E28="","",COUNTA($E$5:$E28))</f>
        <v>24</v>
      </c>
      <c r="B28" s="32"/>
      <c r="C28" s="32" t="s">
        <v>104</v>
      </c>
      <c r="D28" s="32" t="s">
        <v>205</v>
      </c>
      <c r="E28" s="32" t="s">
        <v>207</v>
      </c>
      <c r="F28" s="33" t="s">
        <v>62</v>
      </c>
      <c r="G28" s="32" t="s">
        <v>96</v>
      </c>
      <c r="H28" s="34" t="n">
        <v>46258</v>
      </c>
      <c r="I28" s="35" t="s">
        <v>65</v>
      </c>
      <c r="J28" s="36" t="n">
        <f aca="false">IF(OR($H28="",$I28=""),"",$H28+MATCH($I28,Listas!$F$5:$F$11,0)-1)</f>
        <v>46258</v>
      </c>
      <c r="K28" s="37"/>
      <c r="L28" s="33" t="s">
        <v>63</v>
      </c>
      <c r="M28" s="37"/>
      <c r="N28" s="32"/>
      <c r="O28" s="32"/>
      <c r="P28" s="38" t="str">
        <f aca="true">IF($E28="","",IF($L28="Cancelada","Cancelada",IF(OR($K28&lt;&gt;"",$L28="Concluída"),IF(OR($J28="",$K28="",$K28&lt;=$J28),"Concluída","Concluída com atraso"),IF($J28="","Na carteira",IF($J28&lt;TODAY(),"VENCIDA",IF($L28="Em execução","Em execução",IF($J28=TODAY(),"Hoje","Programada")))))))</f>
        <v>Concluída</v>
      </c>
      <c r="Q28" s="31" t="str">
        <f aca="false">IF($E28="","",IF(ISNUMBER(SEARCH("(externo)",$G28)),"Terceirizada","Interna"))</f>
        <v>Interna</v>
      </c>
      <c r="R28" s="36" t="n">
        <f aca="false">IF($J28="","",IF($M28="",$J28,$M28))</f>
        <v>46258</v>
      </c>
      <c r="S28" s="31" t="n">
        <f aca="false">IF($E28="","",IF(OR($K28="",$J28=""),0,IF($K28&lt;=$J28,1,0)))</f>
        <v>0</v>
      </c>
      <c r="T28" s="31" t="n">
        <f aca="false">IF($E28="","",IF(OR($K28="",$R28=""),0,IF($K28&lt;=$R28,1,0)))</f>
        <v>0</v>
      </c>
      <c r="U28" s="38" t="str">
        <f aca="false">IF(OR($K28="",$J28=""),"",MAX(0,$K28-$J28))</f>
        <v/>
      </c>
      <c r="V28" s="31" t="n">
        <f aca="false">IF($E28="","",IF(AND($M28&lt;&gt;"",$J28&lt;&gt;"",$M28&lt;&gt;$J28),1,0))</f>
        <v>0</v>
      </c>
      <c r="W28" s="39" t="n">
        <f aca="false">IF($E28="","",IF($L28="Cancelada",0,IF(OR($K28&lt;&gt;"",$L28="Concluída"),1,0)))</f>
        <v>1</v>
      </c>
    </row>
    <row r="29" customFormat="false" ht="15" hidden="false" customHeight="true" outlineLevel="0" collapsed="false">
      <c r="A29" s="31" t="n">
        <f aca="false">IF($E29="","",COUNTA($E$5:$E29))</f>
        <v>25</v>
      </c>
      <c r="B29" s="32"/>
      <c r="C29" s="32" t="s">
        <v>106</v>
      </c>
      <c r="D29" s="32" t="s">
        <v>68</v>
      </c>
      <c r="E29" s="32" t="s">
        <v>208</v>
      </c>
      <c r="F29" s="33" t="s">
        <v>68</v>
      </c>
      <c r="G29" s="32" t="s">
        <v>209</v>
      </c>
      <c r="H29" s="34" t="n">
        <v>46258</v>
      </c>
      <c r="I29" s="35" t="s">
        <v>82</v>
      </c>
      <c r="J29" s="36" t="n">
        <f aca="false">IF(OR($H29="",$I29=""),"",$H29+MATCH($I29,Listas!$F$5:$F$11,0)-1)</f>
        <v>46261</v>
      </c>
      <c r="K29" s="37"/>
      <c r="L29" s="33"/>
      <c r="M29" s="37" t="n">
        <v>46260</v>
      </c>
      <c r="N29" s="32"/>
      <c r="O29" s="32" t="s">
        <v>210</v>
      </c>
      <c r="P29" s="38" t="str">
        <f aca="true">IF($E29="","",IF($L29="Cancelada","Cancelada",IF(OR($K29&lt;&gt;"",$L29="Concluída"),IF(OR($J29="",$K29="",$K29&lt;=$J29),"Concluída","Concluída com atraso"),IF($J29="","Na carteira",IF($J29&lt;TODAY(),"VENCIDA",IF($L29="Em execução","Em execução",IF($J29=TODAY(),"Hoje","Programada")))))))</f>
        <v>Programada</v>
      </c>
      <c r="Q29" s="31" t="str">
        <f aca="false">IF($E29="","",IF(ISNUMBER(SEARCH("(externo)",$G29)),"Terceirizada","Interna"))</f>
        <v>Interna</v>
      </c>
      <c r="R29" s="36" t="n">
        <f aca="false">IF($J29="","",IF($M29="",$J29,$M29))</f>
        <v>46260</v>
      </c>
      <c r="S29" s="31" t="n">
        <f aca="false">IF($E29="","",IF(OR($K29="",$J29=""),0,IF($K29&lt;=$J29,1,0)))</f>
        <v>0</v>
      </c>
      <c r="T29" s="31" t="n">
        <f aca="false">IF($E29="","",IF(OR($K29="",$R29=""),0,IF($K29&lt;=$R29,1,0)))</f>
        <v>0</v>
      </c>
      <c r="U29" s="38" t="str">
        <f aca="false">IF(OR($K29="",$J29=""),"",MAX(0,$K29-$J29))</f>
        <v/>
      </c>
      <c r="V29" s="31" t="n">
        <f aca="false">IF($E29="","",IF(AND($M29&lt;&gt;"",$J29&lt;&gt;"",$M29&lt;&gt;$J29),1,0))</f>
        <v>1</v>
      </c>
      <c r="W29" s="39" t="n">
        <f aca="false">IF($E29="","",IF($L29="Cancelada",0,IF(OR($K29&lt;&gt;"",$L29="Concluída"),1,0)))</f>
        <v>0</v>
      </c>
    </row>
    <row r="30" customFormat="false" ht="15" hidden="false" customHeight="true" outlineLevel="0" collapsed="false">
      <c r="A30" s="31" t="n">
        <f aca="false">IF($E30="","",COUNTA($E$5:$E30))</f>
        <v>26</v>
      </c>
      <c r="B30" s="32"/>
      <c r="C30" s="32" t="s">
        <v>106</v>
      </c>
      <c r="D30" s="32" t="s">
        <v>68</v>
      </c>
      <c r="E30" s="32" t="s">
        <v>211</v>
      </c>
      <c r="F30" s="33" t="s">
        <v>68</v>
      </c>
      <c r="G30" s="32" t="s">
        <v>209</v>
      </c>
      <c r="H30" s="34" t="n">
        <v>46258</v>
      </c>
      <c r="I30" s="35" t="s">
        <v>82</v>
      </c>
      <c r="J30" s="36" t="n">
        <f aca="false">IF(OR($H30="",$I30=""),"",$H30+MATCH($I30,Listas!$F$5:$F$11,0)-1)</f>
        <v>46261</v>
      </c>
      <c r="K30" s="37"/>
      <c r="L30" s="33"/>
      <c r="M30" s="37" t="n">
        <v>46260</v>
      </c>
      <c r="N30" s="32"/>
      <c r="O30" s="32" t="s">
        <v>210</v>
      </c>
      <c r="P30" s="38" t="str">
        <f aca="true">IF($E30="","",IF($L30="Cancelada","Cancelada",IF(OR($K30&lt;&gt;"",$L30="Concluída"),IF(OR($J30="",$K30="",$K30&lt;=$J30),"Concluída","Concluída com atraso"),IF($J30="","Na carteira",IF($J30&lt;TODAY(),"VENCIDA",IF($L30="Em execução","Em execução",IF($J30=TODAY(),"Hoje","Programada")))))))</f>
        <v>Programada</v>
      </c>
      <c r="Q30" s="31" t="str">
        <f aca="false">IF($E30="","",IF(ISNUMBER(SEARCH("(externo)",$G30)),"Terceirizada","Interna"))</f>
        <v>Interna</v>
      </c>
      <c r="R30" s="36" t="n">
        <f aca="false">IF($J30="","",IF($M30="",$J30,$M30))</f>
        <v>46260</v>
      </c>
      <c r="S30" s="31" t="n">
        <f aca="false">IF($E30="","",IF(OR($K30="",$J30=""),0,IF($K30&lt;=$J30,1,0)))</f>
        <v>0</v>
      </c>
      <c r="T30" s="31" t="n">
        <f aca="false">IF($E30="","",IF(OR($K30="",$R30=""),0,IF($K30&lt;=$R30,1,0)))</f>
        <v>0</v>
      </c>
      <c r="U30" s="38" t="str">
        <f aca="false">IF(OR($K30="",$J30=""),"",MAX(0,$K30-$J30))</f>
        <v/>
      </c>
      <c r="V30" s="31" t="n">
        <f aca="false">IF($E30="","",IF(AND($M30&lt;&gt;"",$J30&lt;&gt;"",$M30&lt;&gt;$J30),1,0))</f>
        <v>1</v>
      </c>
      <c r="W30" s="39" t="n">
        <f aca="false">IF($E30="","",IF($L30="Cancelada",0,IF(OR($K30&lt;&gt;"",$L30="Concluída"),1,0)))</f>
        <v>0</v>
      </c>
    </row>
    <row r="31" customFormat="false" ht="15" hidden="false" customHeight="true" outlineLevel="0" collapsed="false">
      <c r="A31" s="31" t="n">
        <f aca="false">IF($E31="","",COUNTA($E$5:$E31))</f>
        <v>27</v>
      </c>
      <c r="B31" s="32"/>
      <c r="C31" s="32" t="s">
        <v>106</v>
      </c>
      <c r="D31" s="32" t="s">
        <v>68</v>
      </c>
      <c r="E31" s="32" t="s">
        <v>212</v>
      </c>
      <c r="F31" s="33" t="s">
        <v>68</v>
      </c>
      <c r="G31" s="32" t="s">
        <v>209</v>
      </c>
      <c r="H31" s="34" t="n">
        <v>46258</v>
      </c>
      <c r="I31" s="35" t="s">
        <v>82</v>
      </c>
      <c r="J31" s="36" t="n">
        <f aca="false">IF(OR($H31="",$I31=""),"",$H31+MATCH($I31,Listas!$F$5:$F$11,0)-1)</f>
        <v>46261</v>
      </c>
      <c r="K31" s="37"/>
      <c r="L31" s="33"/>
      <c r="M31" s="37" t="n">
        <v>46260</v>
      </c>
      <c r="N31" s="32"/>
      <c r="O31" s="32" t="s">
        <v>210</v>
      </c>
      <c r="P31" s="38" t="str">
        <f aca="true">IF($E31="","",IF($L31="Cancelada","Cancelada",IF(OR($K31&lt;&gt;"",$L31="Concluída"),IF(OR($J31="",$K31="",$K31&lt;=$J31),"Concluída","Concluída com atraso"),IF($J31="","Na carteira",IF($J31&lt;TODAY(),"VENCIDA",IF($L31="Em execução","Em execução",IF($J31=TODAY(),"Hoje","Programada")))))))</f>
        <v>Programada</v>
      </c>
      <c r="Q31" s="31" t="str">
        <f aca="false">IF($E31="","",IF(ISNUMBER(SEARCH("(externo)",$G31)),"Terceirizada","Interna"))</f>
        <v>Interna</v>
      </c>
      <c r="R31" s="36" t="n">
        <f aca="false">IF($J31="","",IF($M31="",$J31,$M31))</f>
        <v>46260</v>
      </c>
      <c r="S31" s="31" t="n">
        <f aca="false">IF($E31="","",IF(OR($K31="",$J31=""),0,IF($K31&lt;=$J31,1,0)))</f>
        <v>0</v>
      </c>
      <c r="T31" s="31" t="n">
        <f aca="false">IF($E31="","",IF(OR($K31="",$R31=""),0,IF($K31&lt;=$R31,1,0)))</f>
        <v>0</v>
      </c>
      <c r="U31" s="38" t="str">
        <f aca="false">IF(OR($K31="",$J31=""),"",MAX(0,$K31-$J31))</f>
        <v/>
      </c>
      <c r="V31" s="31" t="n">
        <f aca="false">IF($E31="","",IF(AND($M31&lt;&gt;"",$J31&lt;&gt;"",$M31&lt;&gt;$J31),1,0))</f>
        <v>1</v>
      </c>
      <c r="W31" s="39" t="n">
        <f aca="false">IF($E31="","",IF($L31="Cancelada",0,IF(OR($K31&lt;&gt;"",$L31="Concluída"),1,0)))</f>
        <v>0</v>
      </c>
    </row>
    <row r="32" customFormat="false" ht="15" hidden="false" customHeight="true" outlineLevel="0" collapsed="false">
      <c r="A32" s="31" t="n">
        <f aca="false">IF($E32="","",COUNTA($E$5:$E32))</f>
        <v>28</v>
      </c>
      <c r="B32" s="32"/>
      <c r="C32" s="32" t="s">
        <v>106</v>
      </c>
      <c r="D32" s="32" t="s">
        <v>68</v>
      </c>
      <c r="E32" s="32" t="s">
        <v>213</v>
      </c>
      <c r="F32" s="33" t="s">
        <v>68</v>
      </c>
      <c r="G32" s="32" t="s">
        <v>209</v>
      </c>
      <c r="H32" s="34" t="n">
        <v>46258</v>
      </c>
      <c r="I32" s="35" t="s">
        <v>82</v>
      </c>
      <c r="J32" s="36" t="n">
        <f aca="false">IF(OR($H32="",$I32=""),"",$H32+MATCH($I32,Listas!$F$5:$F$11,0)-1)</f>
        <v>46261</v>
      </c>
      <c r="K32" s="37"/>
      <c r="L32" s="33"/>
      <c r="M32" s="37" t="n">
        <v>46260</v>
      </c>
      <c r="N32" s="32"/>
      <c r="O32" s="32" t="s">
        <v>210</v>
      </c>
      <c r="P32" s="38" t="str">
        <f aca="true">IF($E32="","",IF($L32="Cancelada","Cancelada",IF(OR($K32&lt;&gt;"",$L32="Concluída"),IF(OR($J32="",$K32="",$K32&lt;=$J32),"Concluída","Concluída com atraso"),IF($J32="","Na carteira",IF($J32&lt;TODAY(),"VENCIDA",IF($L32="Em execução","Em execução",IF($J32=TODAY(),"Hoje","Programada")))))))</f>
        <v>Programada</v>
      </c>
      <c r="Q32" s="31" t="str">
        <f aca="false">IF($E32="","",IF(ISNUMBER(SEARCH("(externo)",$G32)),"Terceirizada","Interna"))</f>
        <v>Interna</v>
      </c>
      <c r="R32" s="36" t="n">
        <f aca="false">IF($J32="","",IF($M32="",$J32,$M32))</f>
        <v>46260</v>
      </c>
      <c r="S32" s="31" t="n">
        <f aca="false">IF($E32="","",IF(OR($K32="",$J32=""),0,IF($K32&lt;=$J32,1,0)))</f>
        <v>0</v>
      </c>
      <c r="T32" s="31" t="n">
        <f aca="false">IF($E32="","",IF(OR($K32="",$R32=""),0,IF($K32&lt;=$R32,1,0)))</f>
        <v>0</v>
      </c>
      <c r="U32" s="38" t="str">
        <f aca="false">IF(OR($K32="",$J32=""),"",MAX(0,$K32-$J32))</f>
        <v/>
      </c>
      <c r="V32" s="31" t="n">
        <f aca="false">IF($E32="","",IF(AND($M32&lt;&gt;"",$J32&lt;&gt;"",$M32&lt;&gt;$J32),1,0))</f>
        <v>1</v>
      </c>
      <c r="W32" s="39" t="n">
        <f aca="false">IF($E32="","",IF($L32="Cancelada",0,IF(OR($K32&lt;&gt;"",$L32="Concluída"),1,0)))</f>
        <v>0</v>
      </c>
    </row>
    <row r="33" customFormat="false" ht="15" hidden="false" customHeight="true" outlineLevel="0" collapsed="false">
      <c r="A33" s="31" t="n">
        <f aca="false">IF($E33="","",COUNTA($E$5:$E33))</f>
        <v>29</v>
      </c>
      <c r="B33" s="32"/>
      <c r="C33" s="32" t="s">
        <v>106</v>
      </c>
      <c r="D33" s="32" t="s">
        <v>68</v>
      </c>
      <c r="E33" s="32" t="s">
        <v>214</v>
      </c>
      <c r="F33" s="33" t="s">
        <v>68</v>
      </c>
      <c r="G33" s="32" t="s">
        <v>209</v>
      </c>
      <c r="H33" s="34" t="n">
        <v>46258</v>
      </c>
      <c r="I33" s="35" t="s">
        <v>82</v>
      </c>
      <c r="J33" s="36" t="n">
        <f aca="false">IF(OR($H33="",$I33=""),"",$H33+MATCH($I33,Listas!$F$5:$F$11,0)-1)</f>
        <v>46261</v>
      </c>
      <c r="K33" s="37"/>
      <c r="L33" s="33"/>
      <c r="M33" s="37" t="n">
        <v>46260</v>
      </c>
      <c r="N33" s="32"/>
      <c r="O33" s="32" t="s">
        <v>210</v>
      </c>
      <c r="P33" s="38" t="str">
        <f aca="true">IF($E33="","",IF($L33="Cancelada","Cancelada",IF(OR($K33&lt;&gt;"",$L33="Concluída"),IF(OR($J33="",$K33="",$K33&lt;=$J33),"Concluída","Concluída com atraso"),IF($J33="","Na carteira",IF($J33&lt;TODAY(),"VENCIDA",IF($L33="Em execução","Em execução",IF($J33=TODAY(),"Hoje","Programada")))))))</f>
        <v>Programada</v>
      </c>
      <c r="Q33" s="31" t="str">
        <f aca="false">IF($E33="","",IF(ISNUMBER(SEARCH("(externo)",$G33)),"Terceirizada","Interna"))</f>
        <v>Interna</v>
      </c>
      <c r="R33" s="36" t="n">
        <f aca="false">IF($J33="","",IF($M33="",$J33,$M33))</f>
        <v>46260</v>
      </c>
      <c r="S33" s="31" t="n">
        <f aca="false">IF($E33="","",IF(OR($K33="",$J33=""),0,IF($K33&lt;=$J33,1,0)))</f>
        <v>0</v>
      </c>
      <c r="T33" s="31" t="n">
        <f aca="false">IF($E33="","",IF(OR($K33="",$R33=""),0,IF($K33&lt;=$R33,1,0)))</f>
        <v>0</v>
      </c>
      <c r="U33" s="38" t="str">
        <f aca="false">IF(OR($K33="",$J33=""),"",MAX(0,$K33-$J33))</f>
        <v/>
      </c>
      <c r="V33" s="31" t="n">
        <f aca="false">IF($E33="","",IF(AND($M33&lt;&gt;"",$J33&lt;&gt;"",$M33&lt;&gt;$J33),1,0))</f>
        <v>1</v>
      </c>
      <c r="W33" s="39" t="n">
        <f aca="false">IF($E33="","",IF($L33="Cancelada",0,IF(OR($K33&lt;&gt;"",$L33="Concluída"),1,0)))</f>
        <v>0</v>
      </c>
    </row>
    <row r="34" customFormat="false" ht="15" hidden="false" customHeight="true" outlineLevel="0" collapsed="false">
      <c r="A34" s="31" t="n">
        <f aca="false">IF($E34="","",COUNTA($E$5:$E34))</f>
        <v>30</v>
      </c>
      <c r="B34" s="32"/>
      <c r="C34" s="32" t="s">
        <v>106</v>
      </c>
      <c r="D34" s="32" t="s">
        <v>68</v>
      </c>
      <c r="E34" s="32" t="s">
        <v>215</v>
      </c>
      <c r="F34" s="33" t="s">
        <v>68</v>
      </c>
      <c r="G34" s="32" t="s">
        <v>209</v>
      </c>
      <c r="H34" s="34" t="n">
        <v>46258</v>
      </c>
      <c r="I34" s="35" t="s">
        <v>82</v>
      </c>
      <c r="J34" s="36" t="n">
        <f aca="false">IF(OR($H34="",$I34=""),"",$H34+MATCH($I34,Listas!$F$5:$F$11,0)-1)</f>
        <v>46261</v>
      </c>
      <c r="K34" s="37"/>
      <c r="L34" s="33"/>
      <c r="M34" s="37" t="n">
        <v>46260</v>
      </c>
      <c r="N34" s="32"/>
      <c r="O34" s="32" t="s">
        <v>210</v>
      </c>
      <c r="P34" s="38" t="str">
        <f aca="true">IF($E34="","",IF($L34="Cancelada","Cancelada",IF(OR($K34&lt;&gt;"",$L34="Concluída"),IF(OR($J34="",$K34="",$K34&lt;=$J34),"Concluída","Concluída com atraso"),IF($J34="","Na carteira",IF($J34&lt;TODAY(),"VENCIDA",IF($L34="Em execução","Em execução",IF($J34=TODAY(),"Hoje","Programada")))))))</f>
        <v>Programada</v>
      </c>
      <c r="Q34" s="31" t="str">
        <f aca="false">IF($E34="","",IF(ISNUMBER(SEARCH("(externo)",$G34)),"Terceirizada","Interna"))</f>
        <v>Interna</v>
      </c>
      <c r="R34" s="36" t="n">
        <f aca="false">IF($J34="","",IF($M34="",$J34,$M34))</f>
        <v>46260</v>
      </c>
      <c r="S34" s="31" t="n">
        <f aca="false">IF($E34="","",IF(OR($K34="",$J34=""),0,IF($K34&lt;=$J34,1,0)))</f>
        <v>0</v>
      </c>
      <c r="T34" s="31" t="n">
        <f aca="false">IF($E34="","",IF(OR($K34="",$R34=""),0,IF($K34&lt;=$R34,1,0)))</f>
        <v>0</v>
      </c>
      <c r="U34" s="38" t="str">
        <f aca="false">IF(OR($K34="",$J34=""),"",MAX(0,$K34-$J34))</f>
        <v/>
      </c>
      <c r="V34" s="31" t="n">
        <f aca="false">IF($E34="","",IF(AND($M34&lt;&gt;"",$J34&lt;&gt;"",$M34&lt;&gt;$J34),1,0))</f>
        <v>1</v>
      </c>
      <c r="W34" s="39" t="n">
        <f aca="false">IF($E34="","",IF($L34="Cancelada",0,IF(OR($K34&lt;&gt;"",$L34="Concluída"),1,0)))</f>
        <v>0</v>
      </c>
    </row>
    <row r="35" customFormat="false" ht="15" hidden="false" customHeight="true" outlineLevel="0" collapsed="false">
      <c r="A35" s="31" t="n">
        <f aca="false">IF($E35="","",COUNTA($E$5:$E35))</f>
        <v>31</v>
      </c>
      <c r="B35" s="32"/>
      <c r="C35" s="32" t="s">
        <v>106</v>
      </c>
      <c r="D35" s="32" t="s">
        <v>68</v>
      </c>
      <c r="E35" s="32" t="s">
        <v>216</v>
      </c>
      <c r="F35" s="33" t="s">
        <v>68</v>
      </c>
      <c r="G35" s="32" t="s">
        <v>209</v>
      </c>
      <c r="H35" s="34" t="n">
        <v>46258</v>
      </c>
      <c r="I35" s="35" t="s">
        <v>82</v>
      </c>
      <c r="J35" s="36" t="n">
        <f aca="false">IF(OR($H35="",$I35=""),"",$H35+MATCH($I35,Listas!$F$5:$F$11,0)-1)</f>
        <v>46261</v>
      </c>
      <c r="K35" s="37"/>
      <c r="L35" s="33"/>
      <c r="M35" s="37" t="n">
        <v>46260</v>
      </c>
      <c r="N35" s="32"/>
      <c r="O35" s="32" t="s">
        <v>210</v>
      </c>
      <c r="P35" s="38" t="str">
        <f aca="true">IF($E35="","",IF($L35="Cancelada","Cancelada",IF(OR($K35&lt;&gt;"",$L35="Concluída"),IF(OR($J35="",$K35="",$K35&lt;=$J35),"Concluída","Concluída com atraso"),IF($J35="","Na carteira",IF($J35&lt;TODAY(),"VENCIDA",IF($L35="Em execução","Em execução",IF($J35=TODAY(),"Hoje","Programada")))))))</f>
        <v>Programada</v>
      </c>
      <c r="Q35" s="31" t="str">
        <f aca="false">IF($E35="","",IF(ISNUMBER(SEARCH("(externo)",$G35)),"Terceirizada","Interna"))</f>
        <v>Interna</v>
      </c>
      <c r="R35" s="36" t="n">
        <f aca="false">IF($J35="","",IF($M35="",$J35,$M35))</f>
        <v>46260</v>
      </c>
      <c r="S35" s="31" t="n">
        <f aca="false">IF($E35="","",IF(OR($K35="",$J35=""),0,IF($K35&lt;=$J35,1,0)))</f>
        <v>0</v>
      </c>
      <c r="T35" s="31" t="n">
        <f aca="false">IF($E35="","",IF(OR($K35="",$R35=""),0,IF($K35&lt;=$R35,1,0)))</f>
        <v>0</v>
      </c>
      <c r="U35" s="38" t="str">
        <f aca="false">IF(OR($K35="",$J35=""),"",MAX(0,$K35-$J35))</f>
        <v/>
      </c>
      <c r="V35" s="31" t="n">
        <f aca="false">IF($E35="","",IF(AND($M35&lt;&gt;"",$J35&lt;&gt;"",$M35&lt;&gt;$J35),1,0))</f>
        <v>1</v>
      </c>
      <c r="W35" s="39" t="n">
        <f aca="false">IF($E35="","",IF($L35="Cancelada",0,IF(OR($K35&lt;&gt;"",$L35="Concluída"),1,0)))</f>
        <v>0</v>
      </c>
    </row>
    <row r="36" customFormat="false" ht="15" hidden="false" customHeight="true" outlineLevel="0" collapsed="false">
      <c r="A36" s="31" t="n">
        <f aca="false">IF($E36="","",COUNTA($E$5:$E36))</f>
        <v>32</v>
      </c>
      <c r="B36" s="32"/>
      <c r="C36" s="32" t="s">
        <v>106</v>
      </c>
      <c r="D36" s="32" t="s">
        <v>68</v>
      </c>
      <c r="E36" s="32" t="s">
        <v>217</v>
      </c>
      <c r="F36" s="33" t="s">
        <v>68</v>
      </c>
      <c r="G36" s="32" t="s">
        <v>209</v>
      </c>
      <c r="H36" s="34" t="n">
        <v>46258</v>
      </c>
      <c r="I36" s="35" t="s">
        <v>82</v>
      </c>
      <c r="J36" s="36" t="n">
        <f aca="false">IF(OR($H36="",$I36=""),"",$H36+MATCH($I36,Listas!$F$5:$F$11,0)-1)</f>
        <v>46261</v>
      </c>
      <c r="K36" s="37"/>
      <c r="L36" s="33"/>
      <c r="M36" s="37" t="n">
        <v>46260</v>
      </c>
      <c r="N36" s="32"/>
      <c r="O36" s="32" t="s">
        <v>210</v>
      </c>
      <c r="P36" s="38" t="str">
        <f aca="true">IF($E36="","",IF($L36="Cancelada","Cancelada",IF(OR($K36&lt;&gt;"",$L36="Concluída"),IF(OR($J36="",$K36="",$K36&lt;=$J36),"Concluída","Concluída com atraso"),IF($J36="","Na carteira",IF($J36&lt;TODAY(),"VENCIDA",IF($L36="Em execução","Em execução",IF($J36=TODAY(),"Hoje","Programada")))))))</f>
        <v>Programada</v>
      </c>
      <c r="Q36" s="31" t="str">
        <f aca="false">IF($E36="","",IF(ISNUMBER(SEARCH("(externo)",$G36)),"Terceirizada","Interna"))</f>
        <v>Interna</v>
      </c>
      <c r="R36" s="36" t="n">
        <f aca="false">IF($J36="","",IF($M36="",$J36,$M36))</f>
        <v>46260</v>
      </c>
      <c r="S36" s="31" t="n">
        <f aca="false">IF($E36="","",IF(OR($K36="",$J36=""),0,IF($K36&lt;=$J36,1,0)))</f>
        <v>0</v>
      </c>
      <c r="T36" s="31" t="n">
        <f aca="false">IF($E36="","",IF(OR($K36="",$R36=""),0,IF($K36&lt;=$R36,1,0)))</f>
        <v>0</v>
      </c>
      <c r="U36" s="38" t="str">
        <f aca="false">IF(OR($K36="",$J36=""),"",MAX(0,$K36-$J36))</f>
        <v/>
      </c>
      <c r="V36" s="31" t="n">
        <f aca="false">IF($E36="","",IF(AND($M36&lt;&gt;"",$J36&lt;&gt;"",$M36&lt;&gt;$J36),1,0))</f>
        <v>1</v>
      </c>
      <c r="W36" s="39" t="n">
        <f aca="false">IF($E36="","",IF($L36="Cancelada",0,IF(OR($K36&lt;&gt;"",$L36="Concluída"),1,0)))</f>
        <v>0</v>
      </c>
    </row>
    <row r="37" customFormat="false" ht="15" hidden="false" customHeight="true" outlineLevel="0" collapsed="false">
      <c r="A37" s="31" t="n">
        <f aca="false">IF($E37="","",COUNTA($E$5:$E37))</f>
        <v>33</v>
      </c>
      <c r="B37" s="32"/>
      <c r="C37" s="32" t="s">
        <v>106</v>
      </c>
      <c r="D37" s="32" t="s">
        <v>68</v>
      </c>
      <c r="E37" s="32" t="s">
        <v>218</v>
      </c>
      <c r="F37" s="33" t="s">
        <v>68</v>
      </c>
      <c r="G37" s="32" t="s">
        <v>209</v>
      </c>
      <c r="H37" s="34" t="n">
        <v>46258</v>
      </c>
      <c r="I37" s="35" t="s">
        <v>82</v>
      </c>
      <c r="J37" s="36" t="n">
        <f aca="false">IF(OR($H37="",$I37=""),"",$H37+MATCH($I37,Listas!$F$5:$F$11,0)-1)</f>
        <v>46261</v>
      </c>
      <c r="K37" s="37"/>
      <c r="L37" s="33"/>
      <c r="M37" s="37" t="n">
        <v>46260</v>
      </c>
      <c r="N37" s="32"/>
      <c r="O37" s="32" t="s">
        <v>210</v>
      </c>
      <c r="P37" s="38" t="str">
        <f aca="true">IF($E37="","",IF($L37="Cancelada","Cancelada",IF(OR($K37&lt;&gt;"",$L37="Concluída"),IF(OR($J37="",$K37="",$K37&lt;=$J37),"Concluída","Concluída com atraso"),IF($J37="","Na carteira",IF($J37&lt;TODAY(),"VENCIDA",IF($L37="Em execução","Em execução",IF($J37=TODAY(),"Hoje","Programada")))))))</f>
        <v>Programada</v>
      </c>
      <c r="Q37" s="31" t="str">
        <f aca="false">IF($E37="","",IF(ISNUMBER(SEARCH("(externo)",$G37)),"Terceirizada","Interna"))</f>
        <v>Interna</v>
      </c>
      <c r="R37" s="36" t="n">
        <f aca="false">IF($J37="","",IF($M37="",$J37,$M37))</f>
        <v>46260</v>
      </c>
      <c r="S37" s="31" t="n">
        <f aca="false">IF($E37="","",IF(OR($K37="",$J37=""),0,IF($K37&lt;=$J37,1,0)))</f>
        <v>0</v>
      </c>
      <c r="T37" s="31" t="n">
        <f aca="false">IF($E37="","",IF(OR($K37="",$R37=""),0,IF($K37&lt;=$R37,1,0)))</f>
        <v>0</v>
      </c>
      <c r="U37" s="38" t="str">
        <f aca="false">IF(OR($K37="",$J37=""),"",MAX(0,$K37-$J37))</f>
        <v/>
      </c>
      <c r="V37" s="31" t="n">
        <f aca="false">IF($E37="","",IF(AND($M37&lt;&gt;"",$J37&lt;&gt;"",$M37&lt;&gt;$J37),1,0))</f>
        <v>1</v>
      </c>
      <c r="W37" s="39" t="n">
        <f aca="false">IF($E37="","",IF($L37="Cancelada",0,IF(OR($K37&lt;&gt;"",$L37="Concluída"),1,0)))</f>
        <v>0</v>
      </c>
    </row>
    <row r="38" customFormat="false" ht="15" hidden="false" customHeight="true" outlineLevel="0" collapsed="false">
      <c r="A38" s="31" t="n">
        <f aca="false">IF($E38="","",COUNTA($E$5:$E38))</f>
        <v>34</v>
      </c>
      <c r="B38" s="32"/>
      <c r="C38" s="32" t="s">
        <v>106</v>
      </c>
      <c r="D38" s="32" t="s">
        <v>68</v>
      </c>
      <c r="E38" s="32" t="s">
        <v>219</v>
      </c>
      <c r="F38" s="33" t="s">
        <v>68</v>
      </c>
      <c r="G38" s="32" t="s">
        <v>209</v>
      </c>
      <c r="H38" s="34" t="n">
        <v>46258</v>
      </c>
      <c r="I38" s="35" t="s">
        <v>82</v>
      </c>
      <c r="J38" s="36" t="n">
        <f aca="false">IF(OR($H38="",$I38=""),"",$H38+MATCH($I38,Listas!$F$5:$F$11,0)-1)</f>
        <v>46261</v>
      </c>
      <c r="K38" s="37"/>
      <c r="L38" s="33"/>
      <c r="M38" s="37" t="n">
        <v>46260</v>
      </c>
      <c r="N38" s="32"/>
      <c r="O38" s="32" t="s">
        <v>210</v>
      </c>
      <c r="P38" s="38" t="str">
        <f aca="true">IF($E38="","",IF($L38="Cancelada","Cancelada",IF(OR($K38&lt;&gt;"",$L38="Concluída"),IF(OR($J38="",$K38="",$K38&lt;=$J38),"Concluída","Concluída com atraso"),IF($J38="","Na carteira",IF($J38&lt;TODAY(),"VENCIDA",IF($L38="Em execução","Em execução",IF($J38=TODAY(),"Hoje","Programada")))))))</f>
        <v>Programada</v>
      </c>
      <c r="Q38" s="31" t="str">
        <f aca="false">IF($E38="","",IF(ISNUMBER(SEARCH("(externo)",$G38)),"Terceirizada","Interna"))</f>
        <v>Interna</v>
      </c>
      <c r="R38" s="36" t="n">
        <f aca="false">IF($J38="","",IF($M38="",$J38,$M38))</f>
        <v>46260</v>
      </c>
      <c r="S38" s="31" t="n">
        <f aca="false">IF($E38="","",IF(OR($K38="",$J38=""),0,IF($K38&lt;=$J38,1,0)))</f>
        <v>0</v>
      </c>
      <c r="T38" s="31" t="n">
        <f aca="false">IF($E38="","",IF(OR($K38="",$R38=""),0,IF($K38&lt;=$R38,1,0)))</f>
        <v>0</v>
      </c>
      <c r="U38" s="38" t="str">
        <f aca="false">IF(OR($K38="",$J38=""),"",MAX(0,$K38-$J38))</f>
        <v/>
      </c>
      <c r="V38" s="31" t="n">
        <f aca="false">IF($E38="","",IF(AND($M38&lt;&gt;"",$J38&lt;&gt;"",$M38&lt;&gt;$J38),1,0))</f>
        <v>1</v>
      </c>
      <c r="W38" s="39" t="n">
        <f aca="false">IF($E38="","",IF($L38="Cancelada",0,IF(OR($K38&lt;&gt;"",$L38="Concluída"),1,0)))</f>
        <v>0</v>
      </c>
    </row>
    <row r="39" customFormat="false" ht="15" hidden="false" customHeight="true" outlineLevel="0" collapsed="false">
      <c r="A39" s="31" t="n">
        <f aca="false">IF($E39="","",COUNTA($E$5:$E39))</f>
        <v>35</v>
      </c>
      <c r="B39" s="32"/>
      <c r="C39" s="32" t="s">
        <v>106</v>
      </c>
      <c r="D39" s="32" t="s">
        <v>68</v>
      </c>
      <c r="E39" s="32" t="s">
        <v>220</v>
      </c>
      <c r="F39" s="33" t="s">
        <v>68</v>
      </c>
      <c r="G39" s="32" t="s">
        <v>209</v>
      </c>
      <c r="H39" s="34" t="n">
        <v>46258</v>
      </c>
      <c r="I39" s="35" t="s">
        <v>82</v>
      </c>
      <c r="J39" s="36" t="n">
        <f aca="false">IF(OR($H39="",$I39=""),"",$H39+MATCH($I39,Listas!$F$5:$F$11,0)-1)</f>
        <v>46261</v>
      </c>
      <c r="K39" s="37"/>
      <c r="L39" s="33"/>
      <c r="M39" s="37" t="n">
        <v>46260</v>
      </c>
      <c r="N39" s="32"/>
      <c r="O39" s="32" t="s">
        <v>210</v>
      </c>
      <c r="P39" s="38" t="str">
        <f aca="true">IF($E39="","",IF($L39="Cancelada","Cancelada",IF(OR($K39&lt;&gt;"",$L39="Concluída"),IF(OR($J39="",$K39="",$K39&lt;=$J39),"Concluída","Concluída com atraso"),IF($J39="","Na carteira",IF($J39&lt;TODAY(),"VENCIDA",IF($L39="Em execução","Em execução",IF($J39=TODAY(),"Hoje","Programada")))))))</f>
        <v>Programada</v>
      </c>
      <c r="Q39" s="31" t="str">
        <f aca="false">IF($E39="","",IF(ISNUMBER(SEARCH("(externo)",$G39)),"Terceirizada","Interna"))</f>
        <v>Interna</v>
      </c>
      <c r="R39" s="36" t="n">
        <f aca="false">IF($J39="","",IF($M39="",$J39,$M39))</f>
        <v>46260</v>
      </c>
      <c r="S39" s="31" t="n">
        <f aca="false">IF($E39="","",IF(OR($K39="",$J39=""),0,IF($K39&lt;=$J39,1,0)))</f>
        <v>0</v>
      </c>
      <c r="T39" s="31" t="n">
        <f aca="false">IF($E39="","",IF(OR($K39="",$R39=""),0,IF($K39&lt;=$R39,1,0)))</f>
        <v>0</v>
      </c>
      <c r="U39" s="38" t="str">
        <f aca="false">IF(OR($K39="",$J39=""),"",MAX(0,$K39-$J39))</f>
        <v/>
      </c>
      <c r="V39" s="31" t="n">
        <f aca="false">IF($E39="","",IF(AND($M39&lt;&gt;"",$J39&lt;&gt;"",$M39&lt;&gt;$J39),1,0))</f>
        <v>1</v>
      </c>
      <c r="W39" s="39" t="n">
        <f aca="false">IF($E39="","",IF($L39="Cancelada",0,IF(OR($K39&lt;&gt;"",$L39="Concluída"),1,0)))</f>
        <v>0</v>
      </c>
    </row>
    <row r="40" customFormat="false" ht="15" hidden="false" customHeight="true" outlineLevel="0" collapsed="false">
      <c r="A40" s="31" t="n">
        <f aca="false">IF($E40="","",COUNTA($E$5:$E40))</f>
        <v>36</v>
      </c>
      <c r="B40" s="32"/>
      <c r="C40" s="32" t="s">
        <v>113</v>
      </c>
      <c r="D40" s="32" t="s">
        <v>221</v>
      </c>
      <c r="E40" s="32" t="s">
        <v>221</v>
      </c>
      <c r="F40" s="33" t="s">
        <v>62</v>
      </c>
      <c r="G40" s="32" t="s">
        <v>60</v>
      </c>
      <c r="H40" s="34" t="n">
        <v>46258</v>
      </c>
      <c r="I40" s="35" t="s">
        <v>82</v>
      </c>
      <c r="J40" s="36" t="n">
        <f aca="false">IF(OR($H40="",$I40=""),"",$H40+MATCH($I40,Listas!$F$5:$F$11,0)-1)</f>
        <v>46261</v>
      </c>
      <c r="K40" s="37"/>
      <c r="L40" s="33"/>
      <c r="M40" s="37"/>
      <c r="N40" s="32"/>
      <c r="O40" s="32" t="s">
        <v>222</v>
      </c>
      <c r="P40" s="38" t="str">
        <f aca="true">IF($E40="","",IF($L40="Cancelada","Cancelada",IF(OR($K40&lt;&gt;"",$L40="Concluída"),IF(OR($J40="",$K40="",$K40&lt;=$J40),"Concluída","Concluída com atraso"),IF($J40="","Na carteira",IF($J40&lt;TODAY(),"VENCIDA",IF($L40="Em execução","Em execução",IF($J40=TODAY(),"Hoje","Programada")))))))</f>
        <v>Programada</v>
      </c>
      <c r="Q40" s="31" t="str">
        <f aca="false">IF($E40="","",IF(ISNUMBER(SEARCH("(externo)",$G40)),"Terceirizada","Interna"))</f>
        <v>Interna</v>
      </c>
      <c r="R40" s="36" t="n">
        <f aca="false">IF($J40="","",IF($M40="",$J40,$M40))</f>
        <v>46261</v>
      </c>
      <c r="S40" s="31" t="n">
        <f aca="false">IF($E40="","",IF(OR($K40="",$J40=""),0,IF($K40&lt;=$J40,1,0)))</f>
        <v>0</v>
      </c>
      <c r="T40" s="31" t="n">
        <f aca="false">IF($E40="","",IF(OR($K40="",$R40=""),0,IF($K40&lt;=$R40,1,0)))</f>
        <v>0</v>
      </c>
      <c r="U40" s="38" t="str">
        <f aca="false">IF(OR($K40="",$J40=""),"",MAX(0,$K40-$J40))</f>
        <v/>
      </c>
      <c r="V40" s="31" t="n">
        <f aca="false">IF($E40="","",IF(AND($M40&lt;&gt;"",$J40&lt;&gt;"",$M40&lt;&gt;$J40),1,0))</f>
        <v>0</v>
      </c>
      <c r="W40" s="39" t="n">
        <f aca="false">IF($E40="","",IF($L40="Cancelada",0,IF(OR($K40&lt;&gt;"",$L40="Concluída"),1,0)))</f>
        <v>0</v>
      </c>
    </row>
    <row r="41" customFormat="false" ht="15" hidden="false" customHeight="true" outlineLevel="0" collapsed="false">
      <c r="A41" s="31" t="n">
        <f aca="false">IF($E41="","",COUNTA($E$5:$E41))</f>
        <v>37</v>
      </c>
      <c r="B41" s="32"/>
      <c r="C41" s="32" t="s">
        <v>114</v>
      </c>
      <c r="D41" s="32" t="s">
        <v>221</v>
      </c>
      <c r="E41" s="32" t="s">
        <v>221</v>
      </c>
      <c r="F41" s="33" t="s">
        <v>62</v>
      </c>
      <c r="G41" s="32" t="s">
        <v>60</v>
      </c>
      <c r="H41" s="34" t="n">
        <v>46258</v>
      </c>
      <c r="I41" s="35" t="s">
        <v>82</v>
      </c>
      <c r="J41" s="36" t="n">
        <f aca="false">IF(OR($H41="",$I41=""),"",$H41+MATCH($I41,Listas!$F$5:$F$11,0)-1)</f>
        <v>46261</v>
      </c>
      <c r="K41" s="37"/>
      <c r="L41" s="33"/>
      <c r="M41" s="37"/>
      <c r="N41" s="32"/>
      <c r="O41" s="32" t="s">
        <v>222</v>
      </c>
      <c r="P41" s="38" t="str">
        <f aca="true">IF($E41="","",IF($L41="Cancelada","Cancelada",IF(OR($K41&lt;&gt;"",$L41="Concluída"),IF(OR($J41="",$K41="",$K41&lt;=$J41),"Concluída","Concluída com atraso"),IF($J41="","Na carteira",IF($J41&lt;TODAY(),"VENCIDA",IF($L41="Em execução","Em execução",IF($J41=TODAY(),"Hoje","Programada")))))))</f>
        <v>Programada</v>
      </c>
      <c r="Q41" s="31" t="str">
        <f aca="false">IF($E41="","",IF(ISNUMBER(SEARCH("(externo)",$G41)),"Terceirizada","Interna"))</f>
        <v>Interna</v>
      </c>
      <c r="R41" s="36" t="n">
        <f aca="false">IF($J41="","",IF($M41="",$J41,$M41))</f>
        <v>46261</v>
      </c>
      <c r="S41" s="31" t="n">
        <f aca="false">IF($E41="","",IF(OR($K41="",$J41=""),0,IF($K41&lt;=$J41,1,0)))</f>
        <v>0</v>
      </c>
      <c r="T41" s="31" t="n">
        <f aca="false">IF($E41="","",IF(OR($K41="",$R41=""),0,IF($K41&lt;=$R41,1,0)))</f>
        <v>0</v>
      </c>
      <c r="U41" s="38" t="str">
        <f aca="false">IF(OR($K41="",$J41=""),"",MAX(0,$K41-$J41))</f>
        <v/>
      </c>
      <c r="V41" s="31" t="n">
        <f aca="false">IF($E41="","",IF(AND($M41&lt;&gt;"",$J41&lt;&gt;"",$M41&lt;&gt;$J41),1,0))</f>
        <v>0</v>
      </c>
      <c r="W41" s="39" t="n">
        <f aca="false">IF($E41="","",IF($L41="Cancelada",0,IF(OR($K41&lt;&gt;"",$L41="Concluída"),1,0)))</f>
        <v>0</v>
      </c>
    </row>
    <row r="42" customFormat="false" ht="15" hidden="false" customHeight="true" outlineLevel="0" collapsed="false">
      <c r="A42" s="31" t="n">
        <f aca="false">IF($E42="","",COUNTA($E$5:$E42))</f>
        <v>38</v>
      </c>
      <c r="B42" s="32" t="s">
        <v>223</v>
      </c>
      <c r="C42" s="32" t="s">
        <v>115</v>
      </c>
      <c r="D42" s="32" t="s">
        <v>179</v>
      </c>
      <c r="E42" s="32" t="s">
        <v>224</v>
      </c>
      <c r="F42" s="33" t="s">
        <v>62</v>
      </c>
      <c r="G42" s="32" t="s">
        <v>181</v>
      </c>
      <c r="H42" s="34" t="n">
        <v>46258</v>
      </c>
      <c r="I42" s="35" t="s">
        <v>82</v>
      </c>
      <c r="J42" s="36" t="n">
        <f aca="false">IF(OR($H42="",$I42=""),"",$H42+MATCH($I42,Listas!$F$5:$F$11,0)-1)</f>
        <v>46261</v>
      </c>
      <c r="K42" s="37"/>
      <c r="L42" s="33"/>
      <c r="M42" s="37" t="n">
        <v>46260</v>
      </c>
      <c r="N42" s="32" t="s">
        <v>225</v>
      </c>
      <c r="O42" s="32" t="s">
        <v>185</v>
      </c>
      <c r="P42" s="38" t="str">
        <f aca="true">IF($E42="","",IF($L42="Cancelada","Cancelada",IF(OR($K42&lt;&gt;"",$L42="Concluída"),IF(OR($J42="",$K42="",$K42&lt;=$J42),"Concluída","Concluída com atraso"),IF($J42="","Na carteira",IF($J42&lt;TODAY(),"VENCIDA",IF($L42="Em execução","Em execução",IF($J42=TODAY(),"Hoje","Programada")))))))</f>
        <v>Programada</v>
      </c>
      <c r="Q42" s="31" t="str">
        <f aca="false">IF($E42="","",IF(ISNUMBER(SEARCH("(externo)",$G42)),"Terceirizada","Interna"))</f>
        <v>Interna</v>
      </c>
      <c r="R42" s="36" t="n">
        <f aca="false">IF($J42="","",IF($M42="",$J42,$M42))</f>
        <v>46260</v>
      </c>
      <c r="S42" s="31" t="n">
        <f aca="false">IF($E42="","",IF(OR($K42="",$J42=""),0,IF($K42&lt;=$J42,1,0)))</f>
        <v>0</v>
      </c>
      <c r="T42" s="31" t="n">
        <f aca="false">IF($E42="","",IF(OR($K42="",$R42=""),0,IF($K42&lt;=$R42,1,0)))</f>
        <v>0</v>
      </c>
      <c r="U42" s="38" t="str">
        <f aca="false">IF(OR($K42="",$J42=""),"",MAX(0,$K42-$J42))</f>
        <v/>
      </c>
      <c r="V42" s="31" t="n">
        <f aca="false">IF($E42="","",IF(AND($M42&lt;&gt;"",$J42&lt;&gt;"",$M42&lt;&gt;$J42),1,0))</f>
        <v>1</v>
      </c>
      <c r="W42" s="39" t="n">
        <f aca="false">IF($E42="","",IF($L42="Cancelada",0,IF(OR($K42&lt;&gt;"",$L42="Concluída"),1,0)))</f>
        <v>0</v>
      </c>
    </row>
    <row r="43" customFormat="false" ht="15" hidden="false" customHeight="true" outlineLevel="0" collapsed="false">
      <c r="A43" s="31" t="n">
        <f aca="false">IF($E43="","",COUNTA($E$5:$E43))</f>
        <v>39</v>
      </c>
      <c r="B43" s="32"/>
      <c r="C43" s="32" t="s">
        <v>117</v>
      </c>
      <c r="D43" s="32" t="s">
        <v>226</v>
      </c>
      <c r="E43" s="32" t="s">
        <v>227</v>
      </c>
      <c r="F43" s="33" t="s">
        <v>68</v>
      </c>
      <c r="G43" s="32" t="s">
        <v>96</v>
      </c>
      <c r="H43" s="34" t="n">
        <v>46258</v>
      </c>
      <c r="I43" s="35" t="s">
        <v>65</v>
      </c>
      <c r="J43" s="36" t="n">
        <f aca="false">IF(OR($H43="",$I43=""),"",$H43+MATCH($I43,Listas!$F$5:$F$11,0)-1)</f>
        <v>46258</v>
      </c>
      <c r="K43" s="37"/>
      <c r="L43" s="33" t="s">
        <v>63</v>
      </c>
      <c r="M43" s="37"/>
      <c r="N43" s="32"/>
      <c r="O43" s="32"/>
      <c r="P43" s="38" t="str">
        <f aca="true">IF($E43="","",IF($L43="Cancelada","Cancelada",IF(OR($K43&lt;&gt;"",$L43="Concluída"),IF(OR($J43="",$K43="",$K43&lt;=$J43),"Concluída","Concluída com atraso"),IF($J43="","Na carteira",IF($J43&lt;TODAY(),"VENCIDA",IF($L43="Em execução","Em execução",IF($J43=TODAY(),"Hoje","Programada")))))))</f>
        <v>Concluída</v>
      </c>
      <c r="Q43" s="31" t="str">
        <f aca="false">IF($E43="","",IF(ISNUMBER(SEARCH("(externo)",$G43)),"Terceirizada","Interna"))</f>
        <v>Interna</v>
      </c>
      <c r="R43" s="36" t="n">
        <f aca="false">IF($J43="","",IF($M43="",$J43,$M43))</f>
        <v>46258</v>
      </c>
      <c r="S43" s="31" t="n">
        <f aca="false">IF($E43="","",IF(OR($K43="",$J43=""),0,IF($K43&lt;=$J43,1,0)))</f>
        <v>0</v>
      </c>
      <c r="T43" s="31" t="n">
        <f aca="false">IF($E43="","",IF(OR($K43="",$R43=""),0,IF($K43&lt;=$R43,1,0)))</f>
        <v>0</v>
      </c>
      <c r="U43" s="38" t="str">
        <f aca="false">IF(OR($K43="",$J43=""),"",MAX(0,$K43-$J43))</f>
        <v/>
      </c>
      <c r="V43" s="31" t="n">
        <f aca="false">IF($E43="","",IF(AND($M43&lt;&gt;"",$J43&lt;&gt;"",$M43&lt;&gt;$J43),1,0))</f>
        <v>0</v>
      </c>
      <c r="W43" s="39" t="n">
        <f aca="false">IF($E43="","",IF($L43="Cancelada",0,IF(OR($K43&lt;&gt;"",$L43="Concluída"),1,0)))</f>
        <v>1</v>
      </c>
    </row>
    <row r="44" customFormat="false" ht="15" hidden="false" customHeight="true" outlineLevel="0" collapsed="false">
      <c r="A44" s="31" t="n">
        <f aca="false">IF($E44="","",COUNTA($E$5:$E44))</f>
        <v>40</v>
      </c>
      <c r="B44" s="32"/>
      <c r="C44" s="32" t="s">
        <v>118</v>
      </c>
      <c r="D44" s="32" t="s">
        <v>179</v>
      </c>
      <c r="E44" s="32" t="s">
        <v>228</v>
      </c>
      <c r="F44" s="33" t="s">
        <v>62</v>
      </c>
      <c r="G44" s="32" t="s">
        <v>181</v>
      </c>
      <c r="H44" s="34" t="n">
        <v>46258</v>
      </c>
      <c r="I44" s="35" t="s">
        <v>82</v>
      </c>
      <c r="J44" s="36" t="n">
        <f aca="false">IF(OR($H44="",$I44=""),"",$H44+MATCH($I44,Listas!$F$5:$F$11,0)-1)</f>
        <v>46261</v>
      </c>
      <c r="K44" s="37"/>
      <c r="L44" s="33"/>
      <c r="M44" s="37"/>
      <c r="N44" s="32"/>
      <c r="O44" s="32"/>
      <c r="P44" s="38" t="str">
        <f aca="true">IF($E44="","",IF($L44="Cancelada","Cancelada",IF(OR($K44&lt;&gt;"",$L44="Concluída"),IF(OR($J44="",$K44="",$K44&lt;=$J44),"Concluída","Concluída com atraso"),IF($J44="","Na carteira",IF($J44&lt;TODAY(),"VENCIDA",IF($L44="Em execução","Em execução",IF($J44=TODAY(),"Hoje","Programada")))))))</f>
        <v>Programada</v>
      </c>
      <c r="Q44" s="31" t="str">
        <f aca="false">IF($E44="","",IF(ISNUMBER(SEARCH("(externo)",$G44)),"Terceirizada","Interna"))</f>
        <v>Interna</v>
      </c>
      <c r="R44" s="36" t="n">
        <f aca="false">IF($J44="","",IF($M44="",$J44,$M44))</f>
        <v>46261</v>
      </c>
      <c r="S44" s="31" t="n">
        <f aca="false">IF($E44="","",IF(OR($K44="",$J44=""),0,IF($K44&lt;=$J44,1,0)))</f>
        <v>0</v>
      </c>
      <c r="T44" s="31" t="n">
        <f aca="false">IF($E44="","",IF(OR($K44="",$R44=""),0,IF($K44&lt;=$R44,1,0)))</f>
        <v>0</v>
      </c>
      <c r="U44" s="38" t="str">
        <f aca="false">IF(OR($K44="",$J44=""),"",MAX(0,$K44-$J44))</f>
        <v/>
      </c>
      <c r="V44" s="31" t="n">
        <f aca="false">IF($E44="","",IF(AND($M44&lt;&gt;"",$J44&lt;&gt;"",$M44&lt;&gt;$J44),1,0))</f>
        <v>0</v>
      </c>
      <c r="W44" s="39" t="n">
        <f aca="false">IF($E44="","",IF($L44="Cancelada",0,IF(OR($K44&lt;&gt;"",$L44="Concluída"),1,0)))</f>
        <v>0</v>
      </c>
    </row>
    <row r="45" customFormat="false" ht="15" hidden="false" customHeight="true" outlineLevel="0" collapsed="false">
      <c r="A45" s="31" t="n">
        <f aca="false">IF($E45="","",COUNTA($E$5:$E45))</f>
        <v>41</v>
      </c>
      <c r="B45" s="32"/>
      <c r="C45" s="32" t="s">
        <v>123</v>
      </c>
      <c r="D45" s="32" t="s">
        <v>229</v>
      </c>
      <c r="E45" s="32" t="s">
        <v>230</v>
      </c>
      <c r="F45" s="33" t="s">
        <v>62</v>
      </c>
      <c r="G45" s="32" t="s">
        <v>231</v>
      </c>
      <c r="H45" s="34" t="n">
        <v>46258</v>
      </c>
      <c r="I45" s="35" t="s">
        <v>71</v>
      </c>
      <c r="J45" s="36" t="n">
        <f aca="false">IF(OR($H45="",$I45=""),"",$H45+MATCH($I45,Listas!$F$5:$F$11,0)-1)</f>
        <v>46259</v>
      </c>
      <c r="K45" s="37"/>
      <c r="L45" s="33" t="s">
        <v>63</v>
      </c>
      <c r="M45" s="37"/>
      <c r="N45" s="32"/>
      <c r="O45" s="32" t="s">
        <v>232</v>
      </c>
      <c r="P45" s="38" t="str">
        <f aca="true">IF($E45="","",IF($L45="Cancelada","Cancelada",IF(OR($K45&lt;&gt;"",$L45="Concluída"),IF(OR($J45="",$K45="",$K45&lt;=$J45),"Concluída","Concluída com atraso"),IF($J45="","Na carteira",IF($J45&lt;TODAY(),"VENCIDA",IF($L45="Em execução","Em execução",IF($J45=TODAY(),"Hoje","Programada")))))))</f>
        <v>Concluída</v>
      </c>
      <c r="Q45" s="31" t="str">
        <f aca="false">IF($E45="","",IF(ISNUMBER(SEARCH("(externo)",$G45)),"Terceirizada","Interna"))</f>
        <v>Interna</v>
      </c>
      <c r="R45" s="36" t="n">
        <f aca="false">IF($J45="","",IF($M45="",$J45,$M45))</f>
        <v>46259</v>
      </c>
      <c r="S45" s="31" t="n">
        <f aca="false">IF($E45="","",IF(OR($K45="",$J45=""),0,IF($K45&lt;=$J45,1,0)))</f>
        <v>0</v>
      </c>
      <c r="T45" s="31" t="n">
        <f aca="false">IF($E45="","",IF(OR($K45="",$R45=""),0,IF($K45&lt;=$R45,1,0)))</f>
        <v>0</v>
      </c>
      <c r="U45" s="38" t="str">
        <f aca="false">IF(OR($K45="",$J45=""),"",MAX(0,$K45-$J45))</f>
        <v/>
      </c>
      <c r="V45" s="31" t="n">
        <f aca="false">IF($E45="","",IF(AND($M45&lt;&gt;"",$J45&lt;&gt;"",$M45&lt;&gt;$J45),1,0))</f>
        <v>0</v>
      </c>
      <c r="W45" s="39" t="n">
        <f aca="false">IF($E45="","",IF($L45="Cancelada",0,IF(OR($K45&lt;&gt;"",$L45="Concluída"),1,0)))</f>
        <v>1</v>
      </c>
    </row>
    <row r="46" customFormat="false" ht="15" hidden="false" customHeight="true" outlineLevel="0" collapsed="false">
      <c r="A46" s="31" t="n">
        <f aca="false">IF($E46="","",COUNTA($E$5:$E46))</f>
        <v>42</v>
      </c>
      <c r="B46" s="32"/>
      <c r="C46" s="32" t="s">
        <v>123</v>
      </c>
      <c r="D46" s="32" t="s">
        <v>229</v>
      </c>
      <c r="E46" s="32" t="s">
        <v>233</v>
      </c>
      <c r="F46" s="33" t="s">
        <v>62</v>
      </c>
      <c r="G46" s="32" t="s">
        <v>231</v>
      </c>
      <c r="H46" s="34" t="n">
        <v>46258</v>
      </c>
      <c r="I46" s="35" t="s">
        <v>71</v>
      </c>
      <c r="J46" s="36" t="n">
        <f aca="false">IF(OR($H46="",$I46=""),"",$H46+MATCH($I46,Listas!$F$5:$F$11,0)-1)</f>
        <v>46259</v>
      </c>
      <c r="K46" s="37"/>
      <c r="L46" s="33" t="s">
        <v>63</v>
      </c>
      <c r="M46" s="37"/>
      <c r="N46" s="32"/>
      <c r="O46" s="32" t="s">
        <v>232</v>
      </c>
      <c r="P46" s="38" t="str">
        <f aca="true">IF($E46="","",IF($L46="Cancelada","Cancelada",IF(OR($K46&lt;&gt;"",$L46="Concluída"),IF(OR($J46="",$K46="",$K46&lt;=$J46),"Concluída","Concluída com atraso"),IF($J46="","Na carteira",IF($J46&lt;TODAY(),"VENCIDA",IF($L46="Em execução","Em execução",IF($J46=TODAY(),"Hoje","Programada")))))))</f>
        <v>Concluída</v>
      </c>
      <c r="Q46" s="31" t="str">
        <f aca="false">IF($E46="","",IF(ISNUMBER(SEARCH("(externo)",$G46)),"Terceirizada","Interna"))</f>
        <v>Interna</v>
      </c>
      <c r="R46" s="36" t="n">
        <f aca="false">IF($J46="","",IF($M46="",$J46,$M46))</f>
        <v>46259</v>
      </c>
      <c r="S46" s="31" t="n">
        <f aca="false">IF($E46="","",IF(OR($K46="",$J46=""),0,IF($K46&lt;=$J46,1,0)))</f>
        <v>0</v>
      </c>
      <c r="T46" s="31" t="n">
        <f aca="false">IF($E46="","",IF(OR($K46="",$R46=""),0,IF($K46&lt;=$R46,1,0)))</f>
        <v>0</v>
      </c>
      <c r="U46" s="38" t="str">
        <f aca="false">IF(OR($K46="",$J46=""),"",MAX(0,$K46-$J46))</f>
        <v/>
      </c>
      <c r="V46" s="31" t="n">
        <f aca="false">IF($E46="","",IF(AND($M46&lt;&gt;"",$J46&lt;&gt;"",$M46&lt;&gt;$J46),1,0))</f>
        <v>0</v>
      </c>
      <c r="W46" s="39" t="n">
        <f aca="false">IF($E46="","",IF($L46="Cancelada",0,IF(OR($K46&lt;&gt;"",$L46="Concluída"),1,0)))</f>
        <v>1</v>
      </c>
    </row>
    <row r="47" customFormat="false" ht="15" hidden="false" customHeight="true" outlineLevel="0" collapsed="false">
      <c r="A47" s="31" t="n">
        <f aca="false">IF($E47="","",COUNTA($E$5:$E47))</f>
        <v>43</v>
      </c>
      <c r="B47" s="32"/>
      <c r="C47" s="32" t="s">
        <v>123</v>
      </c>
      <c r="D47" s="32" t="s">
        <v>229</v>
      </c>
      <c r="E47" s="32" t="s">
        <v>234</v>
      </c>
      <c r="F47" s="33" t="s">
        <v>62</v>
      </c>
      <c r="G47" s="32" t="s">
        <v>231</v>
      </c>
      <c r="H47" s="34" t="n">
        <v>46258</v>
      </c>
      <c r="I47" s="35" t="s">
        <v>71</v>
      </c>
      <c r="J47" s="36" t="n">
        <f aca="false">IF(OR($H47="",$I47=""),"",$H47+MATCH($I47,Listas!$F$5:$F$11,0)-1)</f>
        <v>46259</v>
      </c>
      <c r="K47" s="37"/>
      <c r="L47" s="33" t="s">
        <v>63</v>
      </c>
      <c r="M47" s="37"/>
      <c r="N47" s="32"/>
      <c r="O47" s="32" t="s">
        <v>232</v>
      </c>
      <c r="P47" s="38" t="str">
        <f aca="true">IF($E47="","",IF($L47="Cancelada","Cancelada",IF(OR($K47&lt;&gt;"",$L47="Concluída"),IF(OR($J47="",$K47="",$K47&lt;=$J47),"Concluída","Concluída com atraso"),IF($J47="","Na carteira",IF($J47&lt;TODAY(),"VENCIDA",IF($L47="Em execução","Em execução",IF($J47=TODAY(),"Hoje","Programada")))))))</f>
        <v>Concluída</v>
      </c>
      <c r="Q47" s="31" t="str">
        <f aca="false">IF($E47="","",IF(ISNUMBER(SEARCH("(externo)",$G47)),"Terceirizada","Interna"))</f>
        <v>Interna</v>
      </c>
      <c r="R47" s="36" t="n">
        <f aca="false">IF($J47="","",IF($M47="",$J47,$M47))</f>
        <v>46259</v>
      </c>
      <c r="S47" s="31" t="n">
        <f aca="false">IF($E47="","",IF(OR($K47="",$J47=""),0,IF($K47&lt;=$J47,1,0)))</f>
        <v>0</v>
      </c>
      <c r="T47" s="31" t="n">
        <f aca="false">IF($E47="","",IF(OR($K47="",$R47=""),0,IF($K47&lt;=$R47,1,0)))</f>
        <v>0</v>
      </c>
      <c r="U47" s="38" t="str">
        <f aca="false">IF(OR($K47="",$J47=""),"",MAX(0,$K47-$J47))</f>
        <v/>
      </c>
      <c r="V47" s="31" t="n">
        <f aca="false">IF($E47="","",IF(AND($M47&lt;&gt;"",$J47&lt;&gt;"",$M47&lt;&gt;$J47),1,0))</f>
        <v>0</v>
      </c>
      <c r="W47" s="39" t="n">
        <f aca="false">IF($E47="","",IF($L47="Cancelada",0,IF(OR($K47&lt;&gt;"",$L47="Concluída"),1,0)))</f>
        <v>1</v>
      </c>
    </row>
    <row r="48" customFormat="false" ht="15" hidden="false" customHeight="true" outlineLevel="0" collapsed="false">
      <c r="A48" s="31" t="n">
        <f aca="false">IF($E48="","",COUNTA($E$5:$E48))</f>
        <v>44</v>
      </c>
      <c r="B48" s="32"/>
      <c r="C48" s="32" t="s">
        <v>123</v>
      </c>
      <c r="D48" s="32" t="s">
        <v>229</v>
      </c>
      <c r="E48" s="32" t="s">
        <v>235</v>
      </c>
      <c r="F48" s="33" t="s">
        <v>62</v>
      </c>
      <c r="G48" s="32" t="s">
        <v>231</v>
      </c>
      <c r="H48" s="34" t="n">
        <v>46258</v>
      </c>
      <c r="I48" s="35" t="s">
        <v>71</v>
      </c>
      <c r="J48" s="36" t="n">
        <f aca="false">IF(OR($H48="",$I48=""),"",$H48+MATCH($I48,Listas!$F$5:$F$11,0)-1)</f>
        <v>46259</v>
      </c>
      <c r="K48" s="37"/>
      <c r="L48" s="33" t="s">
        <v>63</v>
      </c>
      <c r="M48" s="37"/>
      <c r="N48" s="32"/>
      <c r="O48" s="32" t="s">
        <v>232</v>
      </c>
      <c r="P48" s="38" t="str">
        <f aca="true">IF($E48="","",IF($L48="Cancelada","Cancelada",IF(OR($K48&lt;&gt;"",$L48="Concluída"),IF(OR($J48="",$K48="",$K48&lt;=$J48),"Concluída","Concluída com atraso"),IF($J48="","Na carteira",IF($J48&lt;TODAY(),"VENCIDA",IF($L48="Em execução","Em execução",IF($J48=TODAY(),"Hoje","Programada")))))))</f>
        <v>Concluída</v>
      </c>
      <c r="Q48" s="31" t="str">
        <f aca="false">IF($E48="","",IF(ISNUMBER(SEARCH("(externo)",$G48)),"Terceirizada","Interna"))</f>
        <v>Interna</v>
      </c>
      <c r="R48" s="36" t="n">
        <f aca="false">IF($J48="","",IF($M48="",$J48,$M48))</f>
        <v>46259</v>
      </c>
      <c r="S48" s="31" t="n">
        <f aca="false">IF($E48="","",IF(OR($K48="",$J48=""),0,IF($K48&lt;=$J48,1,0)))</f>
        <v>0</v>
      </c>
      <c r="T48" s="31" t="n">
        <f aca="false">IF($E48="","",IF(OR($K48="",$R48=""),0,IF($K48&lt;=$R48,1,0)))</f>
        <v>0</v>
      </c>
      <c r="U48" s="38" t="str">
        <f aca="false">IF(OR($K48="",$J48=""),"",MAX(0,$K48-$J48))</f>
        <v/>
      </c>
      <c r="V48" s="31" t="n">
        <f aca="false">IF($E48="","",IF(AND($M48&lt;&gt;"",$J48&lt;&gt;"",$M48&lt;&gt;$J48),1,0))</f>
        <v>0</v>
      </c>
      <c r="W48" s="39" t="n">
        <f aca="false">IF($E48="","",IF($L48="Cancelada",0,IF(OR($K48&lt;&gt;"",$L48="Concluída"),1,0)))</f>
        <v>1</v>
      </c>
    </row>
    <row r="49" customFormat="false" ht="15" hidden="false" customHeight="true" outlineLevel="0" collapsed="false">
      <c r="A49" s="31" t="n">
        <f aca="false">IF($E49="","",COUNTA($E$5:$E49))</f>
        <v>45</v>
      </c>
      <c r="B49" s="32"/>
      <c r="C49" s="32" t="s">
        <v>123</v>
      </c>
      <c r="D49" s="32" t="s">
        <v>229</v>
      </c>
      <c r="E49" s="32" t="s">
        <v>236</v>
      </c>
      <c r="F49" s="33" t="s">
        <v>62</v>
      </c>
      <c r="G49" s="32" t="s">
        <v>231</v>
      </c>
      <c r="H49" s="34" t="n">
        <v>46258</v>
      </c>
      <c r="I49" s="35" t="s">
        <v>71</v>
      </c>
      <c r="J49" s="36" t="n">
        <f aca="false">IF(OR($H49="",$I49=""),"",$H49+MATCH($I49,Listas!$F$5:$F$11,0)-1)</f>
        <v>46259</v>
      </c>
      <c r="K49" s="37"/>
      <c r="L49" s="33" t="s">
        <v>63</v>
      </c>
      <c r="M49" s="37"/>
      <c r="N49" s="32"/>
      <c r="O49" s="32" t="s">
        <v>232</v>
      </c>
      <c r="P49" s="38" t="str">
        <f aca="true">IF($E49="","",IF($L49="Cancelada","Cancelada",IF(OR($K49&lt;&gt;"",$L49="Concluída"),IF(OR($J49="",$K49="",$K49&lt;=$J49),"Concluída","Concluída com atraso"),IF($J49="","Na carteira",IF($J49&lt;TODAY(),"VENCIDA",IF($L49="Em execução","Em execução",IF($J49=TODAY(),"Hoje","Programada")))))))</f>
        <v>Concluída</v>
      </c>
      <c r="Q49" s="31" t="str">
        <f aca="false">IF($E49="","",IF(ISNUMBER(SEARCH("(externo)",$G49)),"Terceirizada","Interna"))</f>
        <v>Interna</v>
      </c>
      <c r="R49" s="36" t="n">
        <f aca="false">IF($J49="","",IF($M49="",$J49,$M49))</f>
        <v>46259</v>
      </c>
      <c r="S49" s="31" t="n">
        <f aca="false">IF($E49="","",IF(OR($K49="",$J49=""),0,IF($K49&lt;=$J49,1,0)))</f>
        <v>0</v>
      </c>
      <c r="T49" s="31" t="n">
        <f aca="false">IF($E49="","",IF(OR($K49="",$R49=""),0,IF($K49&lt;=$R49,1,0)))</f>
        <v>0</v>
      </c>
      <c r="U49" s="38" t="str">
        <f aca="false">IF(OR($K49="",$J49=""),"",MAX(0,$K49-$J49))</f>
        <v/>
      </c>
      <c r="V49" s="31" t="n">
        <f aca="false">IF($E49="","",IF(AND($M49&lt;&gt;"",$J49&lt;&gt;"",$M49&lt;&gt;$J49),1,0))</f>
        <v>0</v>
      </c>
      <c r="W49" s="39" t="n">
        <f aca="false">IF($E49="","",IF($L49="Cancelada",0,IF(OR($K49&lt;&gt;"",$L49="Concluída"),1,0)))</f>
        <v>1</v>
      </c>
    </row>
    <row r="50" customFormat="false" ht="15" hidden="false" customHeight="true" outlineLevel="0" collapsed="false">
      <c r="A50" s="31" t="n">
        <f aca="false">IF($E50="","",COUNTA($E$5:$E50))</f>
        <v>46</v>
      </c>
      <c r="B50" s="32"/>
      <c r="C50" s="32" t="s">
        <v>123</v>
      </c>
      <c r="D50" s="32" t="s">
        <v>229</v>
      </c>
      <c r="E50" s="32" t="s">
        <v>237</v>
      </c>
      <c r="F50" s="33" t="s">
        <v>62</v>
      </c>
      <c r="G50" s="32" t="s">
        <v>231</v>
      </c>
      <c r="H50" s="34" t="n">
        <v>46258</v>
      </c>
      <c r="I50" s="35" t="s">
        <v>71</v>
      </c>
      <c r="J50" s="36" t="n">
        <f aca="false">IF(OR($H50="",$I50=""),"",$H50+MATCH($I50,Listas!$F$5:$F$11,0)-1)</f>
        <v>46259</v>
      </c>
      <c r="K50" s="37"/>
      <c r="L50" s="33" t="s">
        <v>63</v>
      </c>
      <c r="M50" s="37"/>
      <c r="N50" s="32"/>
      <c r="O50" s="32" t="s">
        <v>232</v>
      </c>
      <c r="P50" s="38" t="str">
        <f aca="true">IF($E50="","",IF($L50="Cancelada","Cancelada",IF(OR($K50&lt;&gt;"",$L50="Concluída"),IF(OR($J50="",$K50="",$K50&lt;=$J50),"Concluída","Concluída com atraso"),IF($J50="","Na carteira",IF($J50&lt;TODAY(),"VENCIDA",IF($L50="Em execução","Em execução",IF($J50=TODAY(),"Hoje","Programada")))))))</f>
        <v>Concluída</v>
      </c>
      <c r="Q50" s="31" t="str">
        <f aca="false">IF($E50="","",IF(ISNUMBER(SEARCH("(externo)",$G50)),"Terceirizada","Interna"))</f>
        <v>Interna</v>
      </c>
      <c r="R50" s="36" t="n">
        <f aca="false">IF($J50="","",IF($M50="",$J50,$M50))</f>
        <v>46259</v>
      </c>
      <c r="S50" s="31" t="n">
        <f aca="false">IF($E50="","",IF(OR($K50="",$J50=""),0,IF($K50&lt;=$J50,1,0)))</f>
        <v>0</v>
      </c>
      <c r="T50" s="31" t="n">
        <f aca="false">IF($E50="","",IF(OR($K50="",$R50=""),0,IF($K50&lt;=$R50,1,0)))</f>
        <v>0</v>
      </c>
      <c r="U50" s="38" t="str">
        <f aca="false">IF(OR($K50="",$J50=""),"",MAX(0,$K50-$J50))</f>
        <v/>
      </c>
      <c r="V50" s="31" t="n">
        <f aca="false">IF($E50="","",IF(AND($M50&lt;&gt;"",$J50&lt;&gt;"",$M50&lt;&gt;$J50),1,0))</f>
        <v>0</v>
      </c>
      <c r="W50" s="39" t="n">
        <f aca="false">IF($E50="","",IF($L50="Cancelada",0,IF(OR($K50&lt;&gt;"",$L50="Concluída"),1,0)))</f>
        <v>1</v>
      </c>
    </row>
    <row r="51" customFormat="false" ht="15" hidden="false" customHeight="true" outlineLevel="0" collapsed="false">
      <c r="A51" s="31" t="n">
        <f aca="false">IF($E51="","",COUNTA($E$5:$E51))</f>
        <v>47</v>
      </c>
      <c r="B51" s="32"/>
      <c r="C51" s="32" t="s">
        <v>123</v>
      </c>
      <c r="D51" s="32" t="s">
        <v>229</v>
      </c>
      <c r="E51" s="32" t="s">
        <v>238</v>
      </c>
      <c r="F51" s="33" t="s">
        <v>62</v>
      </c>
      <c r="G51" s="32" t="s">
        <v>231</v>
      </c>
      <c r="H51" s="34" t="n">
        <v>46258</v>
      </c>
      <c r="I51" s="35" t="s">
        <v>71</v>
      </c>
      <c r="J51" s="36" t="n">
        <f aca="false">IF(OR($H51="",$I51=""),"",$H51+MATCH($I51,Listas!$F$5:$F$11,0)-1)</f>
        <v>46259</v>
      </c>
      <c r="K51" s="37"/>
      <c r="L51" s="33" t="s">
        <v>63</v>
      </c>
      <c r="M51" s="37"/>
      <c r="N51" s="32"/>
      <c r="O51" s="32" t="s">
        <v>232</v>
      </c>
      <c r="P51" s="38" t="str">
        <f aca="true">IF($E51="","",IF($L51="Cancelada","Cancelada",IF(OR($K51&lt;&gt;"",$L51="Concluída"),IF(OR($J51="",$K51="",$K51&lt;=$J51),"Concluída","Concluída com atraso"),IF($J51="","Na carteira",IF($J51&lt;TODAY(),"VENCIDA",IF($L51="Em execução","Em execução",IF($J51=TODAY(),"Hoje","Programada")))))))</f>
        <v>Concluída</v>
      </c>
      <c r="Q51" s="31" t="str">
        <f aca="false">IF($E51="","",IF(ISNUMBER(SEARCH("(externo)",$G51)),"Terceirizada","Interna"))</f>
        <v>Interna</v>
      </c>
      <c r="R51" s="36" t="n">
        <f aca="false">IF($J51="","",IF($M51="",$J51,$M51))</f>
        <v>46259</v>
      </c>
      <c r="S51" s="31" t="n">
        <f aca="false">IF($E51="","",IF(OR($K51="",$J51=""),0,IF($K51&lt;=$J51,1,0)))</f>
        <v>0</v>
      </c>
      <c r="T51" s="31" t="n">
        <f aca="false">IF($E51="","",IF(OR($K51="",$R51=""),0,IF($K51&lt;=$R51,1,0)))</f>
        <v>0</v>
      </c>
      <c r="U51" s="38" t="str">
        <f aca="false">IF(OR($K51="",$J51=""),"",MAX(0,$K51-$J51))</f>
        <v/>
      </c>
      <c r="V51" s="31" t="n">
        <f aca="false">IF($E51="","",IF(AND($M51&lt;&gt;"",$J51&lt;&gt;"",$M51&lt;&gt;$J51),1,0))</f>
        <v>0</v>
      </c>
      <c r="W51" s="39" t="n">
        <f aca="false">IF($E51="","",IF($L51="Cancelada",0,IF(OR($K51&lt;&gt;"",$L51="Concluída"),1,0)))</f>
        <v>1</v>
      </c>
    </row>
    <row r="52" customFormat="false" ht="15" hidden="false" customHeight="true" outlineLevel="0" collapsed="false">
      <c r="A52" s="31" t="n">
        <f aca="false">IF($E52="","",COUNTA($E$5:$E52))</f>
        <v>48</v>
      </c>
      <c r="B52" s="32"/>
      <c r="C52" s="32" t="s">
        <v>123</v>
      </c>
      <c r="D52" s="32" t="s">
        <v>229</v>
      </c>
      <c r="E52" s="32" t="s">
        <v>239</v>
      </c>
      <c r="F52" s="33" t="s">
        <v>62</v>
      </c>
      <c r="G52" s="32" t="s">
        <v>231</v>
      </c>
      <c r="H52" s="34" t="n">
        <v>46258</v>
      </c>
      <c r="I52" s="35" t="s">
        <v>71</v>
      </c>
      <c r="J52" s="36" t="n">
        <f aca="false">IF(OR($H52="",$I52=""),"",$H52+MATCH($I52,Listas!$F$5:$F$11,0)-1)</f>
        <v>46259</v>
      </c>
      <c r="K52" s="37"/>
      <c r="L52" s="33" t="s">
        <v>63</v>
      </c>
      <c r="M52" s="37"/>
      <c r="N52" s="32"/>
      <c r="O52" s="32" t="s">
        <v>232</v>
      </c>
      <c r="P52" s="38" t="str">
        <f aca="true">IF($E52="","",IF($L52="Cancelada","Cancelada",IF(OR($K52&lt;&gt;"",$L52="Concluída"),IF(OR($J52="",$K52="",$K52&lt;=$J52),"Concluída","Concluída com atraso"),IF($J52="","Na carteira",IF($J52&lt;TODAY(),"VENCIDA",IF($L52="Em execução","Em execução",IF($J52=TODAY(),"Hoje","Programada")))))))</f>
        <v>Concluída</v>
      </c>
      <c r="Q52" s="31" t="str">
        <f aca="false">IF($E52="","",IF(ISNUMBER(SEARCH("(externo)",$G52)),"Terceirizada","Interna"))</f>
        <v>Interna</v>
      </c>
      <c r="R52" s="36" t="n">
        <f aca="false">IF($J52="","",IF($M52="",$J52,$M52))</f>
        <v>46259</v>
      </c>
      <c r="S52" s="31" t="n">
        <f aca="false">IF($E52="","",IF(OR($K52="",$J52=""),0,IF($K52&lt;=$J52,1,0)))</f>
        <v>0</v>
      </c>
      <c r="T52" s="31" t="n">
        <f aca="false">IF($E52="","",IF(OR($K52="",$R52=""),0,IF($K52&lt;=$R52,1,0)))</f>
        <v>0</v>
      </c>
      <c r="U52" s="38" t="str">
        <f aca="false">IF(OR($K52="",$J52=""),"",MAX(0,$K52-$J52))</f>
        <v/>
      </c>
      <c r="V52" s="31" t="n">
        <f aca="false">IF($E52="","",IF(AND($M52&lt;&gt;"",$J52&lt;&gt;"",$M52&lt;&gt;$J52),1,0))</f>
        <v>0</v>
      </c>
      <c r="W52" s="39" t="n">
        <f aca="false">IF($E52="","",IF($L52="Cancelada",0,IF(OR($K52&lt;&gt;"",$L52="Concluída"),1,0)))</f>
        <v>1</v>
      </c>
    </row>
    <row r="53" customFormat="false" ht="15" hidden="false" customHeight="true" outlineLevel="0" collapsed="false">
      <c r="A53" s="31" t="n">
        <f aca="false">IF($E53="","",COUNTA($E$5:$E53))</f>
        <v>49</v>
      </c>
      <c r="B53" s="32"/>
      <c r="C53" s="32" t="s">
        <v>123</v>
      </c>
      <c r="D53" s="32" t="s">
        <v>229</v>
      </c>
      <c r="E53" s="32" t="s">
        <v>240</v>
      </c>
      <c r="F53" s="33" t="s">
        <v>62</v>
      </c>
      <c r="G53" s="32" t="s">
        <v>231</v>
      </c>
      <c r="H53" s="34" t="n">
        <v>46258</v>
      </c>
      <c r="I53" s="35" t="s">
        <v>71</v>
      </c>
      <c r="J53" s="36" t="n">
        <f aca="false">IF(OR($H53="",$I53=""),"",$H53+MATCH($I53,Listas!$F$5:$F$11,0)-1)</f>
        <v>46259</v>
      </c>
      <c r="K53" s="37"/>
      <c r="L53" s="33" t="s">
        <v>63</v>
      </c>
      <c r="M53" s="37"/>
      <c r="N53" s="32"/>
      <c r="O53" s="32" t="s">
        <v>232</v>
      </c>
      <c r="P53" s="38" t="str">
        <f aca="true">IF($E53="","",IF($L53="Cancelada","Cancelada",IF(OR($K53&lt;&gt;"",$L53="Concluída"),IF(OR($J53="",$K53="",$K53&lt;=$J53),"Concluída","Concluída com atraso"),IF($J53="","Na carteira",IF($J53&lt;TODAY(),"VENCIDA",IF($L53="Em execução","Em execução",IF($J53=TODAY(),"Hoje","Programada")))))))</f>
        <v>Concluída</v>
      </c>
      <c r="Q53" s="31" t="str">
        <f aca="false">IF($E53="","",IF(ISNUMBER(SEARCH("(externo)",$G53)),"Terceirizada","Interna"))</f>
        <v>Interna</v>
      </c>
      <c r="R53" s="36" t="n">
        <f aca="false">IF($J53="","",IF($M53="",$J53,$M53))</f>
        <v>46259</v>
      </c>
      <c r="S53" s="31" t="n">
        <f aca="false">IF($E53="","",IF(OR($K53="",$J53=""),0,IF($K53&lt;=$J53,1,0)))</f>
        <v>0</v>
      </c>
      <c r="T53" s="31" t="n">
        <f aca="false">IF($E53="","",IF(OR($K53="",$R53=""),0,IF($K53&lt;=$R53,1,0)))</f>
        <v>0</v>
      </c>
      <c r="U53" s="38" t="str">
        <f aca="false">IF(OR($K53="",$J53=""),"",MAX(0,$K53-$J53))</f>
        <v/>
      </c>
      <c r="V53" s="31" t="n">
        <f aca="false">IF($E53="","",IF(AND($M53&lt;&gt;"",$J53&lt;&gt;"",$M53&lt;&gt;$J53),1,0))</f>
        <v>0</v>
      </c>
      <c r="W53" s="39" t="n">
        <f aca="false">IF($E53="","",IF($L53="Cancelada",0,IF(OR($K53&lt;&gt;"",$L53="Concluída"),1,0)))</f>
        <v>1</v>
      </c>
    </row>
    <row r="54" customFormat="false" ht="15" hidden="false" customHeight="true" outlineLevel="0" collapsed="false">
      <c r="A54" s="31" t="n">
        <f aca="false">IF($E54="","",COUNTA($E$5:$E54))</f>
        <v>50</v>
      </c>
      <c r="B54" s="32"/>
      <c r="C54" s="32" t="s">
        <v>123</v>
      </c>
      <c r="D54" s="32" t="s">
        <v>229</v>
      </c>
      <c r="E54" s="32" t="s">
        <v>241</v>
      </c>
      <c r="F54" s="33" t="s">
        <v>62</v>
      </c>
      <c r="G54" s="32" t="s">
        <v>231</v>
      </c>
      <c r="H54" s="34" t="n">
        <v>46258</v>
      </c>
      <c r="I54" s="35" t="s">
        <v>71</v>
      </c>
      <c r="J54" s="36" t="n">
        <f aca="false">IF(OR($H54="",$I54=""),"",$H54+MATCH($I54,Listas!$F$5:$F$11,0)-1)</f>
        <v>46259</v>
      </c>
      <c r="K54" s="37"/>
      <c r="L54" s="33" t="s">
        <v>63</v>
      </c>
      <c r="M54" s="37"/>
      <c r="N54" s="32"/>
      <c r="O54" s="32" t="s">
        <v>232</v>
      </c>
      <c r="P54" s="38" t="str">
        <f aca="true">IF($E54="","",IF($L54="Cancelada","Cancelada",IF(OR($K54&lt;&gt;"",$L54="Concluída"),IF(OR($J54="",$K54="",$K54&lt;=$J54),"Concluída","Concluída com atraso"),IF($J54="","Na carteira",IF($J54&lt;TODAY(),"VENCIDA",IF($L54="Em execução","Em execução",IF($J54=TODAY(),"Hoje","Programada")))))))</f>
        <v>Concluída</v>
      </c>
      <c r="Q54" s="31" t="str">
        <f aca="false">IF($E54="","",IF(ISNUMBER(SEARCH("(externo)",$G54)),"Terceirizada","Interna"))</f>
        <v>Interna</v>
      </c>
      <c r="R54" s="36" t="n">
        <f aca="false">IF($J54="","",IF($M54="",$J54,$M54))</f>
        <v>46259</v>
      </c>
      <c r="S54" s="31" t="n">
        <f aca="false">IF($E54="","",IF(OR($K54="",$J54=""),0,IF($K54&lt;=$J54,1,0)))</f>
        <v>0</v>
      </c>
      <c r="T54" s="31" t="n">
        <f aca="false">IF($E54="","",IF(OR($K54="",$R54=""),0,IF($K54&lt;=$R54,1,0)))</f>
        <v>0</v>
      </c>
      <c r="U54" s="38" t="str">
        <f aca="false">IF(OR($K54="",$J54=""),"",MAX(0,$K54-$J54))</f>
        <v/>
      </c>
      <c r="V54" s="31" t="n">
        <f aca="false">IF($E54="","",IF(AND($M54&lt;&gt;"",$J54&lt;&gt;"",$M54&lt;&gt;$J54),1,0))</f>
        <v>0</v>
      </c>
      <c r="W54" s="39" t="n">
        <f aca="false">IF($E54="","",IF($L54="Cancelada",0,IF(OR($K54&lt;&gt;"",$L54="Concluída"),1,0)))</f>
        <v>1</v>
      </c>
    </row>
    <row r="55" customFormat="false" ht="15" hidden="false" customHeight="true" outlineLevel="0" collapsed="false">
      <c r="A55" s="31" t="n">
        <f aca="false">IF($E55="","",COUNTA($E$5:$E55))</f>
        <v>51</v>
      </c>
      <c r="B55" s="32"/>
      <c r="C55" s="32" t="s">
        <v>123</v>
      </c>
      <c r="D55" s="32" t="s">
        <v>229</v>
      </c>
      <c r="E55" s="32" t="s">
        <v>242</v>
      </c>
      <c r="F55" s="33" t="s">
        <v>62</v>
      </c>
      <c r="G55" s="32" t="s">
        <v>231</v>
      </c>
      <c r="H55" s="34" t="n">
        <v>46258</v>
      </c>
      <c r="I55" s="35" t="s">
        <v>77</v>
      </c>
      <c r="J55" s="36" t="n">
        <f aca="false">IF(OR($H55="",$I55=""),"",$H55+MATCH($I55,Listas!$F$5:$F$11,0)-1)</f>
        <v>46260</v>
      </c>
      <c r="K55" s="37"/>
      <c r="L55" s="33" t="s">
        <v>63</v>
      </c>
      <c r="M55" s="37"/>
      <c r="N55" s="32"/>
      <c r="O55" s="32" t="s">
        <v>232</v>
      </c>
      <c r="P55" s="38" t="str">
        <f aca="true">IF($E55="","",IF($L55="Cancelada","Cancelada",IF(OR($K55&lt;&gt;"",$L55="Concluída"),IF(OR($J55="",$K55="",$K55&lt;=$J55),"Concluída","Concluída com atraso"),IF($J55="","Na carteira",IF($J55&lt;TODAY(),"VENCIDA",IF($L55="Em execução","Em execução",IF($J55=TODAY(),"Hoje","Programada")))))))</f>
        <v>Concluída</v>
      </c>
      <c r="Q55" s="31" t="str">
        <f aca="false">IF($E55="","",IF(ISNUMBER(SEARCH("(externo)",$G55)),"Terceirizada","Interna"))</f>
        <v>Interna</v>
      </c>
      <c r="R55" s="36" t="n">
        <f aca="false">IF($J55="","",IF($M55="",$J55,$M55))</f>
        <v>46260</v>
      </c>
      <c r="S55" s="31" t="n">
        <f aca="false">IF($E55="","",IF(OR($K55="",$J55=""),0,IF($K55&lt;=$J55,1,0)))</f>
        <v>0</v>
      </c>
      <c r="T55" s="31" t="n">
        <f aca="false">IF($E55="","",IF(OR($K55="",$R55=""),0,IF($K55&lt;=$R55,1,0)))</f>
        <v>0</v>
      </c>
      <c r="U55" s="38" t="str">
        <f aca="false">IF(OR($K55="",$J55=""),"",MAX(0,$K55-$J55))</f>
        <v/>
      </c>
      <c r="V55" s="31" t="n">
        <f aca="false">IF($E55="","",IF(AND($M55&lt;&gt;"",$J55&lt;&gt;"",$M55&lt;&gt;$J55),1,0))</f>
        <v>0</v>
      </c>
      <c r="W55" s="39" t="n">
        <f aca="false">IF($E55="","",IF($L55="Cancelada",0,IF(OR($K55&lt;&gt;"",$L55="Concluída"),1,0)))</f>
        <v>1</v>
      </c>
    </row>
    <row r="56" customFormat="false" ht="15" hidden="false" customHeight="true" outlineLevel="0" collapsed="false">
      <c r="A56" s="31" t="n">
        <f aca="false">IF($E56="","",COUNTA($E$5:$E56))</f>
        <v>52</v>
      </c>
      <c r="B56" s="32"/>
      <c r="C56" s="32" t="s">
        <v>123</v>
      </c>
      <c r="D56" s="32" t="s">
        <v>229</v>
      </c>
      <c r="E56" s="32" t="s">
        <v>243</v>
      </c>
      <c r="F56" s="33" t="s">
        <v>62</v>
      </c>
      <c r="G56" s="32" t="s">
        <v>231</v>
      </c>
      <c r="H56" s="34" t="n">
        <v>46258</v>
      </c>
      <c r="I56" s="35" t="s">
        <v>77</v>
      </c>
      <c r="J56" s="36" t="n">
        <f aca="false">IF(OR($H56="",$I56=""),"",$H56+MATCH($I56,Listas!$F$5:$F$11,0)-1)</f>
        <v>46260</v>
      </c>
      <c r="K56" s="37"/>
      <c r="L56" s="33" t="s">
        <v>63</v>
      </c>
      <c r="M56" s="37"/>
      <c r="N56" s="32"/>
      <c r="O56" s="32" t="s">
        <v>232</v>
      </c>
      <c r="P56" s="38" t="str">
        <f aca="true">IF($E56="","",IF($L56="Cancelada","Cancelada",IF(OR($K56&lt;&gt;"",$L56="Concluída"),IF(OR($J56="",$K56="",$K56&lt;=$J56),"Concluída","Concluída com atraso"),IF($J56="","Na carteira",IF($J56&lt;TODAY(),"VENCIDA",IF($L56="Em execução","Em execução",IF($J56=TODAY(),"Hoje","Programada")))))))</f>
        <v>Concluída</v>
      </c>
      <c r="Q56" s="31" t="str">
        <f aca="false">IF($E56="","",IF(ISNUMBER(SEARCH("(externo)",$G56)),"Terceirizada","Interna"))</f>
        <v>Interna</v>
      </c>
      <c r="R56" s="36" t="n">
        <f aca="false">IF($J56="","",IF($M56="",$J56,$M56))</f>
        <v>46260</v>
      </c>
      <c r="S56" s="31" t="n">
        <f aca="false">IF($E56="","",IF(OR($K56="",$J56=""),0,IF($K56&lt;=$J56,1,0)))</f>
        <v>0</v>
      </c>
      <c r="T56" s="31" t="n">
        <f aca="false">IF($E56="","",IF(OR($K56="",$R56=""),0,IF($K56&lt;=$R56,1,0)))</f>
        <v>0</v>
      </c>
      <c r="U56" s="38" t="str">
        <f aca="false">IF(OR($K56="",$J56=""),"",MAX(0,$K56-$J56))</f>
        <v/>
      </c>
      <c r="V56" s="31" t="n">
        <f aca="false">IF($E56="","",IF(AND($M56&lt;&gt;"",$J56&lt;&gt;"",$M56&lt;&gt;$J56),1,0))</f>
        <v>0</v>
      </c>
      <c r="W56" s="39" t="n">
        <f aca="false">IF($E56="","",IF($L56="Cancelada",0,IF(OR($K56&lt;&gt;"",$L56="Concluída"),1,0)))</f>
        <v>1</v>
      </c>
    </row>
    <row r="57" customFormat="false" ht="15" hidden="false" customHeight="true" outlineLevel="0" collapsed="false">
      <c r="A57" s="31" t="n">
        <f aca="false">IF($E57="","",COUNTA($E$5:$E57))</f>
        <v>53</v>
      </c>
      <c r="B57" s="32"/>
      <c r="C57" s="32" t="s">
        <v>123</v>
      </c>
      <c r="D57" s="32" t="s">
        <v>229</v>
      </c>
      <c r="E57" s="32" t="s">
        <v>244</v>
      </c>
      <c r="F57" s="33" t="s">
        <v>62</v>
      </c>
      <c r="G57" s="32" t="s">
        <v>231</v>
      </c>
      <c r="H57" s="34" t="n">
        <v>46258</v>
      </c>
      <c r="I57" s="35" t="s">
        <v>77</v>
      </c>
      <c r="J57" s="36" t="n">
        <f aca="false">IF(OR($H57="",$I57=""),"",$H57+MATCH($I57,Listas!$F$5:$F$11,0)-1)</f>
        <v>46260</v>
      </c>
      <c r="K57" s="37"/>
      <c r="L57" s="33" t="s">
        <v>63</v>
      </c>
      <c r="M57" s="37"/>
      <c r="N57" s="32"/>
      <c r="O57" s="32" t="s">
        <v>232</v>
      </c>
      <c r="P57" s="38" t="str">
        <f aca="true">IF($E57="","",IF($L57="Cancelada","Cancelada",IF(OR($K57&lt;&gt;"",$L57="Concluída"),IF(OR($J57="",$K57="",$K57&lt;=$J57),"Concluída","Concluída com atraso"),IF($J57="","Na carteira",IF($J57&lt;TODAY(),"VENCIDA",IF($L57="Em execução","Em execução",IF($J57=TODAY(),"Hoje","Programada")))))))</f>
        <v>Concluída</v>
      </c>
      <c r="Q57" s="31" t="str">
        <f aca="false">IF($E57="","",IF(ISNUMBER(SEARCH("(externo)",$G57)),"Terceirizada","Interna"))</f>
        <v>Interna</v>
      </c>
      <c r="R57" s="36" t="n">
        <f aca="false">IF($J57="","",IF($M57="",$J57,$M57))</f>
        <v>46260</v>
      </c>
      <c r="S57" s="31" t="n">
        <f aca="false">IF($E57="","",IF(OR($K57="",$J57=""),0,IF($K57&lt;=$J57,1,0)))</f>
        <v>0</v>
      </c>
      <c r="T57" s="31" t="n">
        <f aca="false">IF($E57="","",IF(OR($K57="",$R57=""),0,IF($K57&lt;=$R57,1,0)))</f>
        <v>0</v>
      </c>
      <c r="U57" s="38" t="str">
        <f aca="false">IF(OR($K57="",$J57=""),"",MAX(0,$K57-$J57))</f>
        <v/>
      </c>
      <c r="V57" s="31" t="n">
        <f aca="false">IF($E57="","",IF(AND($M57&lt;&gt;"",$J57&lt;&gt;"",$M57&lt;&gt;$J57),1,0))</f>
        <v>0</v>
      </c>
      <c r="W57" s="39" t="n">
        <f aca="false">IF($E57="","",IF($L57="Cancelada",0,IF(OR($K57&lt;&gt;"",$L57="Concluída"),1,0)))</f>
        <v>1</v>
      </c>
    </row>
    <row r="58" customFormat="false" ht="15" hidden="false" customHeight="true" outlineLevel="0" collapsed="false">
      <c r="A58" s="31" t="n">
        <f aca="false">IF($E58="","",COUNTA($E$5:$E58))</f>
        <v>54</v>
      </c>
      <c r="B58" s="32"/>
      <c r="C58" s="32" t="s">
        <v>123</v>
      </c>
      <c r="D58" s="32" t="s">
        <v>229</v>
      </c>
      <c r="E58" s="32" t="s">
        <v>245</v>
      </c>
      <c r="F58" s="33" t="s">
        <v>62</v>
      </c>
      <c r="G58" s="32" t="s">
        <v>231</v>
      </c>
      <c r="H58" s="34" t="n">
        <v>46258</v>
      </c>
      <c r="I58" s="35" t="s">
        <v>77</v>
      </c>
      <c r="J58" s="36" t="n">
        <f aca="false">IF(OR($H58="",$I58=""),"",$H58+MATCH($I58,Listas!$F$5:$F$11,0)-1)</f>
        <v>46260</v>
      </c>
      <c r="K58" s="37"/>
      <c r="L58" s="33" t="s">
        <v>63</v>
      </c>
      <c r="M58" s="37"/>
      <c r="N58" s="32"/>
      <c r="O58" s="32" t="s">
        <v>232</v>
      </c>
      <c r="P58" s="38" t="str">
        <f aca="true">IF($E58="","",IF($L58="Cancelada","Cancelada",IF(OR($K58&lt;&gt;"",$L58="Concluída"),IF(OR($J58="",$K58="",$K58&lt;=$J58),"Concluída","Concluída com atraso"),IF($J58="","Na carteira",IF($J58&lt;TODAY(),"VENCIDA",IF($L58="Em execução","Em execução",IF($J58=TODAY(),"Hoje","Programada")))))))</f>
        <v>Concluída</v>
      </c>
      <c r="Q58" s="31" t="str">
        <f aca="false">IF($E58="","",IF(ISNUMBER(SEARCH("(externo)",$G58)),"Terceirizada","Interna"))</f>
        <v>Interna</v>
      </c>
      <c r="R58" s="36" t="n">
        <f aca="false">IF($J58="","",IF($M58="",$J58,$M58))</f>
        <v>46260</v>
      </c>
      <c r="S58" s="31" t="n">
        <f aca="false">IF($E58="","",IF(OR($K58="",$J58=""),0,IF($K58&lt;=$J58,1,0)))</f>
        <v>0</v>
      </c>
      <c r="T58" s="31" t="n">
        <f aca="false">IF($E58="","",IF(OR($K58="",$R58=""),0,IF($K58&lt;=$R58,1,0)))</f>
        <v>0</v>
      </c>
      <c r="U58" s="38" t="str">
        <f aca="false">IF(OR($K58="",$J58=""),"",MAX(0,$K58-$J58))</f>
        <v/>
      </c>
      <c r="V58" s="31" t="n">
        <f aca="false">IF($E58="","",IF(AND($M58&lt;&gt;"",$J58&lt;&gt;"",$M58&lt;&gt;$J58),1,0))</f>
        <v>0</v>
      </c>
      <c r="W58" s="39" t="n">
        <f aca="false">IF($E58="","",IF($L58="Cancelada",0,IF(OR($K58&lt;&gt;"",$L58="Concluída"),1,0)))</f>
        <v>1</v>
      </c>
    </row>
    <row r="59" customFormat="false" ht="15" hidden="false" customHeight="true" outlineLevel="0" collapsed="false">
      <c r="A59" s="31" t="n">
        <f aca="false">IF($E59="","",COUNTA($E$5:$E59))</f>
        <v>55</v>
      </c>
      <c r="B59" s="32"/>
      <c r="C59" s="32" t="s">
        <v>123</v>
      </c>
      <c r="D59" s="32" t="s">
        <v>229</v>
      </c>
      <c r="E59" s="32" t="s">
        <v>246</v>
      </c>
      <c r="F59" s="33" t="s">
        <v>62</v>
      </c>
      <c r="G59" s="32" t="s">
        <v>231</v>
      </c>
      <c r="H59" s="34" t="n">
        <v>46258</v>
      </c>
      <c r="I59" s="35" t="s">
        <v>77</v>
      </c>
      <c r="J59" s="36" t="n">
        <f aca="false">IF(OR($H59="",$I59=""),"",$H59+MATCH($I59,Listas!$F$5:$F$11,0)-1)</f>
        <v>46260</v>
      </c>
      <c r="K59" s="37"/>
      <c r="L59" s="33" t="s">
        <v>63</v>
      </c>
      <c r="M59" s="37"/>
      <c r="N59" s="32"/>
      <c r="O59" s="32" t="s">
        <v>232</v>
      </c>
      <c r="P59" s="38" t="str">
        <f aca="true">IF($E59="","",IF($L59="Cancelada","Cancelada",IF(OR($K59&lt;&gt;"",$L59="Concluída"),IF(OR($J59="",$K59="",$K59&lt;=$J59),"Concluída","Concluída com atraso"),IF($J59="","Na carteira",IF($J59&lt;TODAY(),"VENCIDA",IF($L59="Em execução","Em execução",IF($J59=TODAY(),"Hoje","Programada")))))))</f>
        <v>Concluída</v>
      </c>
      <c r="Q59" s="31" t="str">
        <f aca="false">IF($E59="","",IF(ISNUMBER(SEARCH("(externo)",$G59)),"Terceirizada","Interna"))</f>
        <v>Interna</v>
      </c>
      <c r="R59" s="36" t="n">
        <f aca="false">IF($J59="","",IF($M59="",$J59,$M59))</f>
        <v>46260</v>
      </c>
      <c r="S59" s="31" t="n">
        <f aca="false">IF($E59="","",IF(OR($K59="",$J59=""),0,IF($K59&lt;=$J59,1,0)))</f>
        <v>0</v>
      </c>
      <c r="T59" s="31" t="n">
        <f aca="false">IF($E59="","",IF(OR($K59="",$R59=""),0,IF($K59&lt;=$R59,1,0)))</f>
        <v>0</v>
      </c>
      <c r="U59" s="38" t="str">
        <f aca="false">IF(OR($K59="",$J59=""),"",MAX(0,$K59-$J59))</f>
        <v/>
      </c>
      <c r="V59" s="31" t="n">
        <f aca="false">IF($E59="","",IF(AND($M59&lt;&gt;"",$J59&lt;&gt;"",$M59&lt;&gt;$J59),1,0))</f>
        <v>0</v>
      </c>
      <c r="W59" s="39" t="n">
        <f aca="false">IF($E59="","",IF($L59="Cancelada",0,IF(OR($K59&lt;&gt;"",$L59="Concluída"),1,0)))</f>
        <v>1</v>
      </c>
    </row>
    <row r="60" customFormat="false" ht="15" hidden="false" customHeight="true" outlineLevel="0" collapsed="false">
      <c r="A60" s="31" t="n">
        <f aca="false">IF($E60="","",COUNTA($E$5:$E60))</f>
        <v>56</v>
      </c>
      <c r="B60" s="32"/>
      <c r="C60" s="32" t="s">
        <v>123</v>
      </c>
      <c r="D60" s="32" t="s">
        <v>229</v>
      </c>
      <c r="E60" s="32" t="s">
        <v>247</v>
      </c>
      <c r="F60" s="33" t="s">
        <v>62</v>
      </c>
      <c r="G60" s="32" t="s">
        <v>231</v>
      </c>
      <c r="H60" s="34" t="n">
        <v>46258</v>
      </c>
      <c r="I60" s="35" t="s">
        <v>77</v>
      </c>
      <c r="J60" s="36" t="n">
        <f aca="false">IF(OR($H60="",$I60=""),"",$H60+MATCH($I60,Listas!$F$5:$F$11,0)-1)</f>
        <v>46260</v>
      </c>
      <c r="K60" s="37"/>
      <c r="L60" s="33" t="s">
        <v>63</v>
      </c>
      <c r="M60" s="37"/>
      <c r="N60" s="32"/>
      <c r="O60" s="32" t="s">
        <v>232</v>
      </c>
      <c r="P60" s="38" t="str">
        <f aca="true">IF($E60="","",IF($L60="Cancelada","Cancelada",IF(OR($K60&lt;&gt;"",$L60="Concluída"),IF(OR($J60="",$K60="",$K60&lt;=$J60),"Concluída","Concluída com atraso"),IF($J60="","Na carteira",IF($J60&lt;TODAY(),"VENCIDA",IF($L60="Em execução","Em execução",IF($J60=TODAY(),"Hoje","Programada")))))))</f>
        <v>Concluída</v>
      </c>
      <c r="Q60" s="31" t="str">
        <f aca="false">IF($E60="","",IF(ISNUMBER(SEARCH("(externo)",$G60)),"Terceirizada","Interna"))</f>
        <v>Interna</v>
      </c>
      <c r="R60" s="36" t="n">
        <f aca="false">IF($J60="","",IF($M60="",$J60,$M60))</f>
        <v>46260</v>
      </c>
      <c r="S60" s="31" t="n">
        <f aca="false">IF($E60="","",IF(OR($K60="",$J60=""),0,IF($K60&lt;=$J60,1,0)))</f>
        <v>0</v>
      </c>
      <c r="T60" s="31" t="n">
        <f aca="false">IF($E60="","",IF(OR($K60="",$R60=""),0,IF($K60&lt;=$R60,1,0)))</f>
        <v>0</v>
      </c>
      <c r="U60" s="38" t="str">
        <f aca="false">IF(OR($K60="",$J60=""),"",MAX(0,$K60-$J60))</f>
        <v/>
      </c>
      <c r="V60" s="31" t="n">
        <f aca="false">IF($E60="","",IF(AND($M60&lt;&gt;"",$J60&lt;&gt;"",$M60&lt;&gt;$J60),1,0))</f>
        <v>0</v>
      </c>
      <c r="W60" s="39" t="n">
        <f aca="false">IF($E60="","",IF($L60="Cancelada",0,IF(OR($K60&lt;&gt;"",$L60="Concluída"),1,0)))</f>
        <v>1</v>
      </c>
    </row>
    <row r="61" customFormat="false" ht="15" hidden="false" customHeight="true" outlineLevel="0" collapsed="false">
      <c r="A61" s="31" t="n">
        <f aca="false">IF($E61="","",COUNTA($E$5:$E61))</f>
        <v>57</v>
      </c>
      <c r="B61" s="32"/>
      <c r="C61" s="32" t="s">
        <v>123</v>
      </c>
      <c r="D61" s="32" t="s">
        <v>229</v>
      </c>
      <c r="E61" s="32" t="s">
        <v>248</v>
      </c>
      <c r="F61" s="33" t="s">
        <v>62</v>
      </c>
      <c r="G61" s="32" t="s">
        <v>231</v>
      </c>
      <c r="H61" s="34" t="n">
        <v>46258</v>
      </c>
      <c r="I61" s="35" t="s">
        <v>77</v>
      </c>
      <c r="J61" s="36" t="n">
        <f aca="false">IF(OR($H61="",$I61=""),"",$H61+MATCH($I61,Listas!$F$5:$F$11,0)-1)</f>
        <v>46260</v>
      </c>
      <c r="K61" s="37"/>
      <c r="L61" s="33" t="s">
        <v>63</v>
      </c>
      <c r="M61" s="37"/>
      <c r="N61" s="32"/>
      <c r="O61" s="32" t="s">
        <v>232</v>
      </c>
      <c r="P61" s="38" t="str">
        <f aca="true">IF($E61="","",IF($L61="Cancelada","Cancelada",IF(OR($K61&lt;&gt;"",$L61="Concluída"),IF(OR($J61="",$K61="",$K61&lt;=$J61),"Concluída","Concluída com atraso"),IF($J61="","Na carteira",IF($J61&lt;TODAY(),"VENCIDA",IF($L61="Em execução","Em execução",IF($J61=TODAY(),"Hoje","Programada")))))))</f>
        <v>Concluída</v>
      </c>
      <c r="Q61" s="31" t="str">
        <f aca="false">IF($E61="","",IF(ISNUMBER(SEARCH("(externo)",$G61)),"Terceirizada","Interna"))</f>
        <v>Interna</v>
      </c>
      <c r="R61" s="36" t="n">
        <f aca="false">IF($J61="","",IF($M61="",$J61,$M61))</f>
        <v>46260</v>
      </c>
      <c r="S61" s="31" t="n">
        <f aca="false">IF($E61="","",IF(OR($K61="",$J61=""),0,IF($K61&lt;=$J61,1,0)))</f>
        <v>0</v>
      </c>
      <c r="T61" s="31" t="n">
        <f aca="false">IF($E61="","",IF(OR($K61="",$R61=""),0,IF($K61&lt;=$R61,1,0)))</f>
        <v>0</v>
      </c>
      <c r="U61" s="38" t="str">
        <f aca="false">IF(OR($K61="",$J61=""),"",MAX(0,$K61-$J61))</f>
        <v/>
      </c>
      <c r="V61" s="31" t="n">
        <f aca="false">IF($E61="","",IF(AND($M61&lt;&gt;"",$J61&lt;&gt;"",$M61&lt;&gt;$J61),1,0))</f>
        <v>0</v>
      </c>
      <c r="W61" s="39" t="n">
        <f aca="false">IF($E61="","",IF($L61="Cancelada",0,IF(OR($K61&lt;&gt;"",$L61="Concluída"),1,0)))</f>
        <v>1</v>
      </c>
    </row>
    <row r="62" customFormat="false" ht="15" hidden="false" customHeight="true" outlineLevel="0" collapsed="false">
      <c r="A62" s="31" t="n">
        <f aca="false">IF($E62="","",COUNTA($E$5:$E62))</f>
        <v>58</v>
      </c>
      <c r="B62" s="32"/>
      <c r="C62" s="32" t="s">
        <v>123</v>
      </c>
      <c r="D62" s="32" t="s">
        <v>229</v>
      </c>
      <c r="E62" s="32" t="s">
        <v>249</v>
      </c>
      <c r="F62" s="33" t="s">
        <v>62</v>
      </c>
      <c r="G62" s="32" t="s">
        <v>231</v>
      </c>
      <c r="H62" s="34" t="n">
        <v>46258</v>
      </c>
      <c r="I62" s="35" t="s">
        <v>77</v>
      </c>
      <c r="J62" s="36" t="n">
        <f aca="false">IF(OR($H62="",$I62=""),"",$H62+MATCH($I62,Listas!$F$5:$F$11,0)-1)</f>
        <v>46260</v>
      </c>
      <c r="K62" s="37"/>
      <c r="L62" s="33" t="s">
        <v>63</v>
      </c>
      <c r="M62" s="37"/>
      <c r="N62" s="32"/>
      <c r="O62" s="32" t="s">
        <v>232</v>
      </c>
      <c r="P62" s="38" t="str">
        <f aca="true">IF($E62="","",IF($L62="Cancelada","Cancelada",IF(OR($K62&lt;&gt;"",$L62="Concluída"),IF(OR($J62="",$K62="",$K62&lt;=$J62),"Concluída","Concluída com atraso"),IF($J62="","Na carteira",IF($J62&lt;TODAY(),"VENCIDA",IF($L62="Em execução","Em execução",IF($J62=TODAY(),"Hoje","Programada")))))))</f>
        <v>Concluída</v>
      </c>
      <c r="Q62" s="31" t="str">
        <f aca="false">IF($E62="","",IF(ISNUMBER(SEARCH("(externo)",$G62)),"Terceirizada","Interna"))</f>
        <v>Interna</v>
      </c>
      <c r="R62" s="36" t="n">
        <f aca="false">IF($J62="","",IF($M62="",$J62,$M62))</f>
        <v>46260</v>
      </c>
      <c r="S62" s="31" t="n">
        <f aca="false">IF($E62="","",IF(OR($K62="",$J62=""),0,IF($K62&lt;=$J62,1,0)))</f>
        <v>0</v>
      </c>
      <c r="T62" s="31" t="n">
        <f aca="false">IF($E62="","",IF(OR($K62="",$R62=""),0,IF($K62&lt;=$R62,1,0)))</f>
        <v>0</v>
      </c>
      <c r="U62" s="38" t="str">
        <f aca="false">IF(OR($K62="",$J62=""),"",MAX(0,$K62-$J62))</f>
        <v/>
      </c>
      <c r="V62" s="31" t="n">
        <f aca="false">IF($E62="","",IF(AND($M62&lt;&gt;"",$J62&lt;&gt;"",$M62&lt;&gt;$J62),1,0))</f>
        <v>0</v>
      </c>
      <c r="W62" s="39" t="n">
        <f aca="false">IF($E62="","",IF($L62="Cancelada",0,IF(OR($K62&lt;&gt;"",$L62="Concluída"),1,0)))</f>
        <v>1</v>
      </c>
    </row>
    <row r="63" customFormat="false" ht="15" hidden="false" customHeight="true" outlineLevel="0" collapsed="false">
      <c r="A63" s="31" t="n">
        <f aca="false">IF($E63="","",COUNTA($E$5:$E63))</f>
        <v>59</v>
      </c>
      <c r="B63" s="32"/>
      <c r="C63" s="32" t="s">
        <v>123</v>
      </c>
      <c r="D63" s="32" t="s">
        <v>229</v>
      </c>
      <c r="E63" s="32" t="s">
        <v>250</v>
      </c>
      <c r="F63" s="33" t="s">
        <v>62</v>
      </c>
      <c r="G63" s="32" t="s">
        <v>231</v>
      </c>
      <c r="H63" s="34" t="n">
        <v>46258</v>
      </c>
      <c r="I63" s="35" t="s">
        <v>77</v>
      </c>
      <c r="J63" s="36" t="n">
        <f aca="false">IF(OR($H63="",$I63=""),"",$H63+MATCH($I63,Listas!$F$5:$F$11,0)-1)</f>
        <v>46260</v>
      </c>
      <c r="K63" s="37"/>
      <c r="L63" s="33" t="s">
        <v>63</v>
      </c>
      <c r="M63" s="37"/>
      <c r="N63" s="32"/>
      <c r="O63" s="32" t="s">
        <v>232</v>
      </c>
      <c r="P63" s="38" t="str">
        <f aca="true">IF($E63="","",IF($L63="Cancelada","Cancelada",IF(OR($K63&lt;&gt;"",$L63="Concluída"),IF(OR($J63="",$K63="",$K63&lt;=$J63),"Concluída","Concluída com atraso"),IF($J63="","Na carteira",IF($J63&lt;TODAY(),"VENCIDA",IF($L63="Em execução","Em execução",IF($J63=TODAY(),"Hoje","Programada")))))))</f>
        <v>Concluída</v>
      </c>
      <c r="Q63" s="31" t="str">
        <f aca="false">IF($E63="","",IF(ISNUMBER(SEARCH("(externo)",$G63)),"Terceirizada","Interna"))</f>
        <v>Interna</v>
      </c>
      <c r="R63" s="36" t="n">
        <f aca="false">IF($J63="","",IF($M63="",$J63,$M63))</f>
        <v>46260</v>
      </c>
      <c r="S63" s="31" t="n">
        <f aca="false">IF($E63="","",IF(OR($K63="",$J63=""),0,IF($K63&lt;=$J63,1,0)))</f>
        <v>0</v>
      </c>
      <c r="T63" s="31" t="n">
        <f aca="false">IF($E63="","",IF(OR($K63="",$R63=""),0,IF($K63&lt;=$R63,1,0)))</f>
        <v>0</v>
      </c>
      <c r="U63" s="38" t="str">
        <f aca="false">IF(OR($K63="",$J63=""),"",MAX(0,$K63-$J63))</f>
        <v/>
      </c>
      <c r="V63" s="31" t="n">
        <f aca="false">IF($E63="","",IF(AND($M63&lt;&gt;"",$J63&lt;&gt;"",$M63&lt;&gt;$J63),1,0))</f>
        <v>0</v>
      </c>
      <c r="W63" s="39" t="n">
        <f aca="false">IF($E63="","",IF($L63="Cancelada",0,IF(OR($K63&lt;&gt;"",$L63="Concluída"),1,0)))</f>
        <v>1</v>
      </c>
    </row>
    <row r="64" customFormat="false" ht="15" hidden="false" customHeight="true" outlineLevel="0" collapsed="false">
      <c r="A64" s="31" t="n">
        <f aca="false">IF($E64="","",COUNTA($E$5:$E64))</f>
        <v>60</v>
      </c>
      <c r="B64" s="32"/>
      <c r="C64" s="32" t="s">
        <v>123</v>
      </c>
      <c r="D64" s="32" t="s">
        <v>229</v>
      </c>
      <c r="E64" s="32" t="s">
        <v>251</v>
      </c>
      <c r="F64" s="33" t="s">
        <v>62</v>
      </c>
      <c r="G64" s="32" t="s">
        <v>231</v>
      </c>
      <c r="H64" s="34" t="n">
        <v>46258</v>
      </c>
      <c r="I64" s="35" t="s">
        <v>77</v>
      </c>
      <c r="J64" s="36" t="n">
        <f aca="false">IF(OR($H64="",$I64=""),"",$H64+MATCH($I64,Listas!$F$5:$F$11,0)-1)</f>
        <v>46260</v>
      </c>
      <c r="K64" s="37"/>
      <c r="L64" s="33" t="s">
        <v>63</v>
      </c>
      <c r="M64" s="37"/>
      <c r="N64" s="32"/>
      <c r="O64" s="32" t="s">
        <v>232</v>
      </c>
      <c r="P64" s="38" t="str">
        <f aca="true">IF($E64="","",IF($L64="Cancelada","Cancelada",IF(OR($K64&lt;&gt;"",$L64="Concluída"),IF(OR($J64="",$K64="",$K64&lt;=$J64),"Concluída","Concluída com atraso"),IF($J64="","Na carteira",IF($J64&lt;TODAY(),"VENCIDA",IF($L64="Em execução","Em execução",IF($J64=TODAY(),"Hoje","Programada")))))))</f>
        <v>Concluída</v>
      </c>
      <c r="Q64" s="31" t="str">
        <f aca="false">IF($E64="","",IF(ISNUMBER(SEARCH("(externo)",$G64)),"Terceirizada","Interna"))</f>
        <v>Interna</v>
      </c>
      <c r="R64" s="36" t="n">
        <f aca="false">IF($J64="","",IF($M64="",$J64,$M64))</f>
        <v>46260</v>
      </c>
      <c r="S64" s="31" t="n">
        <f aca="false">IF($E64="","",IF(OR($K64="",$J64=""),0,IF($K64&lt;=$J64,1,0)))</f>
        <v>0</v>
      </c>
      <c r="T64" s="31" t="n">
        <f aca="false">IF($E64="","",IF(OR($K64="",$R64=""),0,IF($K64&lt;=$R64,1,0)))</f>
        <v>0</v>
      </c>
      <c r="U64" s="38" t="str">
        <f aca="false">IF(OR($K64="",$J64=""),"",MAX(0,$K64-$J64))</f>
        <v/>
      </c>
      <c r="V64" s="31" t="n">
        <f aca="false">IF($E64="","",IF(AND($M64&lt;&gt;"",$J64&lt;&gt;"",$M64&lt;&gt;$J64),1,0))</f>
        <v>0</v>
      </c>
      <c r="W64" s="39" t="n">
        <f aca="false">IF($E64="","",IF($L64="Cancelada",0,IF(OR($K64&lt;&gt;"",$L64="Concluída"),1,0)))</f>
        <v>1</v>
      </c>
    </row>
    <row r="65" customFormat="false" ht="15" hidden="false" customHeight="true" outlineLevel="0" collapsed="false">
      <c r="A65" s="31" t="n">
        <f aca="false">IF($E65="","",COUNTA($E$5:$E65))</f>
        <v>61</v>
      </c>
      <c r="B65" s="32"/>
      <c r="C65" s="32" t="s">
        <v>123</v>
      </c>
      <c r="D65" s="32" t="s">
        <v>252</v>
      </c>
      <c r="E65" s="32" t="s">
        <v>253</v>
      </c>
      <c r="F65" s="33" t="s">
        <v>62</v>
      </c>
      <c r="G65" s="32" t="s">
        <v>105</v>
      </c>
      <c r="H65" s="34" t="n">
        <v>46258</v>
      </c>
      <c r="I65" s="35" t="s">
        <v>82</v>
      </c>
      <c r="J65" s="36" t="n">
        <f aca="false">IF(OR($H65="",$I65=""),"",$H65+MATCH($I65,Listas!$F$5:$F$11,0)-1)</f>
        <v>46261</v>
      </c>
      <c r="K65" s="37"/>
      <c r="L65" s="33"/>
      <c r="M65" s="37" t="n">
        <v>46260</v>
      </c>
      <c r="N65" s="32"/>
      <c r="O65" s="32"/>
      <c r="P65" s="38" t="str">
        <f aca="true">IF($E65="","",IF($L65="Cancelada","Cancelada",IF(OR($K65&lt;&gt;"",$L65="Concluída"),IF(OR($J65="",$K65="",$K65&lt;=$J65),"Concluída","Concluída com atraso"),IF($J65="","Na carteira",IF($J65&lt;TODAY(),"VENCIDA",IF($L65="Em execução","Em execução",IF($J65=TODAY(),"Hoje","Programada")))))))</f>
        <v>Programada</v>
      </c>
      <c r="Q65" s="31" t="str">
        <f aca="false">IF($E65="","",IF(ISNUMBER(SEARCH("(externo)",$G65)),"Terceirizada","Interna"))</f>
        <v>Terceirizada</v>
      </c>
      <c r="R65" s="36" t="n">
        <f aca="false">IF($J65="","",IF($M65="",$J65,$M65))</f>
        <v>46260</v>
      </c>
      <c r="S65" s="31" t="n">
        <f aca="false">IF($E65="","",IF(OR($K65="",$J65=""),0,IF($K65&lt;=$J65,1,0)))</f>
        <v>0</v>
      </c>
      <c r="T65" s="31" t="n">
        <f aca="false">IF($E65="","",IF(OR($K65="",$R65=""),0,IF($K65&lt;=$R65,1,0)))</f>
        <v>0</v>
      </c>
      <c r="U65" s="38" t="str">
        <f aca="false">IF(OR($K65="",$J65=""),"",MAX(0,$K65-$J65))</f>
        <v/>
      </c>
      <c r="V65" s="31" t="n">
        <f aca="false">IF($E65="","",IF(AND($M65&lt;&gt;"",$J65&lt;&gt;"",$M65&lt;&gt;$J65),1,0))</f>
        <v>1</v>
      </c>
      <c r="W65" s="39" t="n">
        <f aca="false">IF($E65="","",IF($L65="Cancelada",0,IF(OR($K65&lt;&gt;"",$L65="Concluída"),1,0)))</f>
        <v>0</v>
      </c>
    </row>
    <row r="66" customFormat="false" ht="15" hidden="false" customHeight="true" outlineLevel="0" collapsed="false">
      <c r="A66" s="31" t="n">
        <f aca="false">IF($E66="","",COUNTA($E$5:$E66))</f>
        <v>62</v>
      </c>
      <c r="B66" s="32"/>
      <c r="C66" s="32" t="s">
        <v>124</v>
      </c>
      <c r="D66" s="32" t="s">
        <v>254</v>
      </c>
      <c r="E66" s="32" t="s">
        <v>255</v>
      </c>
      <c r="F66" s="33" t="s">
        <v>62</v>
      </c>
      <c r="G66" s="32" t="s">
        <v>256</v>
      </c>
      <c r="H66" s="34" t="n">
        <v>46258</v>
      </c>
      <c r="I66" s="35" t="s">
        <v>65</v>
      </c>
      <c r="J66" s="36" t="n">
        <f aca="false">IF(OR($H66="",$I66=""),"",$H66+MATCH($I66,Listas!$F$5:$F$11,0)-1)</f>
        <v>46258</v>
      </c>
      <c r="K66" s="37"/>
      <c r="L66" s="33" t="s">
        <v>63</v>
      </c>
      <c r="M66" s="37"/>
      <c r="N66" s="32"/>
      <c r="O66" s="32"/>
      <c r="P66" s="38" t="str">
        <f aca="true">IF($E66="","",IF($L66="Cancelada","Cancelada",IF(OR($K66&lt;&gt;"",$L66="Concluída"),IF(OR($J66="",$K66="",$K66&lt;=$J66),"Concluída","Concluída com atraso"),IF($J66="","Na carteira",IF($J66&lt;TODAY(),"VENCIDA",IF($L66="Em execução","Em execução",IF($J66=TODAY(),"Hoje","Programada")))))))</f>
        <v>Concluída</v>
      </c>
      <c r="Q66" s="31" t="str">
        <f aca="false">IF($E66="","",IF(ISNUMBER(SEARCH("(externo)",$G66)),"Terceirizada","Interna"))</f>
        <v>Interna</v>
      </c>
      <c r="R66" s="36" t="n">
        <f aca="false">IF($J66="","",IF($M66="",$J66,$M66))</f>
        <v>46258</v>
      </c>
      <c r="S66" s="31" t="n">
        <f aca="false">IF($E66="","",IF(OR($K66="",$J66=""),0,IF($K66&lt;=$J66,1,0)))</f>
        <v>0</v>
      </c>
      <c r="T66" s="31" t="n">
        <f aca="false">IF($E66="","",IF(OR($K66="",$R66=""),0,IF($K66&lt;=$R66,1,0)))</f>
        <v>0</v>
      </c>
      <c r="U66" s="38" t="str">
        <f aca="false">IF(OR($K66="",$J66=""),"",MAX(0,$K66-$J66))</f>
        <v/>
      </c>
      <c r="V66" s="31" t="n">
        <f aca="false">IF($E66="","",IF(AND($M66&lt;&gt;"",$J66&lt;&gt;"",$M66&lt;&gt;$J66),1,0))</f>
        <v>0</v>
      </c>
      <c r="W66" s="39" t="n">
        <f aca="false">IF($E66="","",IF($L66="Cancelada",0,IF(OR($K66&lt;&gt;"",$L66="Concluída"),1,0)))</f>
        <v>1</v>
      </c>
    </row>
    <row r="67" customFormat="false" ht="15" hidden="false" customHeight="true" outlineLevel="0" collapsed="false">
      <c r="A67" s="31" t="n">
        <f aca="false">IF($E67="","",COUNTA($E$5:$E67))</f>
        <v>63</v>
      </c>
      <c r="B67" s="32"/>
      <c r="C67" s="32" t="s">
        <v>124</v>
      </c>
      <c r="D67" s="32" t="s">
        <v>254</v>
      </c>
      <c r="E67" s="32" t="s">
        <v>257</v>
      </c>
      <c r="F67" s="33" t="s">
        <v>62</v>
      </c>
      <c r="G67" s="32" t="s">
        <v>256</v>
      </c>
      <c r="H67" s="34" t="n">
        <v>46258</v>
      </c>
      <c r="I67" s="35" t="s">
        <v>65</v>
      </c>
      <c r="J67" s="36" t="n">
        <f aca="false">IF(OR($H67="",$I67=""),"",$H67+MATCH($I67,Listas!$F$5:$F$11,0)-1)</f>
        <v>46258</v>
      </c>
      <c r="K67" s="37"/>
      <c r="L67" s="33" t="s">
        <v>63</v>
      </c>
      <c r="M67" s="37"/>
      <c r="N67" s="32"/>
      <c r="O67" s="32"/>
      <c r="P67" s="38" t="str">
        <f aca="true">IF($E67="","",IF($L67="Cancelada","Cancelada",IF(OR($K67&lt;&gt;"",$L67="Concluída"),IF(OR($J67="",$K67="",$K67&lt;=$J67),"Concluída","Concluída com atraso"),IF($J67="","Na carteira",IF($J67&lt;TODAY(),"VENCIDA",IF($L67="Em execução","Em execução",IF($J67=TODAY(),"Hoje","Programada")))))))</f>
        <v>Concluída</v>
      </c>
      <c r="Q67" s="31" t="str">
        <f aca="false">IF($E67="","",IF(ISNUMBER(SEARCH("(externo)",$G67)),"Terceirizada","Interna"))</f>
        <v>Interna</v>
      </c>
      <c r="R67" s="36" t="n">
        <f aca="false">IF($J67="","",IF($M67="",$J67,$M67))</f>
        <v>46258</v>
      </c>
      <c r="S67" s="31" t="n">
        <f aca="false">IF($E67="","",IF(OR($K67="",$J67=""),0,IF($K67&lt;=$J67,1,0)))</f>
        <v>0</v>
      </c>
      <c r="T67" s="31" t="n">
        <f aca="false">IF($E67="","",IF(OR($K67="",$R67=""),0,IF($K67&lt;=$R67,1,0)))</f>
        <v>0</v>
      </c>
      <c r="U67" s="38" t="str">
        <f aca="false">IF(OR($K67="",$J67=""),"",MAX(0,$K67-$J67))</f>
        <v/>
      </c>
      <c r="V67" s="31" t="n">
        <f aca="false">IF($E67="","",IF(AND($M67&lt;&gt;"",$J67&lt;&gt;"",$M67&lt;&gt;$J67),1,0))</f>
        <v>0</v>
      </c>
      <c r="W67" s="39" t="n">
        <f aca="false">IF($E67="","",IF($L67="Cancelada",0,IF(OR($K67&lt;&gt;"",$L67="Concluída"),1,0)))</f>
        <v>1</v>
      </c>
    </row>
    <row r="68" customFormat="false" ht="15" hidden="false" customHeight="true" outlineLevel="0" collapsed="false">
      <c r="A68" s="31" t="n">
        <f aca="false">IF($E68="","",COUNTA($E$5:$E68))</f>
        <v>64</v>
      </c>
      <c r="B68" s="32"/>
      <c r="C68" s="32" t="s">
        <v>124</v>
      </c>
      <c r="D68" s="32" t="s">
        <v>254</v>
      </c>
      <c r="E68" s="32" t="s">
        <v>258</v>
      </c>
      <c r="F68" s="33" t="s">
        <v>62</v>
      </c>
      <c r="G68" s="32" t="s">
        <v>256</v>
      </c>
      <c r="H68" s="34" t="n">
        <v>46258</v>
      </c>
      <c r="I68" s="35" t="s">
        <v>65</v>
      </c>
      <c r="J68" s="36" t="n">
        <f aca="false">IF(OR($H68="",$I68=""),"",$H68+MATCH($I68,Listas!$F$5:$F$11,0)-1)</f>
        <v>46258</v>
      </c>
      <c r="K68" s="37"/>
      <c r="L68" s="33" t="s">
        <v>63</v>
      </c>
      <c r="M68" s="37"/>
      <c r="N68" s="32"/>
      <c r="O68" s="32"/>
      <c r="P68" s="38" t="str">
        <f aca="true">IF($E68="","",IF($L68="Cancelada","Cancelada",IF(OR($K68&lt;&gt;"",$L68="Concluída"),IF(OR($J68="",$K68="",$K68&lt;=$J68),"Concluída","Concluída com atraso"),IF($J68="","Na carteira",IF($J68&lt;TODAY(),"VENCIDA",IF($L68="Em execução","Em execução",IF($J68=TODAY(),"Hoje","Programada")))))))</f>
        <v>Concluída</v>
      </c>
      <c r="Q68" s="31" t="str">
        <f aca="false">IF($E68="","",IF(ISNUMBER(SEARCH("(externo)",$G68)),"Terceirizada","Interna"))</f>
        <v>Interna</v>
      </c>
      <c r="R68" s="36" t="n">
        <f aca="false">IF($J68="","",IF($M68="",$J68,$M68))</f>
        <v>46258</v>
      </c>
      <c r="S68" s="31" t="n">
        <f aca="false">IF($E68="","",IF(OR($K68="",$J68=""),0,IF($K68&lt;=$J68,1,0)))</f>
        <v>0</v>
      </c>
      <c r="T68" s="31" t="n">
        <f aca="false">IF($E68="","",IF(OR($K68="",$R68=""),0,IF($K68&lt;=$R68,1,0)))</f>
        <v>0</v>
      </c>
      <c r="U68" s="38" t="str">
        <f aca="false">IF(OR($K68="",$J68=""),"",MAX(0,$K68-$J68))</f>
        <v/>
      </c>
      <c r="V68" s="31" t="n">
        <f aca="false">IF($E68="","",IF(AND($M68&lt;&gt;"",$J68&lt;&gt;"",$M68&lt;&gt;$J68),1,0))</f>
        <v>0</v>
      </c>
      <c r="W68" s="39" t="n">
        <f aca="false">IF($E68="","",IF($L68="Cancelada",0,IF(OR($K68&lt;&gt;"",$L68="Concluída"),1,0)))</f>
        <v>1</v>
      </c>
    </row>
    <row r="69" customFormat="false" ht="15" hidden="false" customHeight="true" outlineLevel="0" collapsed="false">
      <c r="A69" s="31" t="n">
        <f aca="false">IF($E69="","",COUNTA($E$5:$E69))</f>
        <v>65</v>
      </c>
      <c r="B69" s="32"/>
      <c r="C69" s="32" t="s">
        <v>124</v>
      </c>
      <c r="D69" s="32" t="s">
        <v>254</v>
      </c>
      <c r="E69" s="32" t="s">
        <v>259</v>
      </c>
      <c r="F69" s="33" t="s">
        <v>62</v>
      </c>
      <c r="G69" s="32" t="s">
        <v>256</v>
      </c>
      <c r="H69" s="34" t="n">
        <v>46258</v>
      </c>
      <c r="I69" s="35" t="s">
        <v>71</v>
      </c>
      <c r="J69" s="36" t="n">
        <f aca="false">IF(OR($H69="",$I69=""),"",$H69+MATCH($I69,Listas!$F$5:$F$11,0)-1)</f>
        <v>46259</v>
      </c>
      <c r="K69" s="37"/>
      <c r="L69" s="33" t="s">
        <v>63</v>
      </c>
      <c r="M69" s="37"/>
      <c r="N69" s="32"/>
      <c r="O69" s="32"/>
      <c r="P69" s="38" t="str">
        <f aca="true">IF($E69="","",IF($L69="Cancelada","Cancelada",IF(OR($K69&lt;&gt;"",$L69="Concluída"),IF(OR($J69="",$K69="",$K69&lt;=$J69),"Concluída","Concluída com atraso"),IF($J69="","Na carteira",IF($J69&lt;TODAY(),"VENCIDA",IF($L69="Em execução","Em execução",IF($J69=TODAY(),"Hoje","Programada")))))))</f>
        <v>Concluída</v>
      </c>
      <c r="Q69" s="31" t="str">
        <f aca="false">IF($E69="","",IF(ISNUMBER(SEARCH("(externo)",$G69)),"Terceirizada","Interna"))</f>
        <v>Interna</v>
      </c>
      <c r="R69" s="36" t="n">
        <f aca="false">IF($J69="","",IF($M69="",$J69,$M69))</f>
        <v>46259</v>
      </c>
      <c r="S69" s="31" t="n">
        <f aca="false">IF($E69="","",IF(OR($K69="",$J69=""),0,IF($K69&lt;=$J69,1,0)))</f>
        <v>0</v>
      </c>
      <c r="T69" s="31" t="n">
        <f aca="false">IF($E69="","",IF(OR($K69="",$R69=""),0,IF($K69&lt;=$R69,1,0)))</f>
        <v>0</v>
      </c>
      <c r="U69" s="38" t="str">
        <f aca="false">IF(OR($K69="",$J69=""),"",MAX(0,$K69-$J69))</f>
        <v/>
      </c>
      <c r="V69" s="31" t="n">
        <f aca="false">IF($E69="","",IF(AND($M69&lt;&gt;"",$J69&lt;&gt;"",$M69&lt;&gt;$J69),1,0))</f>
        <v>0</v>
      </c>
      <c r="W69" s="39" t="n">
        <f aca="false">IF($E69="","",IF($L69="Cancelada",0,IF(OR($K69&lt;&gt;"",$L69="Concluída"),1,0)))</f>
        <v>1</v>
      </c>
    </row>
    <row r="70" customFormat="false" ht="15" hidden="false" customHeight="true" outlineLevel="0" collapsed="false">
      <c r="A70" s="31" t="n">
        <f aca="false">IF($E70="","",COUNTA($E$5:$E70))</f>
        <v>66</v>
      </c>
      <c r="B70" s="32"/>
      <c r="C70" s="32" t="s">
        <v>124</v>
      </c>
      <c r="D70" s="32" t="s">
        <v>254</v>
      </c>
      <c r="E70" s="32" t="s">
        <v>260</v>
      </c>
      <c r="F70" s="33" t="s">
        <v>62</v>
      </c>
      <c r="G70" s="32" t="s">
        <v>256</v>
      </c>
      <c r="H70" s="34" t="n">
        <v>46258</v>
      </c>
      <c r="I70" s="35" t="s">
        <v>71</v>
      </c>
      <c r="J70" s="36" t="n">
        <f aca="false">IF(OR($H70="",$I70=""),"",$H70+MATCH($I70,Listas!$F$5:$F$11,0)-1)</f>
        <v>46259</v>
      </c>
      <c r="K70" s="37"/>
      <c r="L70" s="33" t="s">
        <v>63</v>
      </c>
      <c r="M70" s="37"/>
      <c r="N70" s="32"/>
      <c r="O70" s="32"/>
      <c r="P70" s="38" t="str">
        <f aca="true">IF($E70="","",IF($L70="Cancelada","Cancelada",IF(OR($K70&lt;&gt;"",$L70="Concluída"),IF(OR($J70="",$K70="",$K70&lt;=$J70),"Concluída","Concluída com atraso"),IF($J70="","Na carteira",IF($J70&lt;TODAY(),"VENCIDA",IF($L70="Em execução","Em execução",IF($J70=TODAY(),"Hoje","Programada")))))))</f>
        <v>Concluída</v>
      </c>
      <c r="Q70" s="31" t="str">
        <f aca="false">IF($E70="","",IF(ISNUMBER(SEARCH("(externo)",$G70)),"Terceirizada","Interna"))</f>
        <v>Interna</v>
      </c>
      <c r="R70" s="36" t="n">
        <f aca="false">IF($J70="","",IF($M70="",$J70,$M70))</f>
        <v>46259</v>
      </c>
      <c r="S70" s="31" t="n">
        <f aca="false">IF($E70="","",IF(OR($K70="",$J70=""),0,IF($K70&lt;=$J70,1,0)))</f>
        <v>0</v>
      </c>
      <c r="T70" s="31" t="n">
        <f aca="false">IF($E70="","",IF(OR($K70="",$R70=""),0,IF($K70&lt;=$R70,1,0)))</f>
        <v>0</v>
      </c>
      <c r="U70" s="38" t="str">
        <f aca="false">IF(OR($K70="",$J70=""),"",MAX(0,$K70-$J70))</f>
        <v/>
      </c>
      <c r="V70" s="31" t="n">
        <f aca="false">IF($E70="","",IF(AND($M70&lt;&gt;"",$J70&lt;&gt;"",$M70&lt;&gt;$J70),1,0))</f>
        <v>0</v>
      </c>
      <c r="W70" s="39" t="n">
        <f aca="false">IF($E70="","",IF($L70="Cancelada",0,IF(OR($K70&lt;&gt;"",$L70="Concluída"),1,0)))</f>
        <v>1</v>
      </c>
    </row>
    <row r="71" customFormat="false" ht="15" hidden="false" customHeight="true" outlineLevel="0" collapsed="false">
      <c r="A71" s="31" t="n">
        <f aca="false">IF($E71="","",COUNTA($E$5:$E71))</f>
        <v>67</v>
      </c>
      <c r="B71" s="32"/>
      <c r="C71" s="32" t="s">
        <v>124</v>
      </c>
      <c r="D71" s="32" t="s">
        <v>254</v>
      </c>
      <c r="E71" s="32" t="s">
        <v>261</v>
      </c>
      <c r="F71" s="33" t="s">
        <v>62</v>
      </c>
      <c r="G71" s="32" t="s">
        <v>256</v>
      </c>
      <c r="H71" s="34" t="n">
        <v>46258</v>
      </c>
      <c r="I71" s="35" t="s">
        <v>71</v>
      </c>
      <c r="J71" s="36" t="n">
        <f aca="false">IF(OR($H71="",$I71=""),"",$H71+MATCH($I71,Listas!$F$5:$F$11,0)-1)</f>
        <v>46259</v>
      </c>
      <c r="K71" s="37"/>
      <c r="L71" s="33" t="s">
        <v>63</v>
      </c>
      <c r="M71" s="37"/>
      <c r="N71" s="32"/>
      <c r="O71" s="32"/>
      <c r="P71" s="38" t="str">
        <f aca="true">IF($E71="","",IF($L71="Cancelada","Cancelada",IF(OR($K71&lt;&gt;"",$L71="Concluída"),IF(OR($J71="",$K71="",$K71&lt;=$J71),"Concluída","Concluída com atraso"),IF($J71="","Na carteira",IF($J71&lt;TODAY(),"VENCIDA",IF($L71="Em execução","Em execução",IF($J71=TODAY(),"Hoje","Programada")))))))</f>
        <v>Concluída</v>
      </c>
      <c r="Q71" s="31" t="str">
        <f aca="false">IF($E71="","",IF(ISNUMBER(SEARCH("(externo)",$G71)),"Terceirizada","Interna"))</f>
        <v>Interna</v>
      </c>
      <c r="R71" s="36" t="n">
        <f aca="false">IF($J71="","",IF($M71="",$J71,$M71))</f>
        <v>46259</v>
      </c>
      <c r="S71" s="31" t="n">
        <f aca="false">IF($E71="","",IF(OR($K71="",$J71=""),0,IF($K71&lt;=$J71,1,0)))</f>
        <v>0</v>
      </c>
      <c r="T71" s="31" t="n">
        <f aca="false">IF($E71="","",IF(OR($K71="",$R71=""),0,IF($K71&lt;=$R71,1,0)))</f>
        <v>0</v>
      </c>
      <c r="U71" s="38" t="str">
        <f aca="false">IF(OR($K71="",$J71=""),"",MAX(0,$K71-$J71))</f>
        <v/>
      </c>
      <c r="V71" s="31" t="n">
        <f aca="false">IF($E71="","",IF(AND($M71&lt;&gt;"",$J71&lt;&gt;"",$M71&lt;&gt;$J71),1,0))</f>
        <v>0</v>
      </c>
      <c r="W71" s="39" t="n">
        <f aca="false">IF($E71="","",IF($L71="Cancelada",0,IF(OR($K71&lt;&gt;"",$L71="Concluída"),1,0)))</f>
        <v>1</v>
      </c>
    </row>
    <row r="72" customFormat="false" ht="15" hidden="false" customHeight="true" outlineLevel="0" collapsed="false">
      <c r="A72" s="31" t="n">
        <f aca="false">IF($E72="","",COUNTA($E$5:$E72))</f>
        <v>68</v>
      </c>
      <c r="B72" s="32"/>
      <c r="C72" s="32" t="s">
        <v>124</v>
      </c>
      <c r="D72" s="32" t="s">
        <v>254</v>
      </c>
      <c r="E72" s="32" t="s">
        <v>262</v>
      </c>
      <c r="F72" s="33" t="s">
        <v>62</v>
      </c>
      <c r="G72" s="32" t="s">
        <v>256</v>
      </c>
      <c r="H72" s="34" t="n">
        <v>46258</v>
      </c>
      <c r="I72" s="35" t="s">
        <v>77</v>
      </c>
      <c r="J72" s="36" t="n">
        <f aca="false">IF(OR($H72="",$I72=""),"",$H72+MATCH($I72,Listas!$F$5:$F$11,0)-1)</f>
        <v>46260</v>
      </c>
      <c r="K72" s="37"/>
      <c r="L72" s="33" t="s">
        <v>63</v>
      </c>
      <c r="M72" s="37"/>
      <c r="N72" s="32"/>
      <c r="O72" s="32"/>
      <c r="P72" s="38" t="str">
        <f aca="true">IF($E72="","",IF($L72="Cancelada","Cancelada",IF(OR($K72&lt;&gt;"",$L72="Concluída"),IF(OR($J72="",$K72="",$K72&lt;=$J72),"Concluída","Concluída com atraso"),IF($J72="","Na carteira",IF($J72&lt;TODAY(),"VENCIDA",IF($L72="Em execução","Em execução",IF($J72=TODAY(),"Hoje","Programada")))))))</f>
        <v>Concluída</v>
      </c>
      <c r="Q72" s="31" t="str">
        <f aca="false">IF($E72="","",IF(ISNUMBER(SEARCH("(externo)",$G72)),"Terceirizada","Interna"))</f>
        <v>Interna</v>
      </c>
      <c r="R72" s="36" t="n">
        <f aca="false">IF($J72="","",IF($M72="",$J72,$M72))</f>
        <v>46260</v>
      </c>
      <c r="S72" s="31" t="n">
        <f aca="false">IF($E72="","",IF(OR($K72="",$J72=""),0,IF($K72&lt;=$J72,1,0)))</f>
        <v>0</v>
      </c>
      <c r="T72" s="31" t="n">
        <f aca="false">IF($E72="","",IF(OR($K72="",$R72=""),0,IF($K72&lt;=$R72,1,0)))</f>
        <v>0</v>
      </c>
      <c r="U72" s="38" t="str">
        <f aca="false">IF(OR($K72="",$J72=""),"",MAX(0,$K72-$J72))</f>
        <v/>
      </c>
      <c r="V72" s="31" t="n">
        <f aca="false">IF($E72="","",IF(AND($M72&lt;&gt;"",$J72&lt;&gt;"",$M72&lt;&gt;$J72),1,0))</f>
        <v>0</v>
      </c>
      <c r="W72" s="39" t="n">
        <f aca="false">IF($E72="","",IF($L72="Cancelada",0,IF(OR($K72&lt;&gt;"",$L72="Concluída"),1,0)))</f>
        <v>1</v>
      </c>
    </row>
    <row r="73" customFormat="false" ht="15" hidden="false" customHeight="true" outlineLevel="0" collapsed="false">
      <c r="A73" s="31" t="n">
        <f aca="false">IF($E73="","",COUNTA($E$5:$E73))</f>
        <v>69</v>
      </c>
      <c r="B73" s="32"/>
      <c r="C73" s="32" t="s">
        <v>124</v>
      </c>
      <c r="D73" s="32" t="s">
        <v>254</v>
      </c>
      <c r="E73" s="32" t="s">
        <v>263</v>
      </c>
      <c r="F73" s="33" t="s">
        <v>62</v>
      </c>
      <c r="G73" s="32" t="s">
        <v>256</v>
      </c>
      <c r="H73" s="34" t="n">
        <v>46258</v>
      </c>
      <c r="I73" s="35" t="s">
        <v>77</v>
      </c>
      <c r="J73" s="36" t="n">
        <f aca="false">IF(OR($H73="",$I73=""),"",$H73+MATCH($I73,Listas!$F$5:$F$11,0)-1)</f>
        <v>46260</v>
      </c>
      <c r="K73" s="37"/>
      <c r="L73" s="33" t="s">
        <v>63</v>
      </c>
      <c r="M73" s="37"/>
      <c r="N73" s="32"/>
      <c r="O73" s="32"/>
      <c r="P73" s="38" t="str">
        <f aca="true">IF($E73="","",IF($L73="Cancelada","Cancelada",IF(OR($K73&lt;&gt;"",$L73="Concluída"),IF(OR($J73="",$K73="",$K73&lt;=$J73),"Concluída","Concluída com atraso"),IF($J73="","Na carteira",IF($J73&lt;TODAY(),"VENCIDA",IF($L73="Em execução","Em execução",IF($J73=TODAY(),"Hoje","Programada")))))))</f>
        <v>Concluída</v>
      </c>
      <c r="Q73" s="31" t="str">
        <f aca="false">IF($E73="","",IF(ISNUMBER(SEARCH("(externo)",$G73)),"Terceirizada","Interna"))</f>
        <v>Interna</v>
      </c>
      <c r="R73" s="36" t="n">
        <f aca="false">IF($J73="","",IF($M73="",$J73,$M73))</f>
        <v>46260</v>
      </c>
      <c r="S73" s="31" t="n">
        <f aca="false">IF($E73="","",IF(OR($K73="",$J73=""),0,IF($K73&lt;=$J73,1,0)))</f>
        <v>0</v>
      </c>
      <c r="T73" s="31" t="n">
        <f aca="false">IF($E73="","",IF(OR($K73="",$R73=""),0,IF($K73&lt;=$R73,1,0)))</f>
        <v>0</v>
      </c>
      <c r="U73" s="38" t="str">
        <f aca="false">IF(OR($K73="",$J73=""),"",MAX(0,$K73-$J73))</f>
        <v/>
      </c>
      <c r="V73" s="31" t="n">
        <f aca="false">IF($E73="","",IF(AND($M73&lt;&gt;"",$J73&lt;&gt;"",$M73&lt;&gt;$J73),1,0))</f>
        <v>0</v>
      </c>
      <c r="W73" s="39" t="n">
        <f aca="false">IF($E73="","",IF($L73="Cancelada",0,IF(OR($K73&lt;&gt;"",$L73="Concluída"),1,0)))</f>
        <v>1</v>
      </c>
    </row>
    <row r="74" customFormat="false" ht="15" hidden="false" customHeight="true" outlineLevel="0" collapsed="false">
      <c r="A74" s="31" t="n">
        <f aca="false">IF($E74="","",COUNTA($E$5:$E74))</f>
        <v>70</v>
      </c>
      <c r="B74" s="32"/>
      <c r="C74" s="32" t="s">
        <v>124</v>
      </c>
      <c r="D74" s="32" t="s">
        <v>190</v>
      </c>
      <c r="E74" s="32" t="s">
        <v>190</v>
      </c>
      <c r="F74" s="33" t="s">
        <v>62</v>
      </c>
      <c r="G74" s="32" t="s">
        <v>101</v>
      </c>
      <c r="H74" s="34" t="n">
        <v>46258</v>
      </c>
      <c r="I74" s="35" t="s">
        <v>77</v>
      </c>
      <c r="J74" s="36" t="n">
        <f aca="false">IF(OR($H74="",$I74=""),"",$H74+MATCH($I74,Listas!$F$5:$F$11,0)-1)</f>
        <v>46260</v>
      </c>
      <c r="K74" s="37"/>
      <c r="L74" s="33" t="s">
        <v>63</v>
      </c>
      <c r="M74" s="37"/>
      <c r="N74" s="32"/>
      <c r="O74" s="32"/>
      <c r="P74" s="38" t="str">
        <f aca="true">IF($E74="","",IF($L74="Cancelada","Cancelada",IF(OR($K74&lt;&gt;"",$L74="Concluída"),IF(OR($J74="",$K74="",$K74&lt;=$J74),"Concluída","Concluída com atraso"),IF($J74="","Na carteira",IF($J74&lt;TODAY(),"VENCIDA",IF($L74="Em execução","Em execução",IF($J74=TODAY(),"Hoje","Programada")))))))</f>
        <v>Concluída</v>
      </c>
      <c r="Q74" s="31" t="str">
        <f aca="false">IF($E74="","",IF(ISNUMBER(SEARCH("(externo)",$G74)),"Terceirizada","Interna"))</f>
        <v>Terceirizada</v>
      </c>
      <c r="R74" s="36" t="n">
        <f aca="false">IF($J74="","",IF($M74="",$J74,$M74))</f>
        <v>46260</v>
      </c>
      <c r="S74" s="31" t="n">
        <f aca="false">IF($E74="","",IF(OR($K74="",$J74=""),0,IF($K74&lt;=$J74,1,0)))</f>
        <v>0</v>
      </c>
      <c r="T74" s="31" t="n">
        <f aca="false">IF($E74="","",IF(OR($K74="",$R74=""),0,IF($K74&lt;=$R74,1,0)))</f>
        <v>0</v>
      </c>
      <c r="U74" s="38" t="str">
        <f aca="false">IF(OR($K74="",$J74=""),"",MAX(0,$K74-$J74))</f>
        <v/>
      </c>
      <c r="V74" s="31" t="n">
        <f aca="false">IF($E74="","",IF(AND($M74&lt;&gt;"",$J74&lt;&gt;"",$M74&lt;&gt;$J74),1,0))</f>
        <v>0</v>
      </c>
      <c r="W74" s="39" t="n">
        <f aca="false">IF($E74="","",IF($L74="Cancelada",0,IF(OR($K74&lt;&gt;"",$L74="Concluída"),1,0)))</f>
        <v>1</v>
      </c>
    </row>
    <row r="75" customFormat="false" ht="15" hidden="false" customHeight="true" outlineLevel="0" collapsed="false">
      <c r="A75" s="31" t="n">
        <f aca="false">IF($E75="","",COUNTA($E$5:$E75))</f>
        <v>71</v>
      </c>
      <c r="B75" s="32"/>
      <c r="C75" s="32" t="s">
        <v>124</v>
      </c>
      <c r="D75" s="32" t="s">
        <v>190</v>
      </c>
      <c r="E75" s="32" t="s">
        <v>264</v>
      </c>
      <c r="F75" s="33" t="s">
        <v>62</v>
      </c>
      <c r="G75" s="32" t="s">
        <v>101</v>
      </c>
      <c r="H75" s="34" t="n">
        <v>46258</v>
      </c>
      <c r="I75" s="35" t="s">
        <v>77</v>
      </c>
      <c r="J75" s="36" t="n">
        <f aca="false">IF(OR($H75="",$I75=""),"",$H75+MATCH($I75,Listas!$F$5:$F$11,0)-1)</f>
        <v>46260</v>
      </c>
      <c r="K75" s="37"/>
      <c r="L75" s="33" t="s">
        <v>63</v>
      </c>
      <c r="M75" s="37"/>
      <c r="N75" s="32"/>
      <c r="O75" s="32"/>
      <c r="P75" s="38" t="str">
        <f aca="true">IF($E75="","",IF($L75="Cancelada","Cancelada",IF(OR($K75&lt;&gt;"",$L75="Concluída"),IF(OR($J75="",$K75="",$K75&lt;=$J75),"Concluída","Concluída com atraso"),IF($J75="","Na carteira",IF($J75&lt;TODAY(),"VENCIDA",IF($L75="Em execução","Em execução",IF($J75=TODAY(),"Hoje","Programada")))))))</f>
        <v>Concluída</v>
      </c>
      <c r="Q75" s="31" t="str">
        <f aca="false">IF($E75="","",IF(ISNUMBER(SEARCH("(externo)",$G75)),"Terceirizada","Interna"))</f>
        <v>Terceirizada</v>
      </c>
      <c r="R75" s="36" t="n">
        <f aca="false">IF($J75="","",IF($M75="",$J75,$M75))</f>
        <v>46260</v>
      </c>
      <c r="S75" s="31" t="n">
        <f aca="false">IF($E75="","",IF(OR($K75="",$J75=""),0,IF($K75&lt;=$J75,1,0)))</f>
        <v>0</v>
      </c>
      <c r="T75" s="31" t="n">
        <f aca="false">IF($E75="","",IF(OR($K75="",$R75=""),0,IF($K75&lt;=$R75,1,0)))</f>
        <v>0</v>
      </c>
      <c r="U75" s="38" t="str">
        <f aca="false">IF(OR($K75="",$J75=""),"",MAX(0,$K75-$J75))</f>
        <v/>
      </c>
      <c r="V75" s="31" t="n">
        <f aca="false">IF($E75="","",IF(AND($M75&lt;&gt;"",$J75&lt;&gt;"",$M75&lt;&gt;$J75),1,0))</f>
        <v>0</v>
      </c>
      <c r="W75" s="39" t="n">
        <f aca="false">IF($E75="","",IF($L75="Cancelada",0,IF(OR($K75&lt;&gt;"",$L75="Concluída"),1,0)))</f>
        <v>1</v>
      </c>
    </row>
    <row r="76" customFormat="false" ht="15" hidden="false" customHeight="true" outlineLevel="0" collapsed="false">
      <c r="A76" s="31" t="n">
        <f aca="false">IF($E76="","",COUNTA($E$5:$E76))</f>
        <v>72</v>
      </c>
      <c r="B76" s="32"/>
      <c r="C76" s="32" t="s">
        <v>124</v>
      </c>
      <c r="D76" s="32" t="s">
        <v>190</v>
      </c>
      <c r="E76" s="32" t="s">
        <v>265</v>
      </c>
      <c r="F76" s="33" t="s">
        <v>62</v>
      </c>
      <c r="G76" s="32" t="s">
        <v>101</v>
      </c>
      <c r="H76" s="34" t="n">
        <v>46258</v>
      </c>
      <c r="I76" s="35" t="s">
        <v>77</v>
      </c>
      <c r="J76" s="36" t="n">
        <f aca="false">IF(OR($H76="",$I76=""),"",$H76+MATCH($I76,Listas!$F$5:$F$11,0)-1)</f>
        <v>46260</v>
      </c>
      <c r="K76" s="37"/>
      <c r="L76" s="33" t="s">
        <v>63</v>
      </c>
      <c r="M76" s="37"/>
      <c r="N76" s="32"/>
      <c r="O76" s="32"/>
      <c r="P76" s="38" t="str">
        <f aca="true">IF($E76="","",IF($L76="Cancelada","Cancelada",IF(OR($K76&lt;&gt;"",$L76="Concluída"),IF(OR($J76="",$K76="",$K76&lt;=$J76),"Concluída","Concluída com atraso"),IF($J76="","Na carteira",IF($J76&lt;TODAY(),"VENCIDA",IF($L76="Em execução","Em execução",IF($J76=TODAY(),"Hoje","Programada")))))))</f>
        <v>Concluída</v>
      </c>
      <c r="Q76" s="31" t="str">
        <f aca="false">IF($E76="","",IF(ISNUMBER(SEARCH("(externo)",$G76)),"Terceirizada","Interna"))</f>
        <v>Terceirizada</v>
      </c>
      <c r="R76" s="36" t="n">
        <f aca="false">IF($J76="","",IF($M76="",$J76,$M76))</f>
        <v>46260</v>
      </c>
      <c r="S76" s="31" t="n">
        <f aca="false">IF($E76="","",IF(OR($K76="",$J76=""),0,IF($K76&lt;=$J76,1,0)))</f>
        <v>0</v>
      </c>
      <c r="T76" s="31" t="n">
        <f aca="false">IF($E76="","",IF(OR($K76="",$R76=""),0,IF($K76&lt;=$R76,1,0)))</f>
        <v>0</v>
      </c>
      <c r="U76" s="38" t="str">
        <f aca="false">IF(OR($K76="",$J76=""),"",MAX(0,$K76-$J76))</f>
        <v/>
      </c>
      <c r="V76" s="31" t="n">
        <f aca="false">IF($E76="","",IF(AND($M76&lt;&gt;"",$J76&lt;&gt;"",$M76&lt;&gt;$J76),1,0))</f>
        <v>0</v>
      </c>
      <c r="W76" s="39" t="n">
        <f aca="false">IF($E76="","",IF($L76="Cancelada",0,IF(OR($K76&lt;&gt;"",$L76="Concluída"),1,0)))</f>
        <v>1</v>
      </c>
    </row>
    <row r="77" customFormat="false" ht="15" hidden="false" customHeight="true" outlineLevel="0" collapsed="false">
      <c r="A77" s="31" t="n">
        <f aca="false">IF($E77="","",COUNTA($E$5:$E77))</f>
        <v>73</v>
      </c>
      <c r="B77" s="32"/>
      <c r="C77" s="32" t="s">
        <v>124</v>
      </c>
      <c r="D77" s="32" t="s">
        <v>190</v>
      </c>
      <c r="E77" s="32" t="s">
        <v>266</v>
      </c>
      <c r="F77" s="33" t="s">
        <v>62</v>
      </c>
      <c r="G77" s="32" t="s">
        <v>101</v>
      </c>
      <c r="H77" s="34" t="n">
        <v>46258</v>
      </c>
      <c r="I77" s="35" t="s">
        <v>77</v>
      </c>
      <c r="J77" s="36" t="n">
        <f aca="false">IF(OR($H77="",$I77=""),"",$H77+MATCH($I77,Listas!$F$5:$F$11,0)-1)</f>
        <v>46260</v>
      </c>
      <c r="K77" s="37"/>
      <c r="L77" s="33" t="s">
        <v>63</v>
      </c>
      <c r="M77" s="37"/>
      <c r="N77" s="32"/>
      <c r="O77" s="32"/>
      <c r="P77" s="38" t="str">
        <f aca="true">IF($E77="","",IF($L77="Cancelada","Cancelada",IF(OR($K77&lt;&gt;"",$L77="Concluída"),IF(OR($J77="",$K77="",$K77&lt;=$J77),"Concluída","Concluída com atraso"),IF($J77="","Na carteira",IF($J77&lt;TODAY(),"VENCIDA",IF($L77="Em execução","Em execução",IF($J77=TODAY(),"Hoje","Programada")))))))</f>
        <v>Concluída</v>
      </c>
      <c r="Q77" s="31" t="str">
        <f aca="false">IF($E77="","",IF(ISNUMBER(SEARCH("(externo)",$G77)),"Terceirizada","Interna"))</f>
        <v>Terceirizada</v>
      </c>
      <c r="R77" s="36" t="n">
        <f aca="false">IF($J77="","",IF($M77="",$J77,$M77))</f>
        <v>46260</v>
      </c>
      <c r="S77" s="31" t="n">
        <f aca="false">IF($E77="","",IF(OR($K77="",$J77=""),0,IF($K77&lt;=$J77,1,0)))</f>
        <v>0</v>
      </c>
      <c r="T77" s="31" t="n">
        <f aca="false">IF($E77="","",IF(OR($K77="",$R77=""),0,IF($K77&lt;=$R77,1,0)))</f>
        <v>0</v>
      </c>
      <c r="U77" s="38" t="str">
        <f aca="false">IF(OR($K77="",$J77=""),"",MAX(0,$K77-$J77))</f>
        <v/>
      </c>
      <c r="V77" s="31" t="n">
        <f aca="false">IF($E77="","",IF(AND($M77&lt;&gt;"",$J77&lt;&gt;"",$M77&lt;&gt;$J77),1,0))</f>
        <v>0</v>
      </c>
      <c r="W77" s="39" t="n">
        <f aca="false">IF($E77="","",IF($L77="Cancelada",0,IF(OR($K77&lt;&gt;"",$L77="Concluída"),1,0)))</f>
        <v>1</v>
      </c>
    </row>
    <row r="78" customFormat="false" ht="15" hidden="false" customHeight="true" outlineLevel="0" collapsed="false">
      <c r="A78" s="31" t="n">
        <f aca="false">IF($E78="","",COUNTA($E$5:$E78))</f>
        <v>74</v>
      </c>
      <c r="B78" s="32"/>
      <c r="C78" s="32" t="s">
        <v>124</v>
      </c>
      <c r="D78" s="32" t="s">
        <v>190</v>
      </c>
      <c r="E78" s="32" t="s">
        <v>267</v>
      </c>
      <c r="F78" s="33" t="s">
        <v>62</v>
      </c>
      <c r="G78" s="32" t="s">
        <v>101</v>
      </c>
      <c r="H78" s="34" t="n">
        <v>46258</v>
      </c>
      <c r="I78" s="35" t="s">
        <v>77</v>
      </c>
      <c r="J78" s="36" t="n">
        <f aca="false">IF(OR($H78="",$I78=""),"",$H78+MATCH($I78,Listas!$F$5:$F$11,0)-1)</f>
        <v>46260</v>
      </c>
      <c r="K78" s="37"/>
      <c r="L78" s="33" t="s">
        <v>63</v>
      </c>
      <c r="M78" s="37"/>
      <c r="N78" s="32"/>
      <c r="O78" s="32"/>
      <c r="P78" s="38" t="str">
        <f aca="true">IF($E78="","",IF($L78="Cancelada","Cancelada",IF(OR($K78&lt;&gt;"",$L78="Concluída"),IF(OR($J78="",$K78="",$K78&lt;=$J78),"Concluída","Concluída com atraso"),IF($J78="","Na carteira",IF($J78&lt;TODAY(),"VENCIDA",IF($L78="Em execução","Em execução",IF($J78=TODAY(),"Hoje","Programada")))))))</f>
        <v>Concluída</v>
      </c>
      <c r="Q78" s="31" t="str">
        <f aca="false">IF($E78="","",IF(ISNUMBER(SEARCH("(externo)",$G78)),"Terceirizada","Interna"))</f>
        <v>Terceirizada</v>
      </c>
      <c r="R78" s="36" t="n">
        <f aca="false">IF($J78="","",IF($M78="",$J78,$M78))</f>
        <v>46260</v>
      </c>
      <c r="S78" s="31" t="n">
        <f aca="false">IF($E78="","",IF(OR($K78="",$J78=""),0,IF($K78&lt;=$J78,1,0)))</f>
        <v>0</v>
      </c>
      <c r="T78" s="31" t="n">
        <f aca="false">IF($E78="","",IF(OR($K78="",$R78=""),0,IF($K78&lt;=$R78,1,0)))</f>
        <v>0</v>
      </c>
      <c r="U78" s="38" t="str">
        <f aca="false">IF(OR($K78="",$J78=""),"",MAX(0,$K78-$J78))</f>
        <v/>
      </c>
      <c r="V78" s="31" t="n">
        <f aca="false">IF($E78="","",IF(AND($M78&lt;&gt;"",$J78&lt;&gt;"",$M78&lt;&gt;$J78),1,0))</f>
        <v>0</v>
      </c>
      <c r="W78" s="39" t="n">
        <f aca="false">IF($E78="","",IF($L78="Cancelada",0,IF(OR($K78&lt;&gt;"",$L78="Concluída"),1,0)))</f>
        <v>1</v>
      </c>
    </row>
    <row r="79" customFormat="false" ht="15" hidden="false" customHeight="true" outlineLevel="0" collapsed="false">
      <c r="A79" s="31" t="n">
        <f aca="false">IF($E79="","",COUNTA($E$5:$E79))</f>
        <v>75</v>
      </c>
      <c r="B79" s="32"/>
      <c r="C79" s="32" t="s">
        <v>124</v>
      </c>
      <c r="D79" s="32" t="s">
        <v>190</v>
      </c>
      <c r="E79" s="32" t="s">
        <v>268</v>
      </c>
      <c r="F79" s="33" t="s">
        <v>62</v>
      </c>
      <c r="G79" s="32" t="s">
        <v>101</v>
      </c>
      <c r="H79" s="34" t="n">
        <v>46258</v>
      </c>
      <c r="I79" s="35" t="s">
        <v>77</v>
      </c>
      <c r="J79" s="36" t="n">
        <f aca="false">IF(OR($H79="",$I79=""),"",$H79+MATCH($I79,Listas!$F$5:$F$11,0)-1)</f>
        <v>46260</v>
      </c>
      <c r="K79" s="37"/>
      <c r="L79" s="33" t="s">
        <v>63</v>
      </c>
      <c r="M79" s="37"/>
      <c r="N79" s="32"/>
      <c r="O79" s="32"/>
      <c r="P79" s="38" t="str">
        <f aca="true">IF($E79="","",IF($L79="Cancelada","Cancelada",IF(OR($K79&lt;&gt;"",$L79="Concluída"),IF(OR($J79="",$K79="",$K79&lt;=$J79),"Concluída","Concluída com atraso"),IF($J79="","Na carteira",IF($J79&lt;TODAY(),"VENCIDA",IF($L79="Em execução","Em execução",IF($J79=TODAY(),"Hoje","Programada")))))))</f>
        <v>Concluída</v>
      </c>
      <c r="Q79" s="31" t="str">
        <f aca="false">IF($E79="","",IF(ISNUMBER(SEARCH("(externo)",$G79)),"Terceirizada","Interna"))</f>
        <v>Terceirizada</v>
      </c>
      <c r="R79" s="36" t="n">
        <f aca="false">IF($J79="","",IF($M79="",$J79,$M79))</f>
        <v>46260</v>
      </c>
      <c r="S79" s="31" t="n">
        <f aca="false">IF($E79="","",IF(OR($K79="",$J79=""),0,IF($K79&lt;=$J79,1,0)))</f>
        <v>0</v>
      </c>
      <c r="T79" s="31" t="n">
        <f aca="false">IF($E79="","",IF(OR($K79="",$R79=""),0,IF($K79&lt;=$R79,1,0)))</f>
        <v>0</v>
      </c>
      <c r="U79" s="38" t="str">
        <f aca="false">IF(OR($K79="",$J79=""),"",MAX(0,$K79-$J79))</f>
        <v/>
      </c>
      <c r="V79" s="31" t="n">
        <f aca="false">IF($E79="","",IF(AND($M79&lt;&gt;"",$J79&lt;&gt;"",$M79&lt;&gt;$J79),1,0))</f>
        <v>0</v>
      </c>
      <c r="W79" s="39" t="n">
        <f aca="false">IF($E79="","",IF($L79="Cancelada",0,IF(OR($K79&lt;&gt;"",$L79="Concluída"),1,0)))</f>
        <v>1</v>
      </c>
    </row>
    <row r="80" customFormat="false" ht="15" hidden="false" customHeight="true" outlineLevel="0" collapsed="false">
      <c r="A80" s="31" t="n">
        <f aca="false">IF($E80="","",COUNTA($E$5:$E80))</f>
        <v>76</v>
      </c>
      <c r="B80" s="32"/>
      <c r="C80" s="32" t="s">
        <v>124</v>
      </c>
      <c r="D80" s="32" t="s">
        <v>190</v>
      </c>
      <c r="E80" s="32" t="s">
        <v>269</v>
      </c>
      <c r="F80" s="33" t="s">
        <v>62</v>
      </c>
      <c r="G80" s="32" t="s">
        <v>101</v>
      </c>
      <c r="H80" s="34" t="n">
        <v>46258</v>
      </c>
      <c r="I80" s="35" t="s">
        <v>77</v>
      </c>
      <c r="J80" s="36" t="n">
        <f aca="false">IF(OR($H80="",$I80=""),"",$H80+MATCH($I80,Listas!$F$5:$F$11,0)-1)</f>
        <v>46260</v>
      </c>
      <c r="K80" s="37"/>
      <c r="L80" s="33" t="s">
        <v>63</v>
      </c>
      <c r="M80" s="37"/>
      <c r="N80" s="32"/>
      <c r="O80" s="32"/>
      <c r="P80" s="38" t="str">
        <f aca="true">IF($E80="","",IF($L80="Cancelada","Cancelada",IF(OR($K80&lt;&gt;"",$L80="Concluída"),IF(OR($J80="",$K80="",$K80&lt;=$J80),"Concluída","Concluída com atraso"),IF($J80="","Na carteira",IF($J80&lt;TODAY(),"VENCIDA",IF($L80="Em execução","Em execução",IF($J80=TODAY(),"Hoje","Programada")))))))</f>
        <v>Concluída</v>
      </c>
      <c r="Q80" s="31" t="str">
        <f aca="false">IF($E80="","",IF(ISNUMBER(SEARCH("(externo)",$G80)),"Terceirizada","Interna"))</f>
        <v>Terceirizada</v>
      </c>
      <c r="R80" s="36" t="n">
        <f aca="false">IF($J80="","",IF($M80="",$J80,$M80))</f>
        <v>46260</v>
      </c>
      <c r="S80" s="31" t="n">
        <f aca="false">IF($E80="","",IF(OR($K80="",$J80=""),0,IF($K80&lt;=$J80,1,0)))</f>
        <v>0</v>
      </c>
      <c r="T80" s="31" t="n">
        <f aca="false">IF($E80="","",IF(OR($K80="",$R80=""),0,IF($K80&lt;=$R80,1,0)))</f>
        <v>0</v>
      </c>
      <c r="U80" s="38" t="str">
        <f aca="false">IF(OR($K80="",$J80=""),"",MAX(0,$K80-$J80))</f>
        <v/>
      </c>
      <c r="V80" s="31" t="n">
        <f aca="false">IF($E80="","",IF(AND($M80&lt;&gt;"",$J80&lt;&gt;"",$M80&lt;&gt;$J80),1,0))</f>
        <v>0</v>
      </c>
      <c r="W80" s="39" t="n">
        <f aca="false">IF($E80="","",IF($L80="Cancelada",0,IF(OR($K80&lt;&gt;"",$L80="Concluída"),1,0)))</f>
        <v>1</v>
      </c>
    </row>
    <row r="81" customFormat="false" ht="15" hidden="false" customHeight="true" outlineLevel="0" collapsed="false">
      <c r="A81" s="31" t="n">
        <f aca="false">IF($E81="","",COUNTA($E$5:$E81))</f>
        <v>77</v>
      </c>
      <c r="B81" s="32"/>
      <c r="C81" s="32" t="s">
        <v>124</v>
      </c>
      <c r="D81" s="32" t="s">
        <v>190</v>
      </c>
      <c r="E81" s="32" t="s">
        <v>270</v>
      </c>
      <c r="F81" s="33" t="s">
        <v>62</v>
      </c>
      <c r="G81" s="32" t="s">
        <v>101</v>
      </c>
      <c r="H81" s="34" t="n">
        <v>46258</v>
      </c>
      <c r="I81" s="35" t="s">
        <v>77</v>
      </c>
      <c r="J81" s="36" t="n">
        <f aca="false">IF(OR($H81="",$I81=""),"",$H81+MATCH($I81,Listas!$F$5:$F$11,0)-1)</f>
        <v>46260</v>
      </c>
      <c r="K81" s="37"/>
      <c r="L81" s="33" t="s">
        <v>63</v>
      </c>
      <c r="M81" s="37"/>
      <c r="N81" s="32"/>
      <c r="O81" s="32"/>
      <c r="P81" s="38" t="str">
        <f aca="true">IF($E81="","",IF($L81="Cancelada","Cancelada",IF(OR($K81&lt;&gt;"",$L81="Concluída"),IF(OR($J81="",$K81="",$K81&lt;=$J81),"Concluída","Concluída com atraso"),IF($J81="","Na carteira",IF($J81&lt;TODAY(),"VENCIDA",IF($L81="Em execução","Em execução",IF($J81=TODAY(),"Hoje","Programada")))))))</f>
        <v>Concluída</v>
      </c>
      <c r="Q81" s="31" t="str">
        <f aca="false">IF($E81="","",IF(ISNUMBER(SEARCH("(externo)",$G81)),"Terceirizada","Interna"))</f>
        <v>Terceirizada</v>
      </c>
      <c r="R81" s="36" t="n">
        <f aca="false">IF($J81="","",IF($M81="",$J81,$M81))</f>
        <v>46260</v>
      </c>
      <c r="S81" s="31" t="n">
        <f aca="false">IF($E81="","",IF(OR($K81="",$J81=""),0,IF($K81&lt;=$J81,1,0)))</f>
        <v>0</v>
      </c>
      <c r="T81" s="31" t="n">
        <f aca="false">IF($E81="","",IF(OR($K81="",$R81=""),0,IF($K81&lt;=$R81,1,0)))</f>
        <v>0</v>
      </c>
      <c r="U81" s="38" t="str">
        <f aca="false">IF(OR($K81="",$J81=""),"",MAX(0,$K81-$J81))</f>
        <v/>
      </c>
      <c r="V81" s="31" t="n">
        <f aca="false">IF($E81="","",IF(AND($M81&lt;&gt;"",$J81&lt;&gt;"",$M81&lt;&gt;$J81),1,0))</f>
        <v>0</v>
      </c>
      <c r="W81" s="39" t="n">
        <f aca="false">IF($E81="","",IF($L81="Cancelada",0,IF(OR($K81&lt;&gt;"",$L81="Concluída"),1,0)))</f>
        <v>1</v>
      </c>
    </row>
    <row r="82" customFormat="false" ht="15" hidden="false" customHeight="true" outlineLevel="0" collapsed="false">
      <c r="A82" s="31" t="n">
        <f aca="false">IF($E82="","",COUNTA($E$5:$E82))</f>
        <v>78</v>
      </c>
      <c r="B82" s="32"/>
      <c r="C82" s="32" t="s">
        <v>124</v>
      </c>
      <c r="D82" s="32" t="s">
        <v>190</v>
      </c>
      <c r="E82" s="32" t="s">
        <v>271</v>
      </c>
      <c r="F82" s="33" t="s">
        <v>62</v>
      </c>
      <c r="G82" s="32" t="s">
        <v>101</v>
      </c>
      <c r="H82" s="34" t="n">
        <v>46258</v>
      </c>
      <c r="I82" s="35" t="s">
        <v>77</v>
      </c>
      <c r="J82" s="36" t="n">
        <f aca="false">IF(OR($H82="",$I82=""),"",$H82+MATCH($I82,Listas!$F$5:$F$11,0)-1)</f>
        <v>46260</v>
      </c>
      <c r="K82" s="37"/>
      <c r="L82" s="33" t="s">
        <v>63</v>
      </c>
      <c r="M82" s="37"/>
      <c r="N82" s="32"/>
      <c r="O82" s="32"/>
      <c r="P82" s="38" t="str">
        <f aca="true">IF($E82="","",IF($L82="Cancelada","Cancelada",IF(OR($K82&lt;&gt;"",$L82="Concluída"),IF(OR($J82="",$K82="",$K82&lt;=$J82),"Concluída","Concluída com atraso"),IF($J82="","Na carteira",IF($J82&lt;TODAY(),"VENCIDA",IF($L82="Em execução","Em execução",IF($J82=TODAY(),"Hoje","Programada")))))))</f>
        <v>Concluída</v>
      </c>
      <c r="Q82" s="31" t="str">
        <f aca="false">IF($E82="","",IF(ISNUMBER(SEARCH("(externo)",$G82)),"Terceirizada","Interna"))</f>
        <v>Terceirizada</v>
      </c>
      <c r="R82" s="36" t="n">
        <f aca="false">IF($J82="","",IF($M82="",$J82,$M82))</f>
        <v>46260</v>
      </c>
      <c r="S82" s="31" t="n">
        <f aca="false">IF($E82="","",IF(OR($K82="",$J82=""),0,IF($K82&lt;=$J82,1,0)))</f>
        <v>0</v>
      </c>
      <c r="T82" s="31" t="n">
        <f aca="false">IF($E82="","",IF(OR($K82="",$R82=""),0,IF($K82&lt;=$R82,1,0)))</f>
        <v>0</v>
      </c>
      <c r="U82" s="38" t="str">
        <f aca="false">IF(OR($K82="",$J82=""),"",MAX(0,$K82-$J82))</f>
        <v/>
      </c>
      <c r="V82" s="31" t="n">
        <f aca="false">IF($E82="","",IF(AND($M82&lt;&gt;"",$J82&lt;&gt;"",$M82&lt;&gt;$J82),1,0))</f>
        <v>0</v>
      </c>
      <c r="W82" s="39" t="n">
        <f aca="false">IF($E82="","",IF($L82="Cancelada",0,IF(OR($K82&lt;&gt;"",$L82="Concluída"),1,0)))</f>
        <v>1</v>
      </c>
    </row>
    <row r="83" customFormat="false" ht="15" hidden="false" customHeight="true" outlineLevel="0" collapsed="false">
      <c r="A83" s="31" t="n">
        <f aca="false">IF($E83="","",COUNTA($E$5:$E83))</f>
        <v>79</v>
      </c>
      <c r="B83" s="32"/>
      <c r="C83" s="32" t="s">
        <v>125</v>
      </c>
      <c r="D83" s="32" t="s">
        <v>229</v>
      </c>
      <c r="E83" s="32" t="s">
        <v>272</v>
      </c>
      <c r="F83" s="33" t="s">
        <v>62</v>
      </c>
      <c r="G83" s="32" t="s">
        <v>256</v>
      </c>
      <c r="H83" s="34" t="n">
        <v>46251</v>
      </c>
      <c r="I83" s="35" t="s">
        <v>91</v>
      </c>
      <c r="J83" s="36" t="n">
        <f aca="false">IF(OR($H83="",$I83=""),"",$H83+MATCH($I83,Listas!$F$5:$F$11,0)-1)</f>
        <v>46256</v>
      </c>
      <c r="K83" s="37"/>
      <c r="L83" s="33" t="s">
        <v>63</v>
      </c>
      <c r="M83" s="37" t="n">
        <v>46255</v>
      </c>
      <c r="N83" s="32"/>
      <c r="O83" s="32"/>
      <c r="P83" s="38" t="str">
        <f aca="true">IF($E83="","",IF($L83="Cancelada","Cancelada",IF(OR($K83&lt;&gt;"",$L83="Concluída"),IF(OR($J83="",$K83="",$K83&lt;=$J83),"Concluída","Concluída com atraso"),IF($J83="","Na carteira",IF($J83&lt;TODAY(),"VENCIDA",IF($L83="Em execução","Em execução",IF($J83=TODAY(),"Hoje","Programada")))))))</f>
        <v>Concluída</v>
      </c>
      <c r="Q83" s="31" t="str">
        <f aca="false">IF($E83="","",IF(ISNUMBER(SEARCH("(externo)",$G83)),"Terceirizada","Interna"))</f>
        <v>Interna</v>
      </c>
      <c r="R83" s="36" t="n">
        <f aca="false">IF($J83="","",IF($M83="",$J83,$M83))</f>
        <v>46255</v>
      </c>
      <c r="S83" s="31" t="n">
        <f aca="false">IF($E83="","",IF(OR($K83="",$J83=""),0,IF($K83&lt;=$J83,1,0)))</f>
        <v>0</v>
      </c>
      <c r="T83" s="31" t="n">
        <f aca="false">IF($E83="","",IF(OR($K83="",$R83=""),0,IF($K83&lt;=$R83,1,0)))</f>
        <v>0</v>
      </c>
      <c r="U83" s="38" t="str">
        <f aca="false">IF(OR($K83="",$J83=""),"",MAX(0,$K83-$J83))</f>
        <v/>
      </c>
      <c r="V83" s="31" t="n">
        <f aca="false">IF($E83="","",IF(AND($M83&lt;&gt;"",$J83&lt;&gt;"",$M83&lt;&gt;$J83),1,0))</f>
        <v>1</v>
      </c>
      <c r="W83" s="39" t="n">
        <f aca="false">IF($E83="","",IF($L83="Cancelada",0,IF(OR($K83&lt;&gt;"",$L83="Concluída"),1,0)))</f>
        <v>1</v>
      </c>
    </row>
    <row r="84" customFormat="false" ht="15" hidden="false" customHeight="true" outlineLevel="0" collapsed="false">
      <c r="A84" s="31" t="n">
        <f aca="false">IF($E84="","",COUNTA($E$5:$E84))</f>
        <v>80</v>
      </c>
      <c r="B84" s="32"/>
      <c r="C84" s="32" t="s">
        <v>125</v>
      </c>
      <c r="D84" s="32" t="s">
        <v>229</v>
      </c>
      <c r="E84" s="32" t="s">
        <v>273</v>
      </c>
      <c r="F84" s="33" t="s">
        <v>62</v>
      </c>
      <c r="G84" s="32" t="s">
        <v>256</v>
      </c>
      <c r="H84" s="34" t="n">
        <v>46251</v>
      </c>
      <c r="I84" s="35" t="s">
        <v>91</v>
      </c>
      <c r="J84" s="36" t="n">
        <f aca="false">IF(OR($H84="",$I84=""),"",$H84+MATCH($I84,Listas!$F$5:$F$11,0)-1)</f>
        <v>46256</v>
      </c>
      <c r="K84" s="37"/>
      <c r="L84" s="33" t="s">
        <v>63</v>
      </c>
      <c r="M84" s="37" t="n">
        <v>46255</v>
      </c>
      <c r="N84" s="32"/>
      <c r="O84" s="32"/>
      <c r="P84" s="38" t="str">
        <f aca="true">IF($E84="","",IF($L84="Cancelada","Cancelada",IF(OR($K84&lt;&gt;"",$L84="Concluída"),IF(OR($J84="",$K84="",$K84&lt;=$J84),"Concluída","Concluída com atraso"),IF($J84="","Na carteira",IF($J84&lt;TODAY(),"VENCIDA",IF($L84="Em execução","Em execução",IF($J84=TODAY(),"Hoje","Programada")))))))</f>
        <v>Concluída</v>
      </c>
      <c r="Q84" s="31" t="str">
        <f aca="false">IF($E84="","",IF(ISNUMBER(SEARCH("(externo)",$G84)),"Terceirizada","Interna"))</f>
        <v>Interna</v>
      </c>
      <c r="R84" s="36" t="n">
        <f aca="false">IF($J84="","",IF($M84="",$J84,$M84))</f>
        <v>46255</v>
      </c>
      <c r="S84" s="31" t="n">
        <f aca="false">IF($E84="","",IF(OR($K84="",$J84=""),0,IF($K84&lt;=$J84,1,0)))</f>
        <v>0</v>
      </c>
      <c r="T84" s="31" t="n">
        <f aca="false">IF($E84="","",IF(OR($K84="",$R84=""),0,IF($K84&lt;=$R84,1,0)))</f>
        <v>0</v>
      </c>
      <c r="U84" s="38" t="str">
        <f aca="false">IF(OR($K84="",$J84=""),"",MAX(0,$K84-$J84))</f>
        <v/>
      </c>
      <c r="V84" s="31" t="n">
        <f aca="false">IF($E84="","",IF(AND($M84&lt;&gt;"",$J84&lt;&gt;"",$M84&lt;&gt;$J84),1,0))</f>
        <v>1</v>
      </c>
      <c r="W84" s="39" t="n">
        <f aca="false">IF($E84="","",IF($L84="Cancelada",0,IF(OR($K84&lt;&gt;"",$L84="Concluída"),1,0)))</f>
        <v>1</v>
      </c>
    </row>
    <row r="85" customFormat="false" ht="15" hidden="false" customHeight="true" outlineLevel="0" collapsed="false">
      <c r="A85" s="31" t="n">
        <f aca="false">IF($E85="","",COUNTA($E$5:$E85))</f>
        <v>81</v>
      </c>
      <c r="B85" s="32"/>
      <c r="C85" s="32" t="s">
        <v>125</v>
      </c>
      <c r="D85" s="32" t="s">
        <v>229</v>
      </c>
      <c r="E85" s="32" t="s">
        <v>274</v>
      </c>
      <c r="F85" s="33" t="s">
        <v>62</v>
      </c>
      <c r="G85" s="32" t="s">
        <v>256</v>
      </c>
      <c r="H85" s="34" t="n">
        <v>46251</v>
      </c>
      <c r="I85" s="35" t="s">
        <v>91</v>
      </c>
      <c r="J85" s="36" t="n">
        <f aca="false">IF(OR($H85="",$I85=""),"",$H85+MATCH($I85,Listas!$F$5:$F$11,0)-1)</f>
        <v>46256</v>
      </c>
      <c r="K85" s="37"/>
      <c r="L85" s="33" t="s">
        <v>63</v>
      </c>
      <c r="M85" s="37" t="n">
        <v>46255</v>
      </c>
      <c r="N85" s="32"/>
      <c r="O85" s="32"/>
      <c r="P85" s="38" t="str">
        <f aca="true">IF($E85="","",IF($L85="Cancelada","Cancelada",IF(OR($K85&lt;&gt;"",$L85="Concluída"),IF(OR($J85="",$K85="",$K85&lt;=$J85),"Concluída","Concluída com atraso"),IF($J85="","Na carteira",IF($J85&lt;TODAY(),"VENCIDA",IF($L85="Em execução","Em execução",IF($J85=TODAY(),"Hoje","Programada")))))))</f>
        <v>Concluída</v>
      </c>
      <c r="Q85" s="31" t="str">
        <f aca="false">IF($E85="","",IF(ISNUMBER(SEARCH("(externo)",$G85)),"Terceirizada","Interna"))</f>
        <v>Interna</v>
      </c>
      <c r="R85" s="36" t="n">
        <f aca="false">IF($J85="","",IF($M85="",$J85,$M85))</f>
        <v>46255</v>
      </c>
      <c r="S85" s="31" t="n">
        <f aca="false">IF($E85="","",IF(OR($K85="",$J85=""),0,IF($K85&lt;=$J85,1,0)))</f>
        <v>0</v>
      </c>
      <c r="T85" s="31" t="n">
        <f aca="false">IF($E85="","",IF(OR($K85="",$R85=""),0,IF($K85&lt;=$R85,1,0)))</f>
        <v>0</v>
      </c>
      <c r="U85" s="38" t="str">
        <f aca="false">IF(OR($K85="",$J85=""),"",MAX(0,$K85-$J85))</f>
        <v/>
      </c>
      <c r="V85" s="31" t="n">
        <f aca="false">IF($E85="","",IF(AND($M85&lt;&gt;"",$J85&lt;&gt;"",$M85&lt;&gt;$J85),1,0))</f>
        <v>1</v>
      </c>
      <c r="W85" s="39" t="n">
        <f aca="false">IF($E85="","",IF($L85="Cancelada",0,IF(OR($K85&lt;&gt;"",$L85="Concluída"),1,0)))</f>
        <v>1</v>
      </c>
    </row>
    <row r="86" customFormat="false" ht="15" hidden="false" customHeight="true" outlineLevel="0" collapsed="false">
      <c r="A86" s="31" t="n">
        <f aca="false">IF($E86="","",COUNTA($E$5:$E86))</f>
        <v>82</v>
      </c>
      <c r="B86" s="32"/>
      <c r="C86" s="32" t="s">
        <v>125</v>
      </c>
      <c r="D86" s="32" t="s">
        <v>229</v>
      </c>
      <c r="E86" s="32" t="s">
        <v>275</v>
      </c>
      <c r="F86" s="33" t="s">
        <v>62</v>
      </c>
      <c r="G86" s="32" t="s">
        <v>256</v>
      </c>
      <c r="H86" s="34" t="n">
        <v>46251</v>
      </c>
      <c r="I86" s="35" t="s">
        <v>91</v>
      </c>
      <c r="J86" s="36" t="n">
        <f aca="false">IF(OR($H86="",$I86=""),"",$H86+MATCH($I86,Listas!$F$5:$F$11,0)-1)</f>
        <v>46256</v>
      </c>
      <c r="K86" s="37"/>
      <c r="L86" s="33" t="s">
        <v>63</v>
      </c>
      <c r="M86" s="37" t="n">
        <v>46255</v>
      </c>
      <c r="N86" s="32"/>
      <c r="O86" s="32"/>
      <c r="P86" s="38" t="str">
        <f aca="true">IF($E86="","",IF($L86="Cancelada","Cancelada",IF(OR($K86&lt;&gt;"",$L86="Concluída"),IF(OR($J86="",$K86="",$K86&lt;=$J86),"Concluída","Concluída com atraso"),IF($J86="","Na carteira",IF($J86&lt;TODAY(),"VENCIDA",IF($L86="Em execução","Em execução",IF($J86=TODAY(),"Hoje","Programada")))))))</f>
        <v>Concluída</v>
      </c>
      <c r="Q86" s="31" t="str">
        <f aca="false">IF($E86="","",IF(ISNUMBER(SEARCH("(externo)",$G86)),"Terceirizada","Interna"))</f>
        <v>Interna</v>
      </c>
      <c r="R86" s="36" t="n">
        <f aca="false">IF($J86="","",IF($M86="",$J86,$M86))</f>
        <v>46255</v>
      </c>
      <c r="S86" s="31" t="n">
        <f aca="false">IF($E86="","",IF(OR($K86="",$J86=""),0,IF($K86&lt;=$J86,1,0)))</f>
        <v>0</v>
      </c>
      <c r="T86" s="31" t="n">
        <f aca="false">IF($E86="","",IF(OR($K86="",$R86=""),0,IF($K86&lt;=$R86,1,0)))</f>
        <v>0</v>
      </c>
      <c r="U86" s="38" t="str">
        <f aca="false">IF(OR($K86="",$J86=""),"",MAX(0,$K86-$J86))</f>
        <v/>
      </c>
      <c r="V86" s="31" t="n">
        <f aca="false">IF($E86="","",IF(AND($M86&lt;&gt;"",$J86&lt;&gt;"",$M86&lt;&gt;$J86),1,0))</f>
        <v>1</v>
      </c>
      <c r="W86" s="39" t="n">
        <f aca="false">IF($E86="","",IF($L86="Cancelada",0,IF(OR($K86&lt;&gt;"",$L86="Concluída"),1,0)))</f>
        <v>1</v>
      </c>
    </row>
    <row r="87" customFormat="false" ht="15" hidden="false" customHeight="true" outlineLevel="0" collapsed="false">
      <c r="A87" s="31" t="n">
        <f aca="false">IF($E87="","",COUNTA($E$5:$E87))</f>
        <v>83</v>
      </c>
      <c r="B87" s="32"/>
      <c r="C87" s="32" t="s">
        <v>125</v>
      </c>
      <c r="D87" s="32" t="s">
        <v>229</v>
      </c>
      <c r="E87" s="32" t="s">
        <v>276</v>
      </c>
      <c r="F87" s="33" t="s">
        <v>62</v>
      </c>
      <c r="G87" s="32" t="s">
        <v>256</v>
      </c>
      <c r="H87" s="34" t="n">
        <v>46251</v>
      </c>
      <c r="I87" s="35" t="s">
        <v>91</v>
      </c>
      <c r="J87" s="36" t="n">
        <f aca="false">IF(OR($H87="",$I87=""),"",$H87+MATCH($I87,Listas!$F$5:$F$11,0)-1)</f>
        <v>46256</v>
      </c>
      <c r="K87" s="37"/>
      <c r="L87" s="33" t="s">
        <v>63</v>
      </c>
      <c r="M87" s="37" t="n">
        <v>46255</v>
      </c>
      <c r="N87" s="32"/>
      <c r="O87" s="32"/>
      <c r="P87" s="38" t="str">
        <f aca="true">IF($E87="","",IF($L87="Cancelada","Cancelada",IF(OR($K87&lt;&gt;"",$L87="Concluída"),IF(OR($J87="",$K87="",$K87&lt;=$J87),"Concluída","Concluída com atraso"),IF($J87="","Na carteira",IF($J87&lt;TODAY(),"VENCIDA",IF($L87="Em execução","Em execução",IF($J87=TODAY(),"Hoje","Programada")))))))</f>
        <v>Concluída</v>
      </c>
      <c r="Q87" s="31" t="str">
        <f aca="false">IF($E87="","",IF(ISNUMBER(SEARCH("(externo)",$G87)),"Terceirizada","Interna"))</f>
        <v>Interna</v>
      </c>
      <c r="R87" s="36" t="n">
        <f aca="false">IF($J87="","",IF($M87="",$J87,$M87))</f>
        <v>46255</v>
      </c>
      <c r="S87" s="31" t="n">
        <f aca="false">IF($E87="","",IF(OR($K87="",$J87=""),0,IF($K87&lt;=$J87,1,0)))</f>
        <v>0</v>
      </c>
      <c r="T87" s="31" t="n">
        <f aca="false">IF($E87="","",IF(OR($K87="",$R87=""),0,IF($K87&lt;=$R87,1,0)))</f>
        <v>0</v>
      </c>
      <c r="U87" s="38" t="str">
        <f aca="false">IF(OR($K87="",$J87=""),"",MAX(0,$K87-$J87))</f>
        <v/>
      </c>
      <c r="V87" s="31" t="n">
        <f aca="false">IF($E87="","",IF(AND($M87&lt;&gt;"",$J87&lt;&gt;"",$M87&lt;&gt;$J87),1,0))</f>
        <v>1</v>
      </c>
      <c r="W87" s="39" t="n">
        <f aca="false">IF($E87="","",IF($L87="Cancelada",0,IF(OR($K87&lt;&gt;"",$L87="Concluída"),1,0)))</f>
        <v>1</v>
      </c>
    </row>
    <row r="88" customFormat="false" ht="15" hidden="false" customHeight="true" outlineLevel="0" collapsed="false">
      <c r="A88" s="31" t="n">
        <f aca="false">IF($E88="","",COUNTA($E$5:$E88))</f>
        <v>84</v>
      </c>
      <c r="B88" s="32"/>
      <c r="C88" s="32" t="s">
        <v>125</v>
      </c>
      <c r="D88" s="32" t="s">
        <v>229</v>
      </c>
      <c r="E88" s="32" t="s">
        <v>277</v>
      </c>
      <c r="F88" s="33" t="s">
        <v>62</v>
      </c>
      <c r="G88" s="32" t="s">
        <v>256</v>
      </c>
      <c r="H88" s="34" t="n">
        <v>46251</v>
      </c>
      <c r="I88" s="35" t="s">
        <v>95</v>
      </c>
      <c r="J88" s="36" t="n">
        <f aca="false">IF(OR($H88="",$I88=""),"",$H88+MATCH($I88,Listas!$F$5:$F$11,0)-1)</f>
        <v>46257</v>
      </c>
      <c r="K88" s="37"/>
      <c r="L88" s="33" t="s">
        <v>63</v>
      </c>
      <c r="M88" s="37" t="n">
        <v>46255</v>
      </c>
      <c r="N88" s="32"/>
      <c r="O88" s="32"/>
      <c r="P88" s="38" t="str">
        <f aca="true">IF($E88="","",IF($L88="Cancelada","Cancelada",IF(OR($K88&lt;&gt;"",$L88="Concluída"),IF(OR($J88="",$K88="",$K88&lt;=$J88),"Concluída","Concluída com atraso"),IF($J88="","Na carteira",IF($J88&lt;TODAY(),"VENCIDA",IF($L88="Em execução","Em execução",IF($J88=TODAY(),"Hoje","Programada")))))))</f>
        <v>Concluída</v>
      </c>
      <c r="Q88" s="31" t="str">
        <f aca="false">IF($E88="","",IF(ISNUMBER(SEARCH("(externo)",$G88)),"Terceirizada","Interna"))</f>
        <v>Interna</v>
      </c>
      <c r="R88" s="36" t="n">
        <f aca="false">IF($J88="","",IF($M88="",$J88,$M88))</f>
        <v>46255</v>
      </c>
      <c r="S88" s="31" t="n">
        <f aca="false">IF($E88="","",IF(OR($K88="",$J88=""),0,IF($K88&lt;=$J88,1,0)))</f>
        <v>0</v>
      </c>
      <c r="T88" s="31" t="n">
        <f aca="false">IF($E88="","",IF(OR($K88="",$R88=""),0,IF($K88&lt;=$R88,1,0)))</f>
        <v>0</v>
      </c>
      <c r="U88" s="38" t="str">
        <f aca="false">IF(OR($K88="",$J88=""),"",MAX(0,$K88-$J88))</f>
        <v/>
      </c>
      <c r="V88" s="31" t="n">
        <f aca="false">IF($E88="","",IF(AND($M88&lt;&gt;"",$J88&lt;&gt;"",$M88&lt;&gt;$J88),1,0))</f>
        <v>1</v>
      </c>
      <c r="W88" s="39" t="n">
        <f aca="false">IF($E88="","",IF($L88="Cancelada",0,IF(OR($K88&lt;&gt;"",$L88="Concluída"),1,0)))</f>
        <v>1</v>
      </c>
    </row>
    <row r="89" customFormat="false" ht="15" hidden="false" customHeight="true" outlineLevel="0" collapsed="false">
      <c r="A89" s="31" t="n">
        <f aca="false">IF($E89="","",COUNTA($E$5:$E89))</f>
        <v>85</v>
      </c>
      <c r="B89" s="32"/>
      <c r="C89" s="32" t="s">
        <v>125</v>
      </c>
      <c r="D89" s="32" t="s">
        <v>229</v>
      </c>
      <c r="E89" s="32" t="s">
        <v>278</v>
      </c>
      <c r="F89" s="33" t="s">
        <v>62</v>
      </c>
      <c r="G89" s="32" t="s">
        <v>256</v>
      </c>
      <c r="H89" s="34" t="n">
        <v>46251</v>
      </c>
      <c r="I89" s="35" t="s">
        <v>95</v>
      </c>
      <c r="J89" s="36" t="n">
        <f aca="false">IF(OR($H89="",$I89=""),"",$H89+MATCH($I89,Listas!$F$5:$F$11,0)-1)</f>
        <v>46257</v>
      </c>
      <c r="K89" s="37"/>
      <c r="L89" s="33" t="s">
        <v>63</v>
      </c>
      <c r="M89" s="37" t="n">
        <v>46255</v>
      </c>
      <c r="N89" s="32"/>
      <c r="O89" s="32"/>
      <c r="P89" s="38" t="str">
        <f aca="true">IF($E89="","",IF($L89="Cancelada","Cancelada",IF(OR($K89&lt;&gt;"",$L89="Concluída"),IF(OR($J89="",$K89="",$K89&lt;=$J89),"Concluída","Concluída com atraso"),IF($J89="","Na carteira",IF($J89&lt;TODAY(),"VENCIDA",IF($L89="Em execução","Em execução",IF($J89=TODAY(),"Hoje","Programada")))))))</f>
        <v>Concluída</v>
      </c>
      <c r="Q89" s="31" t="str">
        <f aca="false">IF($E89="","",IF(ISNUMBER(SEARCH("(externo)",$G89)),"Terceirizada","Interna"))</f>
        <v>Interna</v>
      </c>
      <c r="R89" s="36" t="n">
        <f aca="false">IF($J89="","",IF($M89="",$J89,$M89))</f>
        <v>46255</v>
      </c>
      <c r="S89" s="31" t="n">
        <f aca="false">IF($E89="","",IF(OR($K89="",$J89=""),0,IF($K89&lt;=$J89,1,0)))</f>
        <v>0</v>
      </c>
      <c r="T89" s="31" t="n">
        <f aca="false">IF($E89="","",IF(OR($K89="",$R89=""),0,IF($K89&lt;=$R89,1,0)))</f>
        <v>0</v>
      </c>
      <c r="U89" s="38" t="str">
        <f aca="false">IF(OR($K89="",$J89=""),"",MAX(0,$K89-$J89))</f>
        <v/>
      </c>
      <c r="V89" s="31" t="n">
        <f aca="false">IF($E89="","",IF(AND($M89&lt;&gt;"",$J89&lt;&gt;"",$M89&lt;&gt;$J89),1,0))</f>
        <v>1</v>
      </c>
      <c r="W89" s="39" t="n">
        <f aca="false">IF($E89="","",IF($L89="Cancelada",0,IF(OR($K89&lt;&gt;"",$L89="Concluída"),1,0)))</f>
        <v>1</v>
      </c>
    </row>
    <row r="90" customFormat="false" ht="15" hidden="false" customHeight="true" outlineLevel="0" collapsed="false">
      <c r="A90" s="31" t="n">
        <f aca="false">IF($E90="","",COUNTA($E$5:$E90))</f>
        <v>86</v>
      </c>
      <c r="B90" s="32"/>
      <c r="C90" s="32" t="s">
        <v>125</v>
      </c>
      <c r="D90" s="32" t="s">
        <v>229</v>
      </c>
      <c r="E90" s="32" t="s">
        <v>279</v>
      </c>
      <c r="F90" s="33" t="s">
        <v>62</v>
      </c>
      <c r="G90" s="32" t="s">
        <v>256</v>
      </c>
      <c r="H90" s="34" t="n">
        <v>46251</v>
      </c>
      <c r="I90" s="35" t="s">
        <v>95</v>
      </c>
      <c r="J90" s="36" t="n">
        <f aca="false">IF(OR($H90="",$I90=""),"",$H90+MATCH($I90,Listas!$F$5:$F$11,0)-1)</f>
        <v>46257</v>
      </c>
      <c r="K90" s="37"/>
      <c r="L90" s="33" t="s">
        <v>63</v>
      </c>
      <c r="M90" s="37" t="n">
        <v>46255</v>
      </c>
      <c r="N90" s="32"/>
      <c r="O90" s="32"/>
      <c r="P90" s="38" t="str">
        <f aca="true">IF($E90="","",IF($L90="Cancelada","Cancelada",IF(OR($K90&lt;&gt;"",$L90="Concluída"),IF(OR($J90="",$K90="",$K90&lt;=$J90),"Concluída","Concluída com atraso"),IF($J90="","Na carteira",IF($J90&lt;TODAY(),"VENCIDA",IF($L90="Em execução","Em execução",IF($J90=TODAY(),"Hoje","Programada")))))))</f>
        <v>Concluída</v>
      </c>
      <c r="Q90" s="31" t="str">
        <f aca="false">IF($E90="","",IF(ISNUMBER(SEARCH("(externo)",$G90)),"Terceirizada","Interna"))</f>
        <v>Interna</v>
      </c>
      <c r="R90" s="36" t="n">
        <f aca="false">IF($J90="","",IF($M90="",$J90,$M90))</f>
        <v>46255</v>
      </c>
      <c r="S90" s="31" t="n">
        <f aca="false">IF($E90="","",IF(OR($K90="",$J90=""),0,IF($K90&lt;=$J90,1,0)))</f>
        <v>0</v>
      </c>
      <c r="T90" s="31" t="n">
        <f aca="false">IF($E90="","",IF(OR($K90="",$R90=""),0,IF($K90&lt;=$R90,1,0)))</f>
        <v>0</v>
      </c>
      <c r="U90" s="38" t="str">
        <f aca="false">IF(OR($K90="",$J90=""),"",MAX(0,$K90-$J90))</f>
        <v/>
      </c>
      <c r="V90" s="31" t="n">
        <f aca="false">IF($E90="","",IF(AND($M90&lt;&gt;"",$J90&lt;&gt;"",$M90&lt;&gt;$J90),1,0))</f>
        <v>1</v>
      </c>
      <c r="W90" s="39" t="n">
        <f aca="false">IF($E90="","",IF($L90="Cancelada",0,IF(OR($K90&lt;&gt;"",$L90="Concluída"),1,0)))</f>
        <v>1</v>
      </c>
    </row>
    <row r="91" customFormat="false" ht="15" hidden="false" customHeight="true" outlineLevel="0" collapsed="false">
      <c r="A91" s="31" t="n">
        <f aca="false">IF($E91="","",COUNTA($E$5:$E91))</f>
        <v>87</v>
      </c>
      <c r="B91" s="32"/>
      <c r="C91" s="32" t="s">
        <v>125</v>
      </c>
      <c r="D91" s="32" t="s">
        <v>229</v>
      </c>
      <c r="E91" s="32" t="s">
        <v>280</v>
      </c>
      <c r="F91" s="33" t="s">
        <v>62</v>
      </c>
      <c r="G91" s="32" t="s">
        <v>256</v>
      </c>
      <c r="H91" s="34" t="n">
        <v>46251</v>
      </c>
      <c r="I91" s="35" t="s">
        <v>95</v>
      </c>
      <c r="J91" s="36" t="n">
        <f aca="false">IF(OR($H91="",$I91=""),"",$H91+MATCH($I91,Listas!$F$5:$F$11,0)-1)</f>
        <v>46257</v>
      </c>
      <c r="K91" s="37"/>
      <c r="L91" s="33" t="s">
        <v>63</v>
      </c>
      <c r="M91" s="37" t="n">
        <v>46255</v>
      </c>
      <c r="N91" s="32"/>
      <c r="O91" s="32"/>
      <c r="P91" s="38" t="str">
        <f aca="true">IF($E91="","",IF($L91="Cancelada","Cancelada",IF(OR($K91&lt;&gt;"",$L91="Concluída"),IF(OR($J91="",$K91="",$K91&lt;=$J91),"Concluída","Concluída com atraso"),IF($J91="","Na carteira",IF($J91&lt;TODAY(),"VENCIDA",IF($L91="Em execução","Em execução",IF($J91=TODAY(),"Hoje","Programada")))))))</f>
        <v>Concluída</v>
      </c>
      <c r="Q91" s="31" t="str">
        <f aca="false">IF($E91="","",IF(ISNUMBER(SEARCH("(externo)",$G91)),"Terceirizada","Interna"))</f>
        <v>Interna</v>
      </c>
      <c r="R91" s="36" t="n">
        <f aca="false">IF($J91="","",IF($M91="",$J91,$M91))</f>
        <v>46255</v>
      </c>
      <c r="S91" s="31" t="n">
        <f aca="false">IF($E91="","",IF(OR($K91="",$J91=""),0,IF($K91&lt;=$J91,1,0)))</f>
        <v>0</v>
      </c>
      <c r="T91" s="31" t="n">
        <f aca="false">IF($E91="","",IF(OR($K91="",$R91=""),0,IF($K91&lt;=$R91,1,0)))</f>
        <v>0</v>
      </c>
      <c r="U91" s="38" t="str">
        <f aca="false">IF(OR($K91="",$J91=""),"",MAX(0,$K91-$J91))</f>
        <v/>
      </c>
      <c r="V91" s="31" t="n">
        <f aca="false">IF($E91="","",IF(AND($M91&lt;&gt;"",$J91&lt;&gt;"",$M91&lt;&gt;$J91),1,0))</f>
        <v>1</v>
      </c>
      <c r="W91" s="39" t="n">
        <f aca="false">IF($E91="","",IF($L91="Cancelada",0,IF(OR($K91&lt;&gt;"",$L91="Concluída"),1,0)))</f>
        <v>1</v>
      </c>
    </row>
    <row r="92" customFormat="false" ht="15" hidden="false" customHeight="true" outlineLevel="0" collapsed="false">
      <c r="A92" s="31" t="n">
        <f aca="false">IF($E92="","",COUNTA($E$5:$E92))</f>
        <v>88</v>
      </c>
      <c r="B92" s="32"/>
      <c r="C92" s="32" t="s">
        <v>125</v>
      </c>
      <c r="D92" s="32" t="s">
        <v>229</v>
      </c>
      <c r="E92" s="32" t="s">
        <v>281</v>
      </c>
      <c r="F92" s="33" t="s">
        <v>62</v>
      </c>
      <c r="G92" s="32" t="s">
        <v>256</v>
      </c>
      <c r="H92" s="34" t="n">
        <v>46251</v>
      </c>
      <c r="I92" s="35" t="s">
        <v>95</v>
      </c>
      <c r="J92" s="36" t="n">
        <f aca="false">IF(OR($H92="",$I92=""),"",$H92+MATCH($I92,Listas!$F$5:$F$11,0)-1)</f>
        <v>46257</v>
      </c>
      <c r="K92" s="37"/>
      <c r="L92" s="33" t="s">
        <v>63</v>
      </c>
      <c r="M92" s="37" t="n">
        <v>46255</v>
      </c>
      <c r="N92" s="32"/>
      <c r="O92" s="32"/>
      <c r="P92" s="38" t="str">
        <f aca="true">IF($E92="","",IF($L92="Cancelada","Cancelada",IF(OR($K92&lt;&gt;"",$L92="Concluída"),IF(OR($J92="",$K92="",$K92&lt;=$J92),"Concluída","Concluída com atraso"),IF($J92="","Na carteira",IF($J92&lt;TODAY(),"VENCIDA",IF($L92="Em execução","Em execução",IF($J92=TODAY(),"Hoje","Programada")))))))</f>
        <v>Concluída</v>
      </c>
      <c r="Q92" s="31" t="str">
        <f aca="false">IF($E92="","",IF(ISNUMBER(SEARCH("(externo)",$G92)),"Terceirizada","Interna"))</f>
        <v>Interna</v>
      </c>
      <c r="R92" s="36" t="n">
        <f aca="false">IF($J92="","",IF($M92="",$J92,$M92))</f>
        <v>46255</v>
      </c>
      <c r="S92" s="31" t="n">
        <f aca="false">IF($E92="","",IF(OR($K92="",$J92=""),0,IF($K92&lt;=$J92,1,0)))</f>
        <v>0</v>
      </c>
      <c r="T92" s="31" t="n">
        <f aca="false">IF($E92="","",IF(OR($K92="",$R92=""),0,IF($K92&lt;=$R92,1,0)))</f>
        <v>0</v>
      </c>
      <c r="U92" s="38" t="str">
        <f aca="false">IF(OR($K92="",$J92=""),"",MAX(0,$K92-$J92))</f>
        <v/>
      </c>
      <c r="V92" s="31" t="n">
        <f aca="false">IF($E92="","",IF(AND($M92&lt;&gt;"",$J92&lt;&gt;"",$M92&lt;&gt;$J92),1,0))</f>
        <v>1</v>
      </c>
      <c r="W92" s="39" t="n">
        <f aca="false">IF($E92="","",IF($L92="Cancelada",0,IF(OR($K92&lt;&gt;"",$L92="Concluída"),1,0)))</f>
        <v>1</v>
      </c>
    </row>
    <row r="93" customFormat="false" ht="15" hidden="false" customHeight="true" outlineLevel="0" collapsed="false">
      <c r="A93" s="31" t="n">
        <f aca="false">IF($E93="","",COUNTA($E$5:$E93))</f>
        <v>89</v>
      </c>
      <c r="B93" s="32"/>
      <c r="C93" s="32" t="s">
        <v>125</v>
      </c>
      <c r="D93" s="32" t="s">
        <v>229</v>
      </c>
      <c r="E93" s="32" t="s">
        <v>282</v>
      </c>
      <c r="F93" s="33" t="s">
        <v>62</v>
      </c>
      <c r="G93" s="32" t="s">
        <v>256</v>
      </c>
      <c r="H93" s="34" t="n">
        <v>46258</v>
      </c>
      <c r="I93" s="35" t="s">
        <v>65</v>
      </c>
      <c r="J93" s="36" t="n">
        <f aca="false">IF(OR($H93="",$I93=""),"",$H93+MATCH($I93,Listas!$F$5:$F$11,0)-1)</f>
        <v>46258</v>
      </c>
      <c r="K93" s="37"/>
      <c r="L93" s="33" t="s">
        <v>63</v>
      </c>
      <c r="M93" s="37" t="n">
        <v>46255</v>
      </c>
      <c r="N93" s="32"/>
      <c r="O93" s="32"/>
      <c r="P93" s="38" t="str">
        <f aca="true">IF($E93="","",IF($L93="Cancelada","Cancelada",IF(OR($K93&lt;&gt;"",$L93="Concluída"),IF(OR($J93="",$K93="",$K93&lt;=$J93),"Concluída","Concluída com atraso"),IF($J93="","Na carteira",IF($J93&lt;TODAY(),"VENCIDA",IF($L93="Em execução","Em execução",IF($J93=TODAY(),"Hoje","Programada")))))))</f>
        <v>Concluída</v>
      </c>
      <c r="Q93" s="31" t="str">
        <f aca="false">IF($E93="","",IF(ISNUMBER(SEARCH("(externo)",$G93)),"Terceirizada","Interna"))</f>
        <v>Interna</v>
      </c>
      <c r="R93" s="36" t="n">
        <f aca="false">IF($J93="","",IF($M93="",$J93,$M93))</f>
        <v>46255</v>
      </c>
      <c r="S93" s="31" t="n">
        <f aca="false">IF($E93="","",IF(OR($K93="",$J93=""),0,IF($K93&lt;=$J93,1,0)))</f>
        <v>0</v>
      </c>
      <c r="T93" s="31" t="n">
        <f aca="false">IF($E93="","",IF(OR($K93="",$R93=""),0,IF($K93&lt;=$R93,1,0)))</f>
        <v>0</v>
      </c>
      <c r="U93" s="38" t="str">
        <f aca="false">IF(OR($K93="",$J93=""),"",MAX(0,$K93-$J93))</f>
        <v/>
      </c>
      <c r="V93" s="31" t="n">
        <f aca="false">IF($E93="","",IF(AND($M93&lt;&gt;"",$J93&lt;&gt;"",$M93&lt;&gt;$J93),1,0))</f>
        <v>1</v>
      </c>
      <c r="W93" s="39" t="n">
        <f aca="false">IF($E93="","",IF($L93="Cancelada",0,IF(OR($K93&lt;&gt;"",$L93="Concluída"),1,0)))</f>
        <v>1</v>
      </c>
    </row>
    <row r="94" customFormat="false" ht="15" hidden="false" customHeight="true" outlineLevel="0" collapsed="false">
      <c r="A94" s="31" t="n">
        <f aca="false">IF($E94="","",COUNTA($E$5:$E94))</f>
        <v>90</v>
      </c>
      <c r="B94" s="32"/>
      <c r="C94" s="32" t="s">
        <v>125</v>
      </c>
      <c r="D94" s="32" t="s">
        <v>229</v>
      </c>
      <c r="E94" s="32" t="s">
        <v>283</v>
      </c>
      <c r="F94" s="33" t="s">
        <v>62</v>
      </c>
      <c r="G94" s="32" t="s">
        <v>256</v>
      </c>
      <c r="H94" s="34" t="n">
        <v>46258</v>
      </c>
      <c r="I94" s="35" t="s">
        <v>65</v>
      </c>
      <c r="J94" s="36" t="n">
        <f aca="false">IF(OR($H94="",$I94=""),"",$H94+MATCH($I94,Listas!$F$5:$F$11,0)-1)</f>
        <v>46258</v>
      </c>
      <c r="K94" s="37"/>
      <c r="L94" s="33" t="s">
        <v>63</v>
      </c>
      <c r="M94" s="37" t="n">
        <v>46255</v>
      </c>
      <c r="N94" s="32"/>
      <c r="O94" s="32"/>
      <c r="P94" s="38" t="str">
        <f aca="true">IF($E94="","",IF($L94="Cancelada","Cancelada",IF(OR($K94&lt;&gt;"",$L94="Concluída"),IF(OR($J94="",$K94="",$K94&lt;=$J94),"Concluída","Concluída com atraso"),IF($J94="","Na carteira",IF($J94&lt;TODAY(),"VENCIDA",IF($L94="Em execução","Em execução",IF($J94=TODAY(),"Hoje","Programada")))))))</f>
        <v>Concluída</v>
      </c>
      <c r="Q94" s="31" t="str">
        <f aca="false">IF($E94="","",IF(ISNUMBER(SEARCH("(externo)",$G94)),"Terceirizada","Interna"))</f>
        <v>Interna</v>
      </c>
      <c r="R94" s="36" t="n">
        <f aca="false">IF($J94="","",IF($M94="",$J94,$M94))</f>
        <v>46255</v>
      </c>
      <c r="S94" s="31" t="n">
        <f aca="false">IF($E94="","",IF(OR($K94="",$J94=""),0,IF($K94&lt;=$J94,1,0)))</f>
        <v>0</v>
      </c>
      <c r="T94" s="31" t="n">
        <f aca="false">IF($E94="","",IF(OR($K94="",$R94=""),0,IF($K94&lt;=$R94,1,0)))</f>
        <v>0</v>
      </c>
      <c r="U94" s="38" t="str">
        <f aca="false">IF(OR($K94="",$J94=""),"",MAX(0,$K94-$J94))</f>
        <v/>
      </c>
      <c r="V94" s="31" t="n">
        <f aca="false">IF($E94="","",IF(AND($M94&lt;&gt;"",$J94&lt;&gt;"",$M94&lt;&gt;$J94),1,0))</f>
        <v>1</v>
      </c>
      <c r="W94" s="39" t="n">
        <f aca="false">IF($E94="","",IF($L94="Cancelada",0,IF(OR($K94&lt;&gt;"",$L94="Concluída"),1,0)))</f>
        <v>1</v>
      </c>
    </row>
    <row r="95" customFormat="false" ht="15" hidden="false" customHeight="true" outlineLevel="0" collapsed="false">
      <c r="A95" s="31" t="n">
        <f aca="false">IF($E95="","",COUNTA($E$5:$E95))</f>
        <v>91</v>
      </c>
      <c r="B95" s="32"/>
      <c r="C95" s="32" t="s">
        <v>125</v>
      </c>
      <c r="D95" s="32" t="s">
        <v>229</v>
      </c>
      <c r="E95" s="32" t="s">
        <v>284</v>
      </c>
      <c r="F95" s="33" t="s">
        <v>62</v>
      </c>
      <c r="G95" s="32" t="s">
        <v>256</v>
      </c>
      <c r="H95" s="34" t="n">
        <v>46258</v>
      </c>
      <c r="I95" s="35" t="s">
        <v>65</v>
      </c>
      <c r="J95" s="36" t="n">
        <f aca="false">IF(OR($H95="",$I95=""),"",$H95+MATCH($I95,Listas!$F$5:$F$11,0)-1)</f>
        <v>46258</v>
      </c>
      <c r="K95" s="37"/>
      <c r="L95" s="33" t="s">
        <v>63</v>
      </c>
      <c r="M95" s="37" t="n">
        <v>46255</v>
      </c>
      <c r="N95" s="32"/>
      <c r="O95" s="32"/>
      <c r="P95" s="38" t="str">
        <f aca="true">IF($E95="","",IF($L95="Cancelada","Cancelada",IF(OR($K95&lt;&gt;"",$L95="Concluída"),IF(OR($J95="",$K95="",$K95&lt;=$J95),"Concluída","Concluída com atraso"),IF($J95="","Na carteira",IF($J95&lt;TODAY(),"VENCIDA",IF($L95="Em execução","Em execução",IF($J95=TODAY(),"Hoje","Programada")))))))</f>
        <v>Concluída</v>
      </c>
      <c r="Q95" s="31" t="str">
        <f aca="false">IF($E95="","",IF(ISNUMBER(SEARCH("(externo)",$G95)),"Terceirizada","Interna"))</f>
        <v>Interna</v>
      </c>
      <c r="R95" s="36" t="n">
        <f aca="false">IF($J95="","",IF($M95="",$J95,$M95))</f>
        <v>46255</v>
      </c>
      <c r="S95" s="31" t="n">
        <f aca="false">IF($E95="","",IF(OR($K95="",$J95=""),0,IF($K95&lt;=$J95,1,0)))</f>
        <v>0</v>
      </c>
      <c r="T95" s="31" t="n">
        <f aca="false">IF($E95="","",IF(OR($K95="",$R95=""),0,IF($K95&lt;=$R95,1,0)))</f>
        <v>0</v>
      </c>
      <c r="U95" s="38" t="str">
        <f aca="false">IF(OR($K95="",$J95=""),"",MAX(0,$K95-$J95))</f>
        <v/>
      </c>
      <c r="V95" s="31" t="n">
        <f aca="false">IF($E95="","",IF(AND($M95&lt;&gt;"",$J95&lt;&gt;"",$M95&lt;&gt;$J95),1,0))</f>
        <v>1</v>
      </c>
      <c r="W95" s="39" t="n">
        <f aca="false">IF($E95="","",IF($L95="Cancelada",0,IF(OR($K95&lt;&gt;"",$L95="Concluída"),1,0)))</f>
        <v>1</v>
      </c>
    </row>
    <row r="96" customFormat="false" ht="15" hidden="false" customHeight="true" outlineLevel="0" collapsed="false">
      <c r="A96" s="31" t="n">
        <f aca="false">IF($E96="","",COUNTA($E$5:$E96))</f>
        <v>92</v>
      </c>
      <c r="B96" s="32"/>
      <c r="C96" s="32" t="s">
        <v>125</v>
      </c>
      <c r="D96" s="32" t="s">
        <v>229</v>
      </c>
      <c r="E96" s="32" t="s">
        <v>285</v>
      </c>
      <c r="F96" s="33" t="s">
        <v>62</v>
      </c>
      <c r="G96" s="32" t="s">
        <v>256</v>
      </c>
      <c r="H96" s="34" t="n">
        <v>46258</v>
      </c>
      <c r="I96" s="35" t="s">
        <v>65</v>
      </c>
      <c r="J96" s="36" t="n">
        <f aca="false">IF(OR($H96="",$I96=""),"",$H96+MATCH($I96,Listas!$F$5:$F$11,0)-1)</f>
        <v>46258</v>
      </c>
      <c r="K96" s="37"/>
      <c r="L96" s="33" t="s">
        <v>63</v>
      </c>
      <c r="M96" s="37" t="n">
        <v>46255</v>
      </c>
      <c r="N96" s="32"/>
      <c r="O96" s="32"/>
      <c r="P96" s="38" t="str">
        <f aca="true">IF($E96="","",IF($L96="Cancelada","Cancelada",IF(OR($K96&lt;&gt;"",$L96="Concluída"),IF(OR($J96="",$K96="",$K96&lt;=$J96),"Concluída","Concluída com atraso"),IF($J96="","Na carteira",IF($J96&lt;TODAY(),"VENCIDA",IF($L96="Em execução","Em execução",IF($J96=TODAY(),"Hoje","Programada")))))))</f>
        <v>Concluída</v>
      </c>
      <c r="Q96" s="31" t="str">
        <f aca="false">IF($E96="","",IF(ISNUMBER(SEARCH("(externo)",$G96)),"Terceirizada","Interna"))</f>
        <v>Interna</v>
      </c>
      <c r="R96" s="36" t="n">
        <f aca="false">IF($J96="","",IF($M96="",$J96,$M96))</f>
        <v>46255</v>
      </c>
      <c r="S96" s="31" t="n">
        <f aca="false">IF($E96="","",IF(OR($K96="",$J96=""),0,IF($K96&lt;=$J96,1,0)))</f>
        <v>0</v>
      </c>
      <c r="T96" s="31" t="n">
        <f aca="false">IF($E96="","",IF(OR($K96="",$R96=""),0,IF($K96&lt;=$R96,1,0)))</f>
        <v>0</v>
      </c>
      <c r="U96" s="38" t="str">
        <f aca="false">IF(OR($K96="",$J96=""),"",MAX(0,$K96-$J96))</f>
        <v/>
      </c>
      <c r="V96" s="31" t="n">
        <f aca="false">IF($E96="","",IF(AND($M96&lt;&gt;"",$J96&lt;&gt;"",$M96&lt;&gt;$J96),1,0))</f>
        <v>1</v>
      </c>
      <c r="W96" s="39" t="n">
        <f aca="false">IF($E96="","",IF($L96="Cancelada",0,IF(OR($K96&lt;&gt;"",$L96="Concluída"),1,0)))</f>
        <v>1</v>
      </c>
    </row>
    <row r="97" customFormat="false" ht="15" hidden="false" customHeight="true" outlineLevel="0" collapsed="false">
      <c r="A97" s="31" t="n">
        <f aca="false">IF($E97="","",COUNTA($E$5:$E97))</f>
        <v>93</v>
      </c>
      <c r="B97" s="32"/>
      <c r="C97" s="32" t="s">
        <v>125</v>
      </c>
      <c r="D97" s="32" t="s">
        <v>229</v>
      </c>
      <c r="E97" s="32" t="s">
        <v>286</v>
      </c>
      <c r="F97" s="33" t="s">
        <v>62</v>
      </c>
      <c r="G97" s="32" t="s">
        <v>256</v>
      </c>
      <c r="H97" s="34" t="n">
        <v>46258</v>
      </c>
      <c r="I97" s="35" t="s">
        <v>65</v>
      </c>
      <c r="J97" s="36" t="n">
        <f aca="false">IF(OR($H97="",$I97=""),"",$H97+MATCH($I97,Listas!$F$5:$F$11,0)-1)</f>
        <v>46258</v>
      </c>
      <c r="K97" s="37"/>
      <c r="L97" s="33" t="s">
        <v>63</v>
      </c>
      <c r="M97" s="37" t="n">
        <v>46255</v>
      </c>
      <c r="N97" s="32"/>
      <c r="O97" s="32"/>
      <c r="P97" s="38" t="str">
        <f aca="true">IF($E97="","",IF($L97="Cancelada","Cancelada",IF(OR($K97&lt;&gt;"",$L97="Concluída"),IF(OR($J97="",$K97="",$K97&lt;=$J97),"Concluída","Concluída com atraso"),IF($J97="","Na carteira",IF($J97&lt;TODAY(),"VENCIDA",IF($L97="Em execução","Em execução",IF($J97=TODAY(),"Hoje","Programada")))))))</f>
        <v>Concluída</v>
      </c>
      <c r="Q97" s="31" t="str">
        <f aca="false">IF($E97="","",IF(ISNUMBER(SEARCH("(externo)",$G97)),"Terceirizada","Interna"))</f>
        <v>Interna</v>
      </c>
      <c r="R97" s="36" t="n">
        <f aca="false">IF($J97="","",IF($M97="",$J97,$M97))</f>
        <v>46255</v>
      </c>
      <c r="S97" s="31" t="n">
        <f aca="false">IF($E97="","",IF(OR($K97="",$J97=""),0,IF($K97&lt;=$J97,1,0)))</f>
        <v>0</v>
      </c>
      <c r="T97" s="31" t="n">
        <f aca="false">IF($E97="","",IF(OR($K97="",$R97=""),0,IF($K97&lt;=$R97,1,0)))</f>
        <v>0</v>
      </c>
      <c r="U97" s="38" t="str">
        <f aca="false">IF(OR($K97="",$J97=""),"",MAX(0,$K97-$J97))</f>
        <v/>
      </c>
      <c r="V97" s="31" t="n">
        <f aca="false">IF($E97="","",IF(AND($M97&lt;&gt;"",$J97&lt;&gt;"",$M97&lt;&gt;$J97),1,0))</f>
        <v>1</v>
      </c>
      <c r="W97" s="39" t="n">
        <f aca="false">IF($E97="","",IF($L97="Cancelada",0,IF(OR($K97&lt;&gt;"",$L97="Concluída"),1,0)))</f>
        <v>1</v>
      </c>
    </row>
    <row r="98" customFormat="false" ht="15" hidden="false" customHeight="true" outlineLevel="0" collapsed="false">
      <c r="A98" s="31" t="n">
        <f aca="false">IF($E98="","",COUNTA($E$5:$E98))</f>
        <v>94</v>
      </c>
      <c r="B98" s="32"/>
      <c r="C98" s="32" t="s">
        <v>125</v>
      </c>
      <c r="D98" s="32" t="s">
        <v>229</v>
      </c>
      <c r="E98" s="32" t="s">
        <v>287</v>
      </c>
      <c r="F98" s="33" t="s">
        <v>62</v>
      </c>
      <c r="G98" s="32" t="s">
        <v>256</v>
      </c>
      <c r="H98" s="34" t="n">
        <v>46258</v>
      </c>
      <c r="I98" s="35" t="s">
        <v>71</v>
      </c>
      <c r="J98" s="36" t="n">
        <f aca="false">IF(OR($H98="",$I98=""),"",$H98+MATCH($I98,Listas!$F$5:$F$11,0)-1)</f>
        <v>46259</v>
      </c>
      <c r="K98" s="37"/>
      <c r="L98" s="33" t="s">
        <v>63</v>
      </c>
      <c r="M98" s="37" t="n">
        <v>46255</v>
      </c>
      <c r="N98" s="32"/>
      <c r="O98" s="32"/>
      <c r="P98" s="38" t="str">
        <f aca="true">IF($E98="","",IF($L98="Cancelada","Cancelada",IF(OR($K98&lt;&gt;"",$L98="Concluída"),IF(OR($J98="",$K98="",$K98&lt;=$J98),"Concluída","Concluída com atraso"),IF($J98="","Na carteira",IF($J98&lt;TODAY(),"VENCIDA",IF($L98="Em execução","Em execução",IF($J98=TODAY(),"Hoje","Programada")))))))</f>
        <v>Concluída</v>
      </c>
      <c r="Q98" s="31" t="str">
        <f aca="false">IF($E98="","",IF(ISNUMBER(SEARCH("(externo)",$G98)),"Terceirizada","Interna"))</f>
        <v>Interna</v>
      </c>
      <c r="R98" s="36" t="n">
        <f aca="false">IF($J98="","",IF($M98="",$J98,$M98))</f>
        <v>46255</v>
      </c>
      <c r="S98" s="31" t="n">
        <f aca="false">IF($E98="","",IF(OR($K98="",$J98=""),0,IF($K98&lt;=$J98,1,0)))</f>
        <v>0</v>
      </c>
      <c r="T98" s="31" t="n">
        <f aca="false">IF($E98="","",IF(OR($K98="",$R98=""),0,IF($K98&lt;=$R98,1,0)))</f>
        <v>0</v>
      </c>
      <c r="U98" s="38" t="str">
        <f aca="false">IF(OR($K98="",$J98=""),"",MAX(0,$K98-$J98))</f>
        <v/>
      </c>
      <c r="V98" s="31" t="n">
        <f aca="false">IF($E98="","",IF(AND($M98&lt;&gt;"",$J98&lt;&gt;"",$M98&lt;&gt;$J98),1,0))</f>
        <v>1</v>
      </c>
      <c r="W98" s="39" t="n">
        <f aca="false">IF($E98="","",IF($L98="Cancelada",0,IF(OR($K98&lt;&gt;"",$L98="Concluída"),1,0)))</f>
        <v>1</v>
      </c>
    </row>
    <row r="99" customFormat="false" ht="15" hidden="false" customHeight="true" outlineLevel="0" collapsed="false">
      <c r="A99" s="31" t="n">
        <f aca="false">IF($E99="","",COUNTA($E$5:$E99))</f>
        <v>95</v>
      </c>
      <c r="B99" s="32"/>
      <c r="C99" s="32" t="s">
        <v>125</v>
      </c>
      <c r="D99" s="32" t="s">
        <v>229</v>
      </c>
      <c r="E99" s="32" t="s">
        <v>288</v>
      </c>
      <c r="F99" s="33" t="s">
        <v>62</v>
      </c>
      <c r="G99" s="32" t="s">
        <v>256</v>
      </c>
      <c r="H99" s="34" t="n">
        <v>46258</v>
      </c>
      <c r="I99" s="35" t="s">
        <v>71</v>
      </c>
      <c r="J99" s="36" t="n">
        <f aca="false">IF(OR($H99="",$I99=""),"",$H99+MATCH($I99,Listas!$F$5:$F$11,0)-1)</f>
        <v>46259</v>
      </c>
      <c r="K99" s="37"/>
      <c r="L99" s="33" t="s">
        <v>63</v>
      </c>
      <c r="M99" s="37" t="n">
        <v>46255</v>
      </c>
      <c r="N99" s="32"/>
      <c r="O99" s="32"/>
      <c r="P99" s="38" t="str">
        <f aca="true">IF($E99="","",IF($L99="Cancelada","Cancelada",IF(OR($K99&lt;&gt;"",$L99="Concluída"),IF(OR($J99="",$K99="",$K99&lt;=$J99),"Concluída","Concluída com atraso"),IF($J99="","Na carteira",IF($J99&lt;TODAY(),"VENCIDA",IF($L99="Em execução","Em execução",IF($J99=TODAY(),"Hoje","Programada")))))))</f>
        <v>Concluída</v>
      </c>
      <c r="Q99" s="31" t="str">
        <f aca="false">IF($E99="","",IF(ISNUMBER(SEARCH("(externo)",$G99)),"Terceirizada","Interna"))</f>
        <v>Interna</v>
      </c>
      <c r="R99" s="36" t="n">
        <f aca="false">IF($J99="","",IF($M99="",$J99,$M99))</f>
        <v>46255</v>
      </c>
      <c r="S99" s="31" t="n">
        <f aca="false">IF($E99="","",IF(OR($K99="",$J99=""),0,IF($K99&lt;=$J99,1,0)))</f>
        <v>0</v>
      </c>
      <c r="T99" s="31" t="n">
        <f aca="false">IF($E99="","",IF(OR($K99="",$R99=""),0,IF($K99&lt;=$R99,1,0)))</f>
        <v>0</v>
      </c>
      <c r="U99" s="38" t="str">
        <f aca="false">IF(OR($K99="",$J99=""),"",MAX(0,$K99-$J99))</f>
        <v/>
      </c>
      <c r="V99" s="31" t="n">
        <f aca="false">IF($E99="","",IF(AND($M99&lt;&gt;"",$J99&lt;&gt;"",$M99&lt;&gt;$J99),1,0))</f>
        <v>1</v>
      </c>
      <c r="W99" s="39" t="n">
        <f aca="false">IF($E99="","",IF($L99="Cancelada",0,IF(OR($K99&lt;&gt;"",$L99="Concluída"),1,0)))</f>
        <v>1</v>
      </c>
    </row>
    <row r="100" customFormat="false" ht="15" hidden="false" customHeight="true" outlineLevel="0" collapsed="false">
      <c r="A100" s="31" t="n">
        <f aca="false">IF($E100="","",COUNTA($E$5:$E100))</f>
        <v>96</v>
      </c>
      <c r="B100" s="32"/>
      <c r="C100" s="32" t="s">
        <v>125</v>
      </c>
      <c r="D100" s="32" t="s">
        <v>229</v>
      </c>
      <c r="E100" s="32" t="s">
        <v>289</v>
      </c>
      <c r="F100" s="33" t="s">
        <v>62</v>
      </c>
      <c r="G100" s="32" t="s">
        <v>256</v>
      </c>
      <c r="H100" s="34" t="n">
        <v>46258</v>
      </c>
      <c r="I100" s="35" t="s">
        <v>71</v>
      </c>
      <c r="J100" s="36" t="n">
        <f aca="false">IF(OR($H100="",$I100=""),"",$H100+MATCH($I100,Listas!$F$5:$F$11,0)-1)</f>
        <v>46259</v>
      </c>
      <c r="K100" s="37"/>
      <c r="L100" s="33" t="s">
        <v>63</v>
      </c>
      <c r="M100" s="37" t="n">
        <v>46255</v>
      </c>
      <c r="N100" s="32"/>
      <c r="O100" s="32"/>
      <c r="P100" s="38" t="str">
        <f aca="true">IF($E100="","",IF($L100="Cancelada","Cancelada",IF(OR($K100&lt;&gt;"",$L100="Concluída"),IF(OR($J100="",$K100="",$K100&lt;=$J100),"Concluída","Concluída com atraso"),IF($J100="","Na carteira",IF($J100&lt;TODAY(),"VENCIDA",IF($L100="Em execução","Em execução",IF($J100=TODAY(),"Hoje","Programada")))))))</f>
        <v>Concluída</v>
      </c>
      <c r="Q100" s="31" t="str">
        <f aca="false">IF($E100="","",IF(ISNUMBER(SEARCH("(externo)",$G100)),"Terceirizada","Interna"))</f>
        <v>Interna</v>
      </c>
      <c r="R100" s="36" t="n">
        <f aca="false">IF($J100="","",IF($M100="",$J100,$M100))</f>
        <v>46255</v>
      </c>
      <c r="S100" s="31" t="n">
        <f aca="false">IF($E100="","",IF(OR($K100="",$J100=""),0,IF($K100&lt;=$J100,1,0)))</f>
        <v>0</v>
      </c>
      <c r="T100" s="31" t="n">
        <f aca="false">IF($E100="","",IF(OR($K100="",$R100=""),0,IF($K100&lt;=$R100,1,0)))</f>
        <v>0</v>
      </c>
      <c r="U100" s="38" t="str">
        <f aca="false">IF(OR($K100="",$J100=""),"",MAX(0,$K100-$J100))</f>
        <v/>
      </c>
      <c r="V100" s="31" t="n">
        <f aca="false">IF($E100="","",IF(AND($M100&lt;&gt;"",$J100&lt;&gt;"",$M100&lt;&gt;$J100),1,0))</f>
        <v>1</v>
      </c>
      <c r="W100" s="39" t="n">
        <f aca="false">IF($E100="","",IF($L100="Cancelada",0,IF(OR($K100&lt;&gt;"",$L100="Concluída"),1,0)))</f>
        <v>1</v>
      </c>
    </row>
    <row r="101" customFormat="false" ht="15" hidden="false" customHeight="true" outlineLevel="0" collapsed="false">
      <c r="A101" s="31" t="n">
        <f aca="false">IF($E101="","",COUNTA($E$5:$E101))</f>
        <v>97</v>
      </c>
      <c r="B101" s="32"/>
      <c r="C101" s="32" t="s">
        <v>125</v>
      </c>
      <c r="D101" s="32" t="s">
        <v>229</v>
      </c>
      <c r="E101" s="32" t="s">
        <v>290</v>
      </c>
      <c r="F101" s="33" t="s">
        <v>62</v>
      </c>
      <c r="G101" s="32" t="s">
        <v>256</v>
      </c>
      <c r="H101" s="34" t="n">
        <v>46258</v>
      </c>
      <c r="I101" s="35" t="s">
        <v>71</v>
      </c>
      <c r="J101" s="36" t="n">
        <f aca="false">IF(OR($H101="",$I101=""),"",$H101+MATCH($I101,Listas!$F$5:$F$11,0)-1)</f>
        <v>46259</v>
      </c>
      <c r="K101" s="37"/>
      <c r="L101" s="33" t="s">
        <v>63</v>
      </c>
      <c r="M101" s="37" t="n">
        <v>46255</v>
      </c>
      <c r="N101" s="32"/>
      <c r="O101" s="32"/>
      <c r="P101" s="38" t="str">
        <f aca="true">IF($E101="","",IF($L101="Cancelada","Cancelada",IF(OR($K101&lt;&gt;"",$L101="Concluída"),IF(OR($J101="",$K101="",$K101&lt;=$J101),"Concluída","Concluída com atraso"),IF($J101="","Na carteira",IF($J101&lt;TODAY(),"VENCIDA",IF($L101="Em execução","Em execução",IF($J101=TODAY(),"Hoje","Programada")))))))</f>
        <v>Concluída</v>
      </c>
      <c r="Q101" s="31" t="str">
        <f aca="false">IF($E101="","",IF(ISNUMBER(SEARCH("(externo)",$G101)),"Terceirizada","Interna"))</f>
        <v>Interna</v>
      </c>
      <c r="R101" s="36" t="n">
        <f aca="false">IF($J101="","",IF($M101="",$J101,$M101))</f>
        <v>46255</v>
      </c>
      <c r="S101" s="31" t="n">
        <f aca="false">IF($E101="","",IF(OR($K101="",$J101=""),0,IF($K101&lt;=$J101,1,0)))</f>
        <v>0</v>
      </c>
      <c r="T101" s="31" t="n">
        <f aca="false">IF($E101="","",IF(OR($K101="",$R101=""),0,IF($K101&lt;=$R101,1,0)))</f>
        <v>0</v>
      </c>
      <c r="U101" s="38" t="str">
        <f aca="false">IF(OR($K101="",$J101=""),"",MAX(0,$K101-$J101))</f>
        <v/>
      </c>
      <c r="V101" s="31" t="n">
        <f aca="false">IF($E101="","",IF(AND($M101&lt;&gt;"",$J101&lt;&gt;"",$M101&lt;&gt;$J101),1,0))</f>
        <v>1</v>
      </c>
      <c r="W101" s="39" t="n">
        <f aca="false">IF($E101="","",IF($L101="Cancelada",0,IF(OR($K101&lt;&gt;"",$L101="Concluída"),1,0)))</f>
        <v>1</v>
      </c>
    </row>
    <row r="102" customFormat="false" ht="15" hidden="false" customHeight="true" outlineLevel="0" collapsed="false">
      <c r="A102" s="31" t="n">
        <f aca="false">IF($E102="","",COUNTA($E$5:$E102))</f>
        <v>98</v>
      </c>
      <c r="B102" s="32"/>
      <c r="C102" s="32" t="s">
        <v>125</v>
      </c>
      <c r="D102" s="32" t="s">
        <v>229</v>
      </c>
      <c r="E102" s="32" t="s">
        <v>291</v>
      </c>
      <c r="F102" s="33" t="s">
        <v>62</v>
      </c>
      <c r="G102" s="32" t="s">
        <v>256</v>
      </c>
      <c r="H102" s="34" t="n">
        <v>46258</v>
      </c>
      <c r="I102" s="35" t="s">
        <v>71</v>
      </c>
      <c r="J102" s="36" t="n">
        <f aca="false">IF(OR($H102="",$I102=""),"",$H102+MATCH($I102,Listas!$F$5:$F$11,0)-1)</f>
        <v>46259</v>
      </c>
      <c r="K102" s="37"/>
      <c r="L102" s="33" t="s">
        <v>63</v>
      </c>
      <c r="M102" s="37" t="n">
        <v>46255</v>
      </c>
      <c r="N102" s="32"/>
      <c r="O102" s="32"/>
      <c r="P102" s="38" t="str">
        <f aca="true">IF($E102="","",IF($L102="Cancelada","Cancelada",IF(OR($K102&lt;&gt;"",$L102="Concluída"),IF(OR($J102="",$K102="",$K102&lt;=$J102),"Concluída","Concluída com atraso"),IF($J102="","Na carteira",IF($J102&lt;TODAY(),"VENCIDA",IF($L102="Em execução","Em execução",IF($J102=TODAY(),"Hoje","Programada")))))))</f>
        <v>Concluída</v>
      </c>
      <c r="Q102" s="31" t="str">
        <f aca="false">IF($E102="","",IF(ISNUMBER(SEARCH("(externo)",$G102)),"Terceirizada","Interna"))</f>
        <v>Interna</v>
      </c>
      <c r="R102" s="36" t="n">
        <f aca="false">IF($J102="","",IF($M102="",$J102,$M102))</f>
        <v>46255</v>
      </c>
      <c r="S102" s="31" t="n">
        <f aca="false">IF($E102="","",IF(OR($K102="",$J102=""),0,IF($K102&lt;=$J102,1,0)))</f>
        <v>0</v>
      </c>
      <c r="T102" s="31" t="n">
        <f aca="false">IF($E102="","",IF(OR($K102="",$R102=""),0,IF($K102&lt;=$R102,1,0)))</f>
        <v>0</v>
      </c>
      <c r="U102" s="38" t="str">
        <f aca="false">IF(OR($K102="",$J102=""),"",MAX(0,$K102-$J102))</f>
        <v/>
      </c>
      <c r="V102" s="31" t="n">
        <f aca="false">IF($E102="","",IF(AND($M102&lt;&gt;"",$J102&lt;&gt;"",$M102&lt;&gt;$J102),1,0))</f>
        <v>1</v>
      </c>
      <c r="W102" s="39" t="n">
        <f aca="false">IF($E102="","",IF($L102="Cancelada",0,IF(OR($K102&lt;&gt;"",$L102="Concluída"),1,0)))</f>
        <v>1</v>
      </c>
    </row>
    <row r="103" customFormat="false" ht="15" hidden="false" customHeight="true" outlineLevel="0" collapsed="false">
      <c r="A103" s="31" t="n">
        <f aca="false">IF($E103="","",COUNTA($E$5:$E103))</f>
        <v>99</v>
      </c>
      <c r="B103" s="32"/>
      <c r="C103" s="32" t="s">
        <v>125</v>
      </c>
      <c r="D103" s="32" t="s">
        <v>229</v>
      </c>
      <c r="E103" s="32" t="s">
        <v>292</v>
      </c>
      <c r="F103" s="33" t="s">
        <v>62</v>
      </c>
      <c r="G103" s="32" t="s">
        <v>256</v>
      </c>
      <c r="H103" s="34" t="n">
        <v>46258</v>
      </c>
      <c r="I103" s="35" t="s">
        <v>77</v>
      </c>
      <c r="J103" s="36" t="n">
        <f aca="false">IF(OR($H103="",$I103=""),"",$H103+MATCH($I103,Listas!$F$5:$F$11,0)-1)</f>
        <v>46260</v>
      </c>
      <c r="K103" s="37"/>
      <c r="L103" s="33" t="s">
        <v>63</v>
      </c>
      <c r="M103" s="37" t="n">
        <v>46255</v>
      </c>
      <c r="N103" s="32"/>
      <c r="O103" s="32"/>
      <c r="P103" s="38" t="str">
        <f aca="true">IF($E103="","",IF($L103="Cancelada","Cancelada",IF(OR($K103&lt;&gt;"",$L103="Concluída"),IF(OR($J103="",$K103="",$K103&lt;=$J103),"Concluída","Concluída com atraso"),IF($J103="","Na carteira",IF($J103&lt;TODAY(),"VENCIDA",IF($L103="Em execução","Em execução",IF($J103=TODAY(),"Hoje","Programada")))))))</f>
        <v>Concluída</v>
      </c>
      <c r="Q103" s="31" t="str">
        <f aca="false">IF($E103="","",IF(ISNUMBER(SEARCH("(externo)",$G103)),"Terceirizada","Interna"))</f>
        <v>Interna</v>
      </c>
      <c r="R103" s="36" t="n">
        <f aca="false">IF($J103="","",IF($M103="",$J103,$M103))</f>
        <v>46255</v>
      </c>
      <c r="S103" s="31" t="n">
        <f aca="false">IF($E103="","",IF(OR($K103="",$J103=""),0,IF($K103&lt;=$J103,1,0)))</f>
        <v>0</v>
      </c>
      <c r="T103" s="31" t="n">
        <f aca="false">IF($E103="","",IF(OR($K103="",$R103=""),0,IF($K103&lt;=$R103,1,0)))</f>
        <v>0</v>
      </c>
      <c r="U103" s="38" t="str">
        <f aca="false">IF(OR($K103="",$J103=""),"",MAX(0,$K103-$J103))</f>
        <v/>
      </c>
      <c r="V103" s="31" t="n">
        <f aca="false">IF($E103="","",IF(AND($M103&lt;&gt;"",$J103&lt;&gt;"",$M103&lt;&gt;$J103),1,0))</f>
        <v>1</v>
      </c>
      <c r="W103" s="39" t="n">
        <f aca="false">IF($E103="","",IF($L103="Cancelada",0,IF(OR($K103&lt;&gt;"",$L103="Concluída"),1,0)))</f>
        <v>1</v>
      </c>
    </row>
    <row r="104" customFormat="false" ht="15" hidden="false" customHeight="true" outlineLevel="0" collapsed="false">
      <c r="A104" s="31" t="n">
        <f aca="false">IF($E104="","",COUNTA($E$5:$E104))</f>
        <v>100</v>
      </c>
      <c r="B104" s="32"/>
      <c r="C104" s="32" t="s">
        <v>125</v>
      </c>
      <c r="D104" s="32" t="s">
        <v>229</v>
      </c>
      <c r="E104" s="32" t="s">
        <v>293</v>
      </c>
      <c r="F104" s="33" t="s">
        <v>62</v>
      </c>
      <c r="G104" s="32" t="s">
        <v>256</v>
      </c>
      <c r="H104" s="34" t="n">
        <v>46258</v>
      </c>
      <c r="I104" s="35" t="s">
        <v>77</v>
      </c>
      <c r="J104" s="36" t="n">
        <f aca="false">IF(OR($H104="",$I104=""),"",$H104+MATCH($I104,Listas!$F$5:$F$11,0)-1)</f>
        <v>46260</v>
      </c>
      <c r="K104" s="37"/>
      <c r="L104" s="33" t="s">
        <v>63</v>
      </c>
      <c r="M104" s="37" t="n">
        <v>46255</v>
      </c>
      <c r="N104" s="32"/>
      <c r="O104" s="32"/>
      <c r="P104" s="38" t="str">
        <f aca="true">IF($E104="","",IF($L104="Cancelada","Cancelada",IF(OR($K104&lt;&gt;"",$L104="Concluída"),IF(OR($J104="",$K104="",$K104&lt;=$J104),"Concluída","Concluída com atraso"),IF($J104="","Na carteira",IF($J104&lt;TODAY(),"VENCIDA",IF($L104="Em execução","Em execução",IF($J104=TODAY(),"Hoje","Programada")))))))</f>
        <v>Concluída</v>
      </c>
      <c r="Q104" s="31" t="str">
        <f aca="false">IF($E104="","",IF(ISNUMBER(SEARCH("(externo)",$G104)),"Terceirizada","Interna"))</f>
        <v>Interna</v>
      </c>
      <c r="R104" s="36" t="n">
        <f aca="false">IF($J104="","",IF($M104="",$J104,$M104))</f>
        <v>46255</v>
      </c>
      <c r="S104" s="31" t="n">
        <f aca="false">IF($E104="","",IF(OR($K104="",$J104=""),0,IF($K104&lt;=$J104,1,0)))</f>
        <v>0</v>
      </c>
      <c r="T104" s="31" t="n">
        <f aca="false">IF($E104="","",IF(OR($K104="",$R104=""),0,IF($K104&lt;=$R104,1,0)))</f>
        <v>0</v>
      </c>
      <c r="U104" s="38" t="str">
        <f aca="false">IF(OR($K104="",$J104=""),"",MAX(0,$K104-$J104))</f>
        <v/>
      </c>
      <c r="V104" s="31" t="n">
        <f aca="false">IF($E104="","",IF(AND($M104&lt;&gt;"",$J104&lt;&gt;"",$M104&lt;&gt;$J104),1,0))</f>
        <v>1</v>
      </c>
      <c r="W104" s="39" t="n">
        <f aca="false">IF($E104="","",IF($L104="Cancelada",0,IF(OR($K104&lt;&gt;"",$L104="Concluída"),1,0)))</f>
        <v>1</v>
      </c>
    </row>
    <row r="105" customFormat="false" ht="15" hidden="false" customHeight="true" outlineLevel="0" collapsed="false">
      <c r="A105" s="31" t="n">
        <f aca="false">IF($E105="","",COUNTA($E$5:$E105))</f>
        <v>101</v>
      </c>
      <c r="B105" s="32"/>
      <c r="C105" s="32" t="s">
        <v>125</v>
      </c>
      <c r="D105" s="32" t="s">
        <v>229</v>
      </c>
      <c r="E105" s="32" t="s">
        <v>294</v>
      </c>
      <c r="F105" s="33" t="s">
        <v>62</v>
      </c>
      <c r="G105" s="32" t="s">
        <v>256</v>
      </c>
      <c r="H105" s="34" t="n">
        <v>46258</v>
      </c>
      <c r="I105" s="35" t="s">
        <v>77</v>
      </c>
      <c r="J105" s="36" t="n">
        <f aca="false">IF(OR($H105="",$I105=""),"",$H105+MATCH($I105,Listas!$F$5:$F$11,0)-1)</f>
        <v>46260</v>
      </c>
      <c r="K105" s="37"/>
      <c r="L105" s="33" t="s">
        <v>63</v>
      </c>
      <c r="M105" s="37" t="n">
        <v>46255</v>
      </c>
      <c r="N105" s="32"/>
      <c r="O105" s="32"/>
      <c r="P105" s="38" t="str">
        <f aca="true">IF($E105="","",IF($L105="Cancelada","Cancelada",IF(OR($K105&lt;&gt;"",$L105="Concluída"),IF(OR($J105="",$K105="",$K105&lt;=$J105),"Concluída","Concluída com atraso"),IF($J105="","Na carteira",IF($J105&lt;TODAY(),"VENCIDA",IF($L105="Em execução","Em execução",IF($J105=TODAY(),"Hoje","Programada")))))))</f>
        <v>Concluída</v>
      </c>
      <c r="Q105" s="31" t="str">
        <f aca="false">IF($E105="","",IF(ISNUMBER(SEARCH("(externo)",$G105)),"Terceirizada","Interna"))</f>
        <v>Interna</v>
      </c>
      <c r="R105" s="36" t="n">
        <f aca="false">IF($J105="","",IF($M105="",$J105,$M105))</f>
        <v>46255</v>
      </c>
      <c r="S105" s="31" t="n">
        <f aca="false">IF($E105="","",IF(OR($K105="",$J105=""),0,IF($K105&lt;=$J105,1,0)))</f>
        <v>0</v>
      </c>
      <c r="T105" s="31" t="n">
        <f aca="false">IF($E105="","",IF(OR($K105="",$R105=""),0,IF($K105&lt;=$R105,1,0)))</f>
        <v>0</v>
      </c>
      <c r="U105" s="38" t="str">
        <f aca="false">IF(OR($K105="",$J105=""),"",MAX(0,$K105-$J105))</f>
        <v/>
      </c>
      <c r="V105" s="31" t="n">
        <f aca="false">IF($E105="","",IF(AND($M105&lt;&gt;"",$J105&lt;&gt;"",$M105&lt;&gt;$J105),1,0))</f>
        <v>1</v>
      </c>
      <c r="W105" s="39" t="n">
        <f aca="false">IF($E105="","",IF($L105="Cancelada",0,IF(OR($K105&lt;&gt;"",$L105="Concluída"),1,0)))</f>
        <v>1</v>
      </c>
    </row>
    <row r="106" customFormat="false" ht="15" hidden="false" customHeight="true" outlineLevel="0" collapsed="false">
      <c r="A106" s="31" t="n">
        <f aca="false">IF($E106="","",COUNTA($E$5:$E106))</f>
        <v>102</v>
      </c>
      <c r="B106" s="32"/>
      <c r="C106" s="32" t="s">
        <v>125</v>
      </c>
      <c r="D106" s="32" t="s">
        <v>229</v>
      </c>
      <c r="E106" s="32" t="s">
        <v>295</v>
      </c>
      <c r="F106" s="33" t="s">
        <v>62</v>
      </c>
      <c r="G106" s="32" t="s">
        <v>256</v>
      </c>
      <c r="H106" s="34" t="n">
        <v>46258</v>
      </c>
      <c r="I106" s="35" t="s">
        <v>77</v>
      </c>
      <c r="J106" s="36" t="n">
        <f aca="false">IF(OR($H106="",$I106=""),"",$H106+MATCH($I106,Listas!$F$5:$F$11,0)-1)</f>
        <v>46260</v>
      </c>
      <c r="K106" s="37"/>
      <c r="L106" s="33" t="s">
        <v>63</v>
      </c>
      <c r="M106" s="37" t="n">
        <v>46255</v>
      </c>
      <c r="N106" s="32"/>
      <c r="O106" s="32"/>
      <c r="P106" s="38" t="str">
        <f aca="true">IF($E106="","",IF($L106="Cancelada","Cancelada",IF(OR($K106&lt;&gt;"",$L106="Concluída"),IF(OR($J106="",$K106="",$K106&lt;=$J106),"Concluída","Concluída com atraso"),IF($J106="","Na carteira",IF($J106&lt;TODAY(),"VENCIDA",IF($L106="Em execução","Em execução",IF($J106=TODAY(),"Hoje","Programada")))))))</f>
        <v>Concluída</v>
      </c>
      <c r="Q106" s="31" t="str">
        <f aca="false">IF($E106="","",IF(ISNUMBER(SEARCH("(externo)",$G106)),"Terceirizada","Interna"))</f>
        <v>Interna</v>
      </c>
      <c r="R106" s="36" t="n">
        <f aca="false">IF($J106="","",IF($M106="",$J106,$M106))</f>
        <v>46255</v>
      </c>
      <c r="S106" s="31" t="n">
        <f aca="false">IF($E106="","",IF(OR($K106="",$J106=""),0,IF($K106&lt;=$J106,1,0)))</f>
        <v>0</v>
      </c>
      <c r="T106" s="31" t="n">
        <f aca="false">IF($E106="","",IF(OR($K106="",$R106=""),0,IF($K106&lt;=$R106,1,0)))</f>
        <v>0</v>
      </c>
      <c r="U106" s="38" t="str">
        <f aca="false">IF(OR($K106="",$J106=""),"",MAX(0,$K106-$J106))</f>
        <v/>
      </c>
      <c r="V106" s="31" t="n">
        <f aca="false">IF($E106="","",IF(AND($M106&lt;&gt;"",$J106&lt;&gt;"",$M106&lt;&gt;$J106),1,0))</f>
        <v>1</v>
      </c>
      <c r="W106" s="39" t="n">
        <f aca="false">IF($E106="","",IF($L106="Cancelada",0,IF(OR($K106&lt;&gt;"",$L106="Concluída"),1,0)))</f>
        <v>1</v>
      </c>
    </row>
    <row r="107" customFormat="false" ht="15" hidden="false" customHeight="true" outlineLevel="0" collapsed="false">
      <c r="A107" s="31" t="n">
        <f aca="false">IF($E107="","",COUNTA($E$5:$E107))</f>
        <v>103</v>
      </c>
      <c r="B107" s="32"/>
      <c r="C107" s="32" t="s">
        <v>125</v>
      </c>
      <c r="D107" s="32" t="s">
        <v>229</v>
      </c>
      <c r="E107" s="32" t="s">
        <v>296</v>
      </c>
      <c r="F107" s="33" t="s">
        <v>62</v>
      </c>
      <c r="G107" s="32" t="s">
        <v>256</v>
      </c>
      <c r="H107" s="34" t="n">
        <v>46258</v>
      </c>
      <c r="I107" s="35" t="s">
        <v>77</v>
      </c>
      <c r="J107" s="36" t="n">
        <f aca="false">IF(OR($H107="",$I107=""),"",$H107+MATCH($I107,Listas!$F$5:$F$11,0)-1)</f>
        <v>46260</v>
      </c>
      <c r="K107" s="37"/>
      <c r="L107" s="33" t="s">
        <v>63</v>
      </c>
      <c r="M107" s="37" t="n">
        <v>46255</v>
      </c>
      <c r="N107" s="32"/>
      <c r="O107" s="32"/>
      <c r="P107" s="38" t="str">
        <f aca="true">IF($E107="","",IF($L107="Cancelada","Cancelada",IF(OR($K107&lt;&gt;"",$L107="Concluída"),IF(OR($J107="",$K107="",$K107&lt;=$J107),"Concluída","Concluída com atraso"),IF($J107="","Na carteira",IF($J107&lt;TODAY(),"VENCIDA",IF($L107="Em execução","Em execução",IF($J107=TODAY(),"Hoje","Programada")))))))</f>
        <v>Concluída</v>
      </c>
      <c r="Q107" s="31" t="str">
        <f aca="false">IF($E107="","",IF(ISNUMBER(SEARCH("(externo)",$G107)),"Terceirizada","Interna"))</f>
        <v>Interna</v>
      </c>
      <c r="R107" s="36" t="n">
        <f aca="false">IF($J107="","",IF($M107="",$J107,$M107))</f>
        <v>46255</v>
      </c>
      <c r="S107" s="31" t="n">
        <f aca="false">IF($E107="","",IF(OR($K107="",$J107=""),0,IF($K107&lt;=$J107,1,0)))</f>
        <v>0</v>
      </c>
      <c r="T107" s="31" t="n">
        <f aca="false">IF($E107="","",IF(OR($K107="",$R107=""),0,IF($K107&lt;=$R107,1,0)))</f>
        <v>0</v>
      </c>
      <c r="U107" s="38" t="str">
        <f aca="false">IF(OR($K107="",$J107=""),"",MAX(0,$K107-$J107))</f>
        <v/>
      </c>
      <c r="V107" s="31" t="n">
        <f aca="false">IF($E107="","",IF(AND($M107&lt;&gt;"",$J107&lt;&gt;"",$M107&lt;&gt;$J107),1,0))</f>
        <v>1</v>
      </c>
      <c r="W107" s="39" t="n">
        <f aca="false">IF($E107="","",IF($L107="Cancelada",0,IF(OR($K107&lt;&gt;"",$L107="Concluída"),1,0)))</f>
        <v>1</v>
      </c>
    </row>
    <row r="108" customFormat="false" ht="15" hidden="false" customHeight="true" outlineLevel="0" collapsed="false">
      <c r="A108" s="31" t="n">
        <f aca="false">IF($E108="","",COUNTA($E$5:$E108))</f>
        <v>104</v>
      </c>
      <c r="B108" s="32"/>
      <c r="C108" s="32" t="s">
        <v>125</v>
      </c>
      <c r="D108" s="32" t="s">
        <v>229</v>
      </c>
      <c r="E108" s="32" t="s">
        <v>297</v>
      </c>
      <c r="F108" s="33" t="s">
        <v>62</v>
      </c>
      <c r="G108" s="32" t="s">
        <v>256</v>
      </c>
      <c r="H108" s="34" t="n">
        <v>46258</v>
      </c>
      <c r="I108" s="35" t="s">
        <v>82</v>
      </c>
      <c r="J108" s="36" t="n">
        <f aca="false">IF(OR($H108="",$I108=""),"",$H108+MATCH($I108,Listas!$F$5:$F$11,0)-1)</f>
        <v>46261</v>
      </c>
      <c r="K108" s="37"/>
      <c r="L108" s="33" t="s">
        <v>63</v>
      </c>
      <c r="M108" s="37" t="n">
        <v>46255</v>
      </c>
      <c r="N108" s="32"/>
      <c r="O108" s="32"/>
      <c r="P108" s="38" t="str">
        <f aca="true">IF($E108="","",IF($L108="Cancelada","Cancelada",IF(OR($K108&lt;&gt;"",$L108="Concluída"),IF(OR($J108="",$K108="",$K108&lt;=$J108),"Concluída","Concluída com atraso"),IF($J108="","Na carteira",IF($J108&lt;TODAY(),"VENCIDA",IF($L108="Em execução","Em execução",IF($J108=TODAY(),"Hoje","Programada")))))))</f>
        <v>Concluída</v>
      </c>
      <c r="Q108" s="31" t="str">
        <f aca="false">IF($E108="","",IF(ISNUMBER(SEARCH("(externo)",$G108)),"Terceirizada","Interna"))</f>
        <v>Interna</v>
      </c>
      <c r="R108" s="36" t="n">
        <f aca="false">IF($J108="","",IF($M108="",$J108,$M108))</f>
        <v>46255</v>
      </c>
      <c r="S108" s="31" t="n">
        <f aca="false">IF($E108="","",IF(OR($K108="",$J108=""),0,IF($K108&lt;=$J108,1,0)))</f>
        <v>0</v>
      </c>
      <c r="T108" s="31" t="n">
        <f aca="false">IF($E108="","",IF(OR($K108="",$R108=""),0,IF($K108&lt;=$R108,1,0)))</f>
        <v>0</v>
      </c>
      <c r="U108" s="38" t="str">
        <f aca="false">IF(OR($K108="",$J108=""),"",MAX(0,$K108-$J108))</f>
        <v/>
      </c>
      <c r="V108" s="31" t="n">
        <f aca="false">IF($E108="","",IF(AND($M108&lt;&gt;"",$J108&lt;&gt;"",$M108&lt;&gt;$J108),1,0))</f>
        <v>1</v>
      </c>
      <c r="W108" s="39" t="n">
        <f aca="false">IF($E108="","",IF($L108="Cancelada",0,IF(OR($K108&lt;&gt;"",$L108="Concluída"),1,0)))</f>
        <v>1</v>
      </c>
    </row>
    <row r="109" customFormat="false" ht="15" hidden="false" customHeight="true" outlineLevel="0" collapsed="false">
      <c r="A109" s="31" t="n">
        <f aca="false">IF($E109="","",COUNTA($E$5:$E109))</f>
        <v>105</v>
      </c>
      <c r="B109" s="32"/>
      <c r="C109" s="32" t="s">
        <v>125</v>
      </c>
      <c r="D109" s="32" t="s">
        <v>229</v>
      </c>
      <c r="E109" s="32" t="s">
        <v>298</v>
      </c>
      <c r="F109" s="33" t="s">
        <v>62</v>
      </c>
      <c r="G109" s="32" t="s">
        <v>256</v>
      </c>
      <c r="H109" s="34" t="n">
        <v>46258</v>
      </c>
      <c r="I109" s="35" t="s">
        <v>82</v>
      </c>
      <c r="J109" s="36" t="n">
        <f aca="false">IF(OR($H109="",$I109=""),"",$H109+MATCH($I109,Listas!$F$5:$F$11,0)-1)</f>
        <v>46261</v>
      </c>
      <c r="K109" s="37"/>
      <c r="L109" s="33" t="s">
        <v>63</v>
      </c>
      <c r="M109" s="37" t="n">
        <v>46255</v>
      </c>
      <c r="N109" s="32"/>
      <c r="O109" s="32"/>
      <c r="P109" s="38" t="str">
        <f aca="true">IF($E109="","",IF($L109="Cancelada","Cancelada",IF(OR($K109&lt;&gt;"",$L109="Concluída"),IF(OR($J109="",$K109="",$K109&lt;=$J109),"Concluída","Concluída com atraso"),IF($J109="","Na carteira",IF($J109&lt;TODAY(),"VENCIDA",IF($L109="Em execução","Em execução",IF($J109=TODAY(),"Hoje","Programada")))))))</f>
        <v>Concluída</v>
      </c>
      <c r="Q109" s="31" t="str">
        <f aca="false">IF($E109="","",IF(ISNUMBER(SEARCH("(externo)",$G109)),"Terceirizada","Interna"))</f>
        <v>Interna</v>
      </c>
      <c r="R109" s="36" t="n">
        <f aca="false">IF($J109="","",IF($M109="",$J109,$M109))</f>
        <v>46255</v>
      </c>
      <c r="S109" s="31" t="n">
        <f aca="false">IF($E109="","",IF(OR($K109="",$J109=""),0,IF($K109&lt;=$J109,1,0)))</f>
        <v>0</v>
      </c>
      <c r="T109" s="31" t="n">
        <f aca="false">IF($E109="","",IF(OR($K109="",$R109=""),0,IF($K109&lt;=$R109,1,0)))</f>
        <v>0</v>
      </c>
      <c r="U109" s="38" t="str">
        <f aca="false">IF(OR($K109="",$J109=""),"",MAX(0,$K109-$J109))</f>
        <v/>
      </c>
      <c r="V109" s="31" t="n">
        <f aca="false">IF($E109="","",IF(AND($M109&lt;&gt;"",$J109&lt;&gt;"",$M109&lt;&gt;$J109),1,0))</f>
        <v>1</v>
      </c>
      <c r="W109" s="39" t="n">
        <f aca="false">IF($E109="","",IF($L109="Cancelada",0,IF(OR($K109&lt;&gt;"",$L109="Concluída"),1,0)))</f>
        <v>1</v>
      </c>
    </row>
    <row r="110" customFormat="false" ht="15" hidden="false" customHeight="true" outlineLevel="0" collapsed="false">
      <c r="A110" s="31" t="n">
        <f aca="false">IF($E110="","",COUNTA($E$5:$E110))</f>
        <v>106</v>
      </c>
      <c r="B110" s="32"/>
      <c r="C110" s="32" t="s">
        <v>125</v>
      </c>
      <c r="D110" s="32" t="s">
        <v>229</v>
      </c>
      <c r="E110" s="32" t="s">
        <v>299</v>
      </c>
      <c r="F110" s="33" t="s">
        <v>62</v>
      </c>
      <c r="G110" s="32" t="s">
        <v>256</v>
      </c>
      <c r="H110" s="34" t="n">
        <v>46258</v>
      </c>
      <c r="I110" s="35" t="s">
        <v>82</v>
      </c>
      <c r="J110" s="36" t="n">
        <f aca="false">IF(OR($H110="",$I110=""),"",$H110+MATCH($I110,Listas!$F$5:$F$11,0)-1)</f>
        <v>46261</v>
      </c>
      <c r="K110" s="37"/>
      <c r="L110" s="33" t="s">
        <v>63</v>
      </c>
      <c r="M110" s="37" t="n">
        <v>46255</v>
      </c>
      <c r="N110" s="32"/>
      <c r="O110" s="32"/>
      <c r="P110" s="38" t="str">
        <f aca="true">IF($E110="","",IF($L110="Cancelada","Cancelada",IF(OR($K110&lt;&gt;"",$L110="Concluída"),IF(OR($J110="",$K110="",$K110&lt;=$J110),"Concluída","Concluída com atraso"),IF($J110="","Na carteira",IF($J110&lt;TODAY(),"VENCIDA",IF($L110="Em execução","Em execução",IF($J110=TODAY(),"Hoje","Programada")))))))</f>
        <v>Concluída</v>
      </c>
      <c r="Q110" s="31" t="str">
        <f aca="false">IF($E110="","",IF(ISNUMBER(SEARCH("(externo)",$G110)),"Terceirizada","Interna"))</f>
        <v>Interna</v>
      </c>
      <c r="R110" s="36" t="n">
        <f aca="false">IF($J110="","",IF($M110="",$J110,$M110))</f>
        <v>46255</v>
      </c>
      <c r="S110" s="31" t="n">
        <f aca="false">IF($E110="","",IF(OR($K110="",$J110=""),0,IF($K110&lt;=$J110,1,0)))</f>
        <v>0</v>
      </c>
      <c r="T110" s="31" t="n">
        <f aca="false">IF($E110="","",IF(OR($K110="",$R110=""),0,IF($K110&lt;=$R110,1,0)))</f>
        <v>0</v>
      </c>
      <c r="U110" s="38" t="str">
        <f aca="false">IF(OR($K110="",$J110=""),"",MAX(0,$K110-$J110))</f>
        <v/>
      </c>
      <c r="V110" s="31" t="n">
        <f aca="false">IF($E110="","",IF(AND($M110&lt;&gt;"",$J110&lt;&gt;"",$M110&lt;&gt;$J110),1,0))</f>
        <v>1</v>
      </c>
      <c r="W110" s="39" t="n">
        <f aca="false">IF($E110="","",IF($L110="Cancelada",0,IF(OR($K110&lt;&gt;"",$L110="Concluída"),1,0)))</f>
        <v>1</v>
      </c>
    </row>
    <row r="111" customFormat="false" ht="15" hidden="false" customHeight="true" outlineLevel="0" collapsed="false">
      <c r="A111" s="31" t="n">
        <f aca="false">IF($E111="","",COUNTA($E$5:$E111))</f>
        <v>107</v>
      </c>
      <c r="B111" s="32"/>
      <c r="C111" s="32" t="s">
        <v>125</v>
      </c>
      <c r="D111" s="32" t="s">
        <v>229</v>
      </c>
      <c r="E111" s="32" t="s">
        <v>300</v>
      </c>
      <c r="F111" s="33" t="s">
        <v>62</v>
      </c>
      <c r="G111" s="32" t="s">
        <v>256</v>
      </c>
      <c r="H111" s="34" t="n">
        <v>46258</v>
      </c>
      <c r="I111" s="35" t="s">
        <v>82</v>
      </c>
      <c r="J111" s="36" t="n">
        <f aca="false">IF(OR($H111="",$I111=""),"",$H111+MATCH($I111,Listas!$F$5:$F$11,0)-1)</f>
        <v>46261</v>
      </c>
      <c r="K111" s="37"/>
      <c r="L111" s="33" t="s">
        <v>63</v>
      </c>
      <c r="M111" s="37" t="n">
        <v>46255</v>
      </c>
      <c r="N111" s="32"/>
      <c r="O111" s="32"/>
      <c r="P111" s="38" t="str">
        <f aca="true">IF($E111="","",IF($L111="Cancelada","Cancelada",IF(OR($K111&lt;&gt;"",$L111="Concluída"),IF(OR($J111="",$K111="",$K111&lt;=$J111),"Concluída","Concluída com atraso"),IF($J111="","Na carteira",IF($J111&lt;TODAY(),"VENCIDA",IF($L111="Em execução","Em execução",IF($J111=TODAY(),"Hoje","Programada")))))))</f>
        <v>Concluída</v>
      </c>
      <c r="Q111" s="31" t="str">
        <f aca="false">IF($E111="","",IF(ISNUMBER(SEARCH("(externo)",$G111)),"Terceirizada","Interna"))</f>
        <v>Interna</v>
      </c>
      <c r="R111" s="36" t="n">
        <f aca="false">IF($J111="","",IF($M111="",$J111,$M111))</f>
        <v>46255</v>
      </c>
      <c r="S111" s="31" t="n">
        <f aca="false">IF($E111="","",IF(OR($K111="",$J111=""),0,IF($K111&lt;=$J111,1,0)))</f>
        <v>0</v>
      </c>
      <c r="T111" s="31" t="n">
        <f aca="false">IF($E111="","",IF(OR($K111="",$R111=""),0,IF($K111&lt;=$R111,1,0)))</f>
        <v>0</v>
      </c>
      <c r="U111" s="38" t="str">
        <f aca="false">IF(OR($K111="",$J111=""),"",MAX(0,$K111-$J111))</f>
        <v/>
      </c>
      <c r="V111" s="31" t="n">
        <f aca="false">IF($E111="","",IF(AND($M111&lt;&gt;"",$J111&lt;&gt;"",$M111&lt;&gt;$J111),1,0))</f>
        <v>1</v>
      </c>
      <c r="W111" s="39" t="n">
        <f aca="false">IF($E111="","",IF($L111="Cancelada",0,IF(OR($K111&lt;&gt;"",$L111="Concluída"),1,0)))</f>
        <v>1</v>
      </c>
    </row>
    <row r="112" customFormat="false" ht="15" hidden="false" customHeight="true" outlineLevel="0" collapsed="false">
      <c r="A112" s="31" t="n">
        <f aca="false">IF($E112="","",COUNTA($E$5:$E112))</f>
        <v>108</v>
      </c>
      <c r="B112" s="32"/>
      <c r="C112" s="32" t="s">
        <v>125</v>
      </c>
      <c r="D112" s="32" t="s">
        <v>229</v>
      </c>
      <c r="E112" s="32" t="s">
        <v>301</v>
      </c>
      <c r="F112" s="33" t="s">
        <v>62</v>
      </c>
      <c r="G112" s="32" t="s">
        <v>256</v>
      </c>
      <c r="H112" s="34" t="n">
        <v>46258</v>
      </c>
      <c r="I112" s="35" t="s">
        <v>82</v>
      </c>
      <c r="J112" s="36" t="n">
        <f aca="false">IF(OR($H112="",$I112=""),"",$H112+MATCH($I112,Listas!$F$5:$F$11,0)-1)</f>
        <v>46261</v>
      </c>
      <c r="K112" s="37"/>
      <c r="L112" s="33" t="s">
        <v>63</v>
      </c>
      <c r="M112" s="37" t="n">
        <v>46255</v>
      </c>
      <c r="N112" s="32"/>
      <c r="O112" s="32"/>
      <c r="P112" s="38" t="str">
        <f aca="true">IF($E112="","",IF($L112="Cancelada","Cancelada",IF(OR($K112&lt;&gt;"",$L112="Concluída"),IF(OR($J112="",$K112="",$K112&lt;=$J112),"Concluída","Concluída com atraso"),IF($J112="","Na carteira",IF($J112&lt;TODAY(),"VENCIDA",IF($L112="Em execução","Em execução",IF($J112=TODAY(),"Hoje","Programada")))))))</f>
        <v>Concluída</v>
      </c>
      <c r="Q112" s="31" t="str">
        <f aca="false">IF($E112="","",IF(ISNUMBER(SEARCH("(externo)",$G112)),"Terceirizada","Interna"))</f>
        <v>Interna</v>
      </c>
      <c r="R112" s="36" t="n">
        <f aca="false">IF($J112="","",IF($M112="",$J112,$M112))</f>
        <v>46255</v>
      </c>
      <c r="S112" s="31" t="n">
        <f aca="false">IF($E112="","",IF(OR($K112="",$J112=""),0,IF($K112&lt;=$J112,1,0)))</f>
        <v>0</v>
      </c>
      <c r="T112" s="31" t="n">
        <f aca="false">IF($E112="","",IF(OR($K112="",$R112=""),0,IF($K112&lt;=$R112,1,0)))</f>
        <v>0</v>
      </c>
      <c r="U112" s="38" t="str">
        <f aca="false">IF(OR($K112="",$J112=""),"",MAX(0,$K112-$J112))</f>
        <v/>
      </c>
      <c r="V112" s="31" t="n">
        <f aca="false">IF($E112="","",IF(AND($M112&lt;&gt;"",$J112&lt;&gt;"",$M112&lt;&gt;$J112),1,0))</f>
        <v>1</v>
      </c>
      <c r="W112" s="39" t="n">
        <f aca="false">IF($E112="","",IF($L112="Cancelada",0,IF(OR($K112&lt;&gt;"",$L112="Concluída"),1,0)))</f>
        <v>1</v>
      </c>
    </row>
    <row r="113" customFormat="false" ht="15" hidden="false" customHeight="true" outlineLevel="0" collapsed="false">
      <c r="A113" s="31" t="n">
        <f aca="false">IF($E113="","",COUNTA($E$5:$E113))</f>
        <v>109</v>
      </c>
      <c r="B113" s="32"/>
      <c r="C113" s="32" t="s">
        <v>127</v>
      </c>
      <c r="D113" s="32" t="s">
        <v>302</v>
      </c>
      <c r="E113" s="32" t="s">
        <v>303</v>
      </c>
      <c r="F113" s="33" t="s">
        <v>62</v>
      </c>
      <c r="G113" s="32" t="s">
        <v>88</v>
      </c>
      <c r="H113" s="34" t="n">
        <v>46258</v>
      </c>
      <c r="I113" s="35" t="s">
        <v>77</v>
      </c>
      <c r="J113" s="36" t="n">
        <f aca="false">IF(OR($H113="",$I113=""),"",$H113+MATCH($I113,Listas!$F$5:$F$11,0)-1)</f>
        <v>46260</v>
      </c>
      <c r="K113" s="37"/>
      <c r="L113" s="33" t="s">
        <v>69</v>
      </c>
      <c r="M113" s="37"/>
      <c r="N113" s="32"/>
      <c r="O113" s="32"/>
      <c r="P113" s="38" t="str">
        <f aca="true">IF($E113="","",IF($L113="Cancelada","Cancelada",IF(OR($K113&lt;&gt;"",$L113="Concluída"),IF(OR($J113="",$K113="",$K113&lt;=$J113),"Concluída","Concluída com atraso"),IF($J113="","Na carteira",IF($J113&lt;TODAY(),"VENCIDA",IF($L113="Em execução","Em execução",IF($J113=TODAY(),"Hoje","Programada")))))))</f>
        <v>Em execução</v>
      </c>
      <c r="Q113" s="31" t="str">
        <f aca="false">IF($E113="","",IF(ISNUMBER(SEARCH("(externo)",$G113)),"Terceirizada","Interna"))</f>
        <v>Interna</v>
      </c>
      <c r="R113" s="36" t="n">
        <f aca="false">IF($J113="","",IF($M113="",$J113,$M113))</f>
        <v>46260</v>
      </c>
      <c r="S113" s="31" t="n">
        <f aca="false">IF($E113="","",IF(OR($K113="",$J113=""),0,IF($K113&lt;=$J113,1,0)))</f>
        <v>0</v>
      </c>
      <c r="T113" s="31" t="n">
        <f aca="false">IF($E113="","",IF(OR($K113="",$R113=""),0,IF($K113&lt;=$R113,1,0)))</f>
        <v>0</v>
      </c>
      <c r="U113" s="38" t="str">
        <f aca="false">IF(OR($K113="",$J113=""),"",MAX(0,$K113-$J113))</f>
        <v/>
      </c>
      <c r="V113" s="31" t="n">
        <f aca="false">IF($E113="","",IF(AND($M113&lt;&gt;"",$J113&lt;&gt;"",$M113&lt;&gt;$J113),1,0))</f>
        <v>0</v>
      </c>
      <c r="W113" s="39" t="n">
        <f aca="false">IF($E113="","",IF($L113="Cancelada",0,IF(OR($K113&lt;&gt;"",$L113="Concluída"),1,0)))</f>
        <v>0</v>
      </c>
    </row>
    <row r="114" customFormat="false" ht="15" hidden="false" customHeight="true" outlineLevel="0" collapsed="false">
      <c r="A114" s="31" t="n">
        <f aca="false">IF($E114="","",COUNTA($E$5:$E114))</f>
        <v>110</v>
      </c>
      <c r="B114" s="32"/>
      <c r="C114" s="32" t="s">
        <v>133</v>
      </c>
      <c r="D114" s="32" t="s">
        <v>179</v>
      </c>
      <c r="E114" s="32" t="s">
        <v>304</v>
      </c>
      <c r="F114" s="33" t="s">
        <v>62</v>
      </c>
      <c r="G114" s="32" t="s">
        <v>181</v>
      </c>
      <c r="H114" s="34" t="n">
        <v>46258</v>
      </c>
      <c r="I114" s="35" t="s">
        <v>82</v>
      </c>
      <c r="J114" s="36" t="n">
        <f aca="false">IF(OR($H114="",$I114=""),"",$H114+MATCH($I114,Listas!$F$5:$F$11,0)-1)</f>
        <v>46261</v>
      </c>
      <c r="K114" s="37"/>
      <c r="L114" s="33"/>
      <c r="M114" s="37"/>
      <c r="N114" s="32"/>
      <c r="O114" s="32"/>
      <c r="P114" s="38" t="str">
        <f aca="true">IF($E114="","",IF($L114="Cancelada","Cancelada",IF(OR($K114&lt;&gt;"",$L114="Concluída"),IF(OR($J114="",$K114="",$K114&lt;=$J114),"Concluída","Concluída com atraso"),IF($J114="","Na carteira",IF($J114&lt;TODAY(),"VENCIDA",IF($L114="Em execução","Em execução",IF($J114=TODAY(),"Hoje","Programada")))))))</f>
        <v>Programada</v>
      </c>
      <c r="Q114" s="31" t="str">
        <f aca="false">IF($E114="","",IF(ISNUMBER(SEARCH("(externo)",$G114)),"Terceirizada","Interna"))</f>
        <v>Interna</v>
      </c>
      <c r="R114" s="36" t="n">
        <f aca="false">IF($J114="","",IF($M114="",$J114,$M114))</f>
        <v>46261</v>
      </c>
      <c r="S114" s="31" t="n">
        <f aca="false">IF($E114="","",IF(OR($K114="",$J114=""),0,IF($K114&lt;=$J114,1,0)))</f>
        <v>0</v>
      </c>
      <c r="T114" s="31" t="n">
        <f aca="false">IF($E114="","",IF(OR($K114="",$R114=""),0,IF($K114&lt;=$R114,1,0)))</f>
        <v>0</v>
      </c>
      <c r="U114" s="38" t="str">
        <f aca="false">IF(OR($K114="",$J114=""),"",MAX(0,$K114-$J114))</f>
        <v/>
      </c>
      <c r="V114" s="31" t="n">
        <f aca="false">IF($E114="","",IF(AND($M114&lt;&gt;"",$J114&lt;&gt;"",$M114&lt;&gt;$J114),1,0))</f>
        <v>0</v>
      </c>
      <c r="W114" s="39" t="n">
        <f aca="false">IF($E114="","",IF($L114="Cancelada",0,IF(OR($K114&lt;&gt;"",$L114="Concluída"),1,0)))</f>
        <v>0</v>
      </c>
    </row>
    <row r="115" customFormat="false" ht="15" hidden="false" customHeight="true" outlineLevel="0" collapsed="false">
      <c r="A115" s="31" t="n">
        <f aca="false">IF($E115="","",COUNTA($E$5:$E115))</f>
        <v>111</v>
      </c>
      <c r="B115" s="32"/>
      <c r="C115" s="32" t="s">
        <v>133</v>
      </c>
      <c r="D115" s="32" t="s">
        <v>179</v>
      </c>
      <c r="E115" s="32" t="s">
        <v>179</v>
      </c>
      <c r="F115" s="33" t="s">
        <v>62</v>
      </c>
      <c r="G115" s="32" t="s">
        <v>181</v>
      </c>
      <c r="H115" s="34" t="n">
        <v>46258</v>
      </c>
      <c r="I115" s="35" t="s">
        <v>82</v>
      </c>
      <c r="J115" s="36" t="n">
        <f aca="false">IF(OR($H115="",$I115=""),"",$H115+MATCH($I115,Listas!$F$5:$F$11,0)-1)</f>
        <v>46261</v>
      </c>
      <c r="K115" s="37"/>
      <c r="L115" s="33"/>
      <c r="M115" s="37"/>
      <c r="N115" s="32"/>
      <c r="O115" s="32"/>
      <c r="P115" s="38" t="str">
        <f aca="true">IF($E115="","",IF($L115="Cancelada","Cancelada",IF(OR($K115&lt;&gt;"",$L115="Concluída"),IF(OR($J115="",$K115="",$K115&lt;=$J115),"Concluída","Concluída com atraso"),IF($J115="","Na carteira",IF($J115&lt;TODAY(),"VENCIDA",IF($L115="Em execução","Em execução",IF($J115=TODAY(),"Hoje","Programada")))))))</f>
        <v>Programada</v>
      </c>
      <c r="Q115" s="31" t="str">
        <f aca="false">IF($E115="","",IF(ISNUMBER(SEARCH("(externo)",$G115)),"Terceirizada","Interna"))</f>
        <v>Interna</v>
      </c>
      <c r="R115" s="36" t="n">
        <f aca="false">IF($J115="","",IF($M115="",$J115,$M115))</f>
        <v>46261</v>
      </c>
      <c r="S115" s="31" t="n">
        <f aca="false">IF($E115="","",IF(OR($K115="",$J115=""),0,IF($K115&lt;=$J115,1,0)))</f>
        <v>0</v>
      </c>
      <c r="T115" s="31" t="n">
        <f aca="false">IF($E115="","",IF(OR($K115="",$R115=""),0,IF($K115&lt;=$R115,1,0)))</f>
        <v>0</v>
      </c>
      <c r="U115" s="38" t="str">
        <f aca="false">IF(OR($K115="",$J115=""),"",MAX(0,$K115-$J115))</f>
        <v/>
      </c>
      <c r="V115" s="31" t="n">
        <f aca="false">IF($E115="","",IF(AND($M115&lt;&gt;"",$J115&lt;&gt;"",$M115&lt;&gt;$J115),1,0))</f>
        <v>0</v>
      </c>
      <c r="W115" s="39" t="n">
        <f aca="false">IF($E115="","",IF($L115="Cancelada",0,IF(OR($K115&lt;&gt;"",$L115="Concluída"),1,0)))</f>
        <v>0</v>
      </c>
    </row>
    <row r="116" customFormat="false" ht="15" hidden="false" customHeight="true" outlineLevel="0" collapsed="false">
      <c r="A116" s="31" t="n">
        <f aca="false">IF($E116="","",COUNTA($E$5:$E116))</f>
        <v>112</v>
      </c>
      <c r="B116" s="32"/>
      <c r="C116" s="32" t="s">
        <v>134</v>
      </c>
      <c r="D116" s="32" t="s">
        <v>179</v>
      </c>
      <c r="E116" s="32" t="s">
        <v>180</v>
      </c>
      <c r="F116" s="33" t="s">
        <v>62</v>
      </c>
      <c r="G116" s="32" t="s">
        <v>181</v>
      </c>
      <c r="H116" s="34" t="n">
        <v>46258</v>
      </c>
      <c r="I116" s="35" t="s">
        <v>77</v>
      </c>
      <c r="J116" s="36" t="n">
        <f aca="false">IF(OR($H116="",$I116=""),"",$H116+MATCH($I116,Listas!$F$5:$F$11,0)-1)</f>
        <v>46260</v>
      </c>
      <c r="K116" s="37"/>
      <c r="L116" s="33" t="s">
        <v>63</v>
      </c>
      <c r="M116" s="37"/>
      <c r="N116" s="32"/>
      <c r="O116" s="32"/>
      <c r="P116" s="38" t="str">
        <f aca="true">IF($E116="","",IF($L116="Cancelada","Cancelada",IF(OR($K116&lt;&gt;"",$L116="Concluída"),IF(OR($J116="",$K116="",$K116&lt;=$J116),"Concluída","Concluída com atraso"),IF($J116="","Na carteira",IF($J116&lt;TODAY(),"VENCIDA",IF($L116="Em execução","Em execução",IF($J116=TODAY(),"Hoje","Programada")))))))</f>
        <v>Concluída</v>
      </c>
      <c r="Q116" s="31" t="str">
        <f aca="false">IF($E116="","",IF(ISNUMBER(SEARCH("(externo)",$G116)),"Terceirizada","Interna"))</f>
        <v>Interna</v>
      </c>
      <c r="R116" s="36" t="n">
        <f aca="false">IF($J116="","",IF($M116="",$J116,$M116))</f>
        <v>46260</v>
      </c>
      <c r="S116" s="31" t="n">
        <f aca="false">IF($E116="","",IF(OR($K116="",$J116=""),0,IF($K116&lt;=$J116,1,0)))</f>
        <v>0</v>
      </c>
      <c r="T116" s="31" t="n">
        <f aca="false">IF($E116="","",IF(OR($K116="",$R116=""),0,IF($K116&lt;=$R116,1,0)))</f>
        <v>0</v>
      </c>
      <c r="U116" s="38" t="str">
        <f aca="false">IF(OR($K116="",$J116=""),"",MAX(0,$K116-$J116))</f>
        <v/>
      </c>
      <c r="V116" s="31" t="n">
        <f aca="false">IF($E116="","",IF(AND($M116&lt;&gt;"",$J116&lt;&gt;"",$M116&lt;&gt;$J116),1,0))</f>
        <v>0</v>
      </c>
      <c r="W116" s="39" t="n">
        <f aca="false">IF($E116="","",IF($L116="Cancelada",0,IF(OR($K116&lt;&gt;"",$L116="Concluída"),1,0)))</f>
        <v>1</v>
      </c>
    </row>
    <row r="117" customFormat="false" ht="15" hidden="false" customHeight="true" outlineLevel="0" collapsed="false">
      <c r="A117" s="31" t="n">
        <f aca="false">IF($E117="","",COUNTA($E$5:$E117))</f>
        <v>113</v>
      </c>
      <c r="B117" s="32"/>
      <c r="C117" s="32" t="s">
        <v>134</v>
      </c>
      <c r="D117" s="32" t="s">
        <v>179</v>
      </c>
      <c r="E117" s="32" t="s">
        <v>305</v>
      </c>
      <c r="F117" s="33" t="s">
        <v>62</v>
      </c>
      <c r="G117" s="32" t="s">
        <v>181</v>
      </c>
      <c r="H117" s="34" t="n">
        <v>46258</v>
      </c>
      <c r="I117" s="35" t="s">
        <v>77</v>
      </c>
      <c r="J117" s="36" t="n">
        <f aca="false">IF(OR($H117="",$I117=""),"",$H117+MATCH($I117,Listas!$F$5:$F$11,0)-1)</f>
        <v>46260</v>
      </c>
      <c r="K117" s="37"/>
      <c r="L117" s="33" t="s">
        <v>63</v>
      </c>
      <c r="M117" s="37"/>
      <c r="N117" s="32"/>
      <c r="O117" s="32"/>
      <c r="P117" s="38" t="str">
        <f aca="true">IF($E117="","",IF($L117="Cancelada","Cancelada",IF(OR($K117&lt;&gt;"",$L117="Concluída"),IF(OR($J117="",$K117="",$K117&lt;=$J117),"Concluída","Concluída com atraso"),IF($J117="","Na carteira",IF($J117&lt;TODAY(),"VENCIDA",IF($L117="Em execução","Em execução",IF($J117=TODAY(),"Hoje","Programada")))))))</f>
        <v>Concluída</v>
      </c>
      <c r="Q117" s="31" t="str">
        <f aca="false">IF($E117="","",IF(ISNUMBER(SEARCH("(externo)",$G117)),"Terceirizada","Interna"))</f>
        <v>Interna</v>
      </c>
      <c r="R117" s="36" t="n">
        <f aca="false">IF($J117="","",IF($M117="",$J117,$M117))</f>
        <v>46260</v>
      </c>
      <c r="S117" s="31" t="n">
        <f aca="false">IF($E117="","",IF(OR($K117="",$J117=""),0,IF($K117&lt;=$J117,1,0)))</f>
        <v>0</v>
      </c>
      <c r="T117" s="31" t="n">
        <f aca="false">IF($E117="","",IF(OR($K117="",$R117=""),0,IF($K117&lt;=$R117,1,0)))</f>
        <v>0</v>
      </c>
      <c r="U117" s="38" t="str">
        <f aca="false">IF(OR($K117="",$J117=""),"",MAX(0,$K117-$J117))</f>
        <v/>
      </c>
      <c r="V117" s="31" t="n">
        <f aca="false">IF($E117="","",IF(AND($M117&lt;&gt;"",$J117&lt;&gt;"",$M117&lt;&gt;$J117),1,0))</f>
        <v>0</v>
      </c>
      <c r="W117" s="39" t="n">
        <f aca="false">IF($E117="","",IF($L117="Cancelada",0,IF(OR($K117&lt;&gt;"",$L117="Concluída"),1,0)))</f>
        <v>1</v>
      </c>
    </row>
    <row r="118" customFormat="false" ht="15" hidden="false" customHeight="true" outlineLevel="0" collapsed="false">
      <c r="A118" s="31" t="n">
        <f aca="false">IF($E118="","",COUNTA($E$5:$E118))</f>
        <v>114</v>
      </c>
      <c r="B118" s="32"/>
      <c r="C118" s="32" t="s">
        <v>134</v>
      </c>
      <c r="D118" s="32" t="s">
        <v>179</v>
      </c>
      <c r="E118" s="32" t="s">
        <v>306</v>
      </c>
      <c r="F118" s="33" t="s">
        <v>62</v>
      </c>
      <c r="G118" s="32" t="s">
        <v>181</v>
      </c>
      <c r="H118" s="34" t="n">
        <v>46258</v>
      </c>
      <c r="I118" s="35" t="s">
        <v>77</v>
      </c>
      <c r="J118" s="36" t="n">
        <f aca="false">IF(OR($H118="",$I118=""),"",$H118+MATCH($I118,Listas!$F$5:$F$11,0)-1)</f>
        <v>46260</v>
      </c>
      <c r="K118" s="37"/>
      <c r="L118" s="33" t="s">
        <v>63</v>
      </c>
      <c r="M118" s="37"/>
      <c r="N118" s="32"/>
      <c r="O118" s="32"/>
      <c r="P118" s="38" t="str">
        <f aca="true">IF($E118="","",IF($L118="Cancelada","Cancelada",IF(OR($K118&lt;&gt;"",$L118="Concluída"),IF(OR($J118="",$K118="",$K118&lt;=$J118),"Concluída","Concluída com atraso"),IF($J118="","Na carteira",IF($J118&lt;TODAY(),"VENCIDA",IF($L118="Em execução","Em execução",IF($J118=TODAY(),"Hoje","Programada")))))))</f>
        <v>Concluída</v>
      </c>
      <c r="Q118" s="31" t="str">
        <f aca="false">IF($E118="","",IF(ISNUMBER(SEARCH("(externo)",$G118)),"Terceirizada","Interna"))</f>
        <v>Interna</v>
      </c>
      <c r="R118" s="36" t="n">
        <f aca="false">IF($J118="","",IF($M118="",$J118,$M118))</f>
        <v>46260</v>
      </c>
      <c r="S118" s="31" t="n">
        <f aca="false">IF($E118="","",IF(OR($K118="",$J118=""),0,IF($K118&lt;=$J118,1,0)))</f>
        <v>0</v>
      </c>
      <c r="T118" s="31" t="n">
        <f aca="false">IF($E118="","",IF(OR($K118="",$R118=""),0,IF($K118&lt;=$R118,1,0)))</f>
        <v>0</v>
      </c>
      <c r="U118" s="38" t="str">
        <f aca="false">IF(OR($K118="",$J118=""),"",MAX(0,$K118-$J118))</f>
        <v/>
      </c>
      <c r="V118" s="31" t="n">
        <f aca="false">IF($E118="","",IF(AND($M118&lt;&gt;"",$J118&lt;&gt;"",$M118&lt;&gt;$J118),1,0))</f>
        <v>0</v>
      </c>
      <c r="W118" s="39" t="n">
        <f aca="false">IF($E118="","",IF($L118="Cancelada",0,IF(OR($K118&lt;&gt;"",$L118="Concluída"),1,0)))</f>
        <v>1</v>
      </c>
    </row>
    <row r="119" customFormat="false" ht="15" hidden="false" customHeight="true" outlineLevel="0" collapsed="false">
      <c r="A119" s="31" t="n">
        <f aca="false">IF($E119="","",COUNTA($E$5:$E119))</f>
        <v>115</v>
      </c>
      <c r="B119" s="32"/>
      <c r="C119" s="32" t="s">
        <v>134</v>
      </c>
      <c r="D119" s="32" t="s">
        <v>179</v>
      </c>
      <c r="E119" s="32" t="s">
        <v>307</v>
      </c>
      <c r="F119" s="33" t="s">
        <v>62</v>
      </c>
      <c r="G119" s="32" t="s">
        <v>181</v>
      </c>
      <c r="H119" s="34" t="n">
        <v>46258</v>
      </c>
      <c r="I119" s="35" t="s">
        <v>77</v>
      </c>
      <c r="J119" s="36" t="n">
        <f aca="false">IF(OR($H119="",$I119=""),"",$H119+MATCH($I119,Listas!$F$5:$F$11,0)-1)</f>
        <v>46260</v>
      </c>
      <c r="K119" s="37"/>
      <c r="L119" s="33" t="s">
        <v>63</v>
      </c>
      <c r="M119" s="37"/>
      <c r="N119" s="32"/>
      <c r="O119" s="32"/>
      <c r="P119" s="38" t="str">
        <f aca="true">IF($E119="","",IF($L119="Cancelada","Cancelada",IF(OR($K119&lt;&gt;"",$L119="Concluída"),IF(OR($J119="",$K119="",$K119&lt;=$J119),"Concluída","Concluída com atraso"),IF($J119="","Na carteira",IF($J119&lt;TODAY(),"VENCIDA",IF($L119="Em execução","Em execução",IF($J119=TODAY(),"Hoje","Programada")))))))</f>
        <v>Concluída</v>
      </c>
      <c r="Q119" s="31" t="str">
        <f aca="false">IF($E119="","",IF(ISNUMBER(SEARCH("(externo)",$G119)),"Terceirizada","Interna"))</f>
        <v>Interna</v>
      </c>
      <c r="R119" s="36" t="n">
        <f aca="false">IF($J119="","",IF($M119="",$J119,$M119))</f>
        <v>46260</v>
      </c>
      <c r="S119" s="31" t="n">
        <f aca="false">IF($E119="","",IF(OR($K119="",$J119=""),0,IF($K119&lt;=$J119,1,0)))</f>
        <v>0</v>
      </c>
      <c r="T119" s="31" t="n">
        <f aca="false">IF($E119="","",IF(OR($K119="",$R119=""),0,IF($K119&lt;=$R119,1,0)))</f>
        <v>0</v>
      </c>
      <c r="U119" s="38" t="str">
        <f aca="false">IF(OR($K119="",$J119=""),"",MAX(0,$K119-$J119))</f>
        <v/>
      </c>
      <c r="V119" s="31" t="n">
        <f aca="false">IF($E119="","",IF(AND($M119&lt;&gt;"",$J119&lt;&gt;"",$M119&lt;&gt;$J119),1,0))</f>
        <v>0</v>
      </c>
      <c r="W119" s="39" t="n">
        <f aca="false">IF($E119="","",IF($L119="Cancelada",0,IF(OR($K119&lt;&gt;"",$L119="Concluída"),1,0)))</f>
        <v>1</v>
      </c>
    </row>
    <row r="120" customFormat="false" ht="15" hidden="false" customHeight="true" outlineLevel="0" collapsed="false">
      <c r="A120" s="31" t="n">
        <f aca="false">IF($E120="","",COUNTA($E$5:$E120))</f>
        <v>116</v>
      </c>
      <c r="B120" s="32"/>
      <c r="C120" s="32" t="s">
        <v>134</v>
      </c>
      <c r="D120" s="32" t="s">
        <v>179</v>
      </c>
      <c r="E120" s="32" t="s">
        <v>308</v>
      </c>
      <c r="F120" s="33" t="s">
        <v>62</v>
      </c>
      <c r="G120" s="32" t="s">
        <v>181</v>
      </c>
      <c r="H120" s="34" t="n">
        <v>46258</v>
      </c>
      <c r="I120" s="35" t="s">
        <v>77</v>
      </c>
      <c r="J120" s="36" t="n">
        <f aca="false">IF(OR($H120="",$I120=""),"",$H120+MATCH($I120,Listas!$F$5:$F$11,0)-1)</f>
        <v>46260</v>
      </c>
      <c r="K120" s="37"/>
      <c r="L120" s="33" t="s">
        <v>63</v>
      </c>
      <c r="M120" s="37"/>
      <c r="N120" s="32"/>
      <c r="O120" s="32"/>
      <c r="P120" s="38" t="str">
        <f aca="true">IF($E120="","",IF($L120="Cancelada","Cancelada",IF(OR($K120&lt;&gt;"",$L120="Concluída"),IF(OR($J120="",$K120="",$K120&lt;=$J120),"Concluída","Concluída com atraso"),IF($J120="","Na carteira",IF($J120&lt;TODAY(),"VENCIDA",IF($L120="Em execução","Em execução",IF($J120=TODAY(),"Hoje","Programada")))))))</f>
        <v>Concluída</v>
      </c>
      <c r="Q120" s="31" t="str">
        <f aca="false">IF($E120="","",IF(ISNUMBER(SEARCH("(externo)",$G120)),"Terceirizada","Interna"))</f>
        <v>Interna</v>
      </c>
      <c r="R120" s="36" t="n">
        <f aca="false">IF($J120="","",IF($M120="",$J120,$M120))</f>
        <v>46260</v>
      </c>
      <c r="S120" s="31" t="n">
        <f aca="false">IF($E120="","",IF(OR($K120="",$J120=""),0,IF($K120&lt;=$J120,1,0)))</f>
        <v>0</v>
      </c>
      <c r="T120" s="31" t="n">
        <f aca="false">IF($E120="","",IF(OR($K120="",$R120=""),0,IF($K120&lt;=$R120,1,0)))</f>
        <v>0</v>
      </c>
      <c r="U120" s="38" t="str">
        <f aca="false">IF(OR($K120="",$J120=""),"",MAX(0,$K120-$J120))</f>
        <v/>
      </c>
      <c r="V120" s="31" t="n">
        <f aca="false">IF($E120="","",IF(AND($M120&lt;&gt;"",$J120&lt;&gt;"",$M120&lt;&gt;$J120),1,0))</f>
        <v>0</v>
      </c>
      <c r="W120" s="39" t="n">
        <f aca="false">IF($E120="","",IF($L120="Cancelada",0,IF(OR($K120&lt;&gt;"",$L120="Concluída"),1,0)))</f>
        <v>1</v>
      </c>
    </row>
    <row r="121" customFormat="false" ht="15" hidden="false" customHeight="true" outlineLevel="0" collapsed="false">
      <c r="A121" s="31" t="n">
        <f aca="false">IF($E121="","",COUNTA($E$5:$E121))</f>
        <v>117</v>
      </c>
      <c r="B121" s="32"/>
      <c r="C121" s="32" t="s">
        <v>134</v>
      </c>
      <c r="D121" s="32" t="s">
        <v>179</v>
      </c>
      <c r="E121" s="32" t="s">
        <v>309</v>
      </c>
      <c r="F121" s="33" t="s">
        <v>62</v>
      </c>
      <c r="G121" s="32" t="s">
        <v>181</v>
      </c>
      <c r="H121" s="34" t="n">
        <v>46258</v>
      </c>
      <c r="I121" s="35" t="s">
        <v>77</v>
      </c>
      <c r="J121" s="36" t="n">
        <f aca="false">IF(OR($H121="",$I121=""),"",$H121+MATCH($I121,Listas!$F$5:$F$11,0)-1)</f>
        <v>46260</v>
      </c>
      <c r="K121" s="37"/>
      <c r="L121" s="33" t="s">
        <v>63</v>
      </c>
      <c r="M121" s="37"/>
      <c r="N121" s="32"/>
      <c r="O121" s="32"/>
      <c r="P121" s="38" t="str">
        <f aca="true">IF($E121="","",IF($L121="Cancelada","Cancelada",IF(OR($K121&lt;&gt;"",$L121="Concluída"),IF(OR($J121="",$K121="",$K121&lt;=$J121),"Concluída","Concluída com atraso"),IF($J121="","Na carteira",IF($J121&lt;TODAY(),"VENCIDA",IF($L121="Em execução","Em execução",IF($J121=TODAY(),"Hoje","Programada")))))))</f>
        <v>Concluída</v>
      </c>
      <c r="Q121" s="31" t="str">
        <f aca="false">IF($E121="","",IF(ISNUMBER(SEARCH("(externo)",$G121)),"Terceirizada","Interna"))</f>
        <v>Interna</v>
      </c>
      <c r="R121" s="36" t="n">
        <f aca="false">IF($J121="","",IF($M121="",$J121,$M121))</f>
        <v>46260</v>
      </c>
      <c r="S121" s="31" t="n">
        <f aca="false">IF($E121="","",IF(OR($K121="",$J121=""),0,IF($K121&lt;=$J121,1,0)))</f>
        <v>0</v>
      </c>
      <c r="T121" s="31" t="n">
        <f aca="false">IF($E121="","",IF(OR($K121="",$R121=""),0,IF($K121&lt;=$R121,1,0)))</f>
        <v>0</v>
      </c>
      <c r="U121" s="38" t="str">
        <f aca="false">IF(OR($K121="",$J121=""),"",MAX(0,$K121-$J121))</f>
        <v/>
      </c>
      <c r="V121" s="31" t="n">
        <f aca="false">IF($E121="","",IF(AND($M121&lt;&gt;"",$J121&lt;&gt;"",$M121&lt;&gt;$J121),1,0))</f>
        <v>0</v>
      </c>
      <c r="W121" s="39" t="n">
        <f aca="false">IF($E121="","",IF($L121="Cancelada",0,IF(OR($K121&lt;&gt;"",$L121="Concluída"),1,0)))</f>
        <v>1</v>
      </c>
    </row>
    <row r="122" customFormat="false" ht="15" hidden="false" customHeight="true" outlineLevel="0" collapsed="false">
      <c r="A122" s="31" t="n">
        <f aca="false">IF($E122="","",COUNTA($E$5:$E122))</f>
        <v>118</v>
      </c>
      <c r="B122" s="32"/>
      <c r="C122" s="32" t="s">
        <v>134</v>
      </c>
      <c r="D122" s="32" t="s">
        <v>179</v>
      </c>
      <c r="E122" s="32" t="s">
        <v>310</v>
      </c>
      <c r="F122" s="33" t="s">
        <v>62</v>
      </c>
      <c r="G122" s="32" t="s">
        <v>181</v>
      </c>
      <c r="H122" s="34" t="n">
        <v>46258</v>
      </c>
      <c r="I122" s="35" t="s">
        <v>77</v>
      </c>
      <c r="J122" s="36" t="n">
        <f aca="false">IF(OR($H122="",$I122=""),"",$H122+MATCH($I122,Listas!$F$5:$F$11,0)-1)</f>
        <v>46260</v>
      </c>
      <c r="K122" s="37"/>
      <c r="L122" s="33" t="s">
        <v>63</v>
      </c>
      <c r="M122" s="37"/>
      <c r="N122" s="32"/>
      <c r="O122" s="32"/>
      <c r="P122" s="38" t="str">
        <f aca="true">IF($E122="","",IF($L122="Cancelada","Cancelada",IF(OR($K122&lt;&gt;"",$L122="Concluída"),IF(OR($J122="",$K122="",$K122&lt;=$J122),"Concluída","Concluída com atraso"),IF($J122="","Na carteira",IF($J122&lt;TODAY(),"VENCIDA",IF($L122="Em execução","Em execução",IF($J122=TODAY(),"Hoje","Programada")))))))</f>
        <v>Concluída</v>
      </c>
      <c r="Q122" s="31" t="str">
        <f aca="false">IF($E122="","",IF(ISNUMBER(SEARCH("(externo)",$G122)),"Terceirizada","Interna"))</f>
        <v>Interna</v>
      </c>
      <c r="R122" s="36" t="n">
        <f aca="false">IF($J122="","",IF($M122="",$J122,$M122))</f>
        <v>46260</v>
      </c>
      <c r="S122" s="31" t="n">
        <f aca="false">IF($E122="","",IF(OR($K122="",$J122=""),0,IF($K122&lt;=$J122,1,0)))</f>
        <v>0</v>
      </c>
      <c r="T122" s="31" t="n">
        <f aca="false">IF($E122="","",IF(OR($K122="",$R122=""),0,IF($K122&lt;=$R122,1,0)))</f>
        <v>0</v>
      </c>
      <c r="U122" s="38" t="str">
        <f aca="false">IF(OR($K122="",$J122=""),"",MAX(0,$K122-$J122))</f>
        <v/>
      </c>
      <c r="V122" s="31" t="n">
        <f aca="false">IF($E122="","",IF(AND($M122&lt;&gt;"",$J122&lt;&gt;"",$M122&lt;&gt;$J122),1,0))</f>
        <v>0</v>
      </c>
      <c r="W122" s="39" t="n">
        <f aca="false">IF($E122="","",IF($L122="Cancelada",0,IF(OR($K122&lt;&gt;"",$L122="Concluída"),1,0)))</f>
        <v>1</v>
      </c>
    </row>
    <row r="123" customFormat="false" ht="15" hidden="false" customHeight="true" outlineLevel="0" collapsed="false">
      <c r="A123" s="31" t="n">
        <f aca="false">IF($E123="","",COUNTA($E$5:$E123))</f>
        <v>119</v>
      </c>
      <c r="B123" s="32"/>
      <c r="C123" s="32" t="s">
        <v>134</v>
      </c>
      <c r="D123" s="32" t="s">
        <v>179</v>
      </c>
      <c r="E123" s="32" t="s">
        <v>311</v>
      </c>
      <c r="F123" s="33" t="s">
        <v>62</v>
      </c>
      <c r="G123" s="32" t="s">
        <v>181</v>
      </c>
      <c r="H123" s="34" t="n">
        <v>46258</v>
      </c>
      <c r="I123" s="35" t="s">
        <v>77</v>
      </c>
      <c r="J123" s="36" t="n">
        <f aca="false">IF(OR($H123="",$I123=""),"",$H123+MATCH($I123,Listas!$F$5:$F$11,0)-1)</f>
        <v>46260</v>
      </c>
      <c r="K123" s="37"/>
      <c r="L123" s="33" t="s">
        <v>63</v>
      </c>
      <c r="M123" s="37"/>
      <c r="N123" s="32"/>
      <c r="O123" s="32"/>
      <c r="P123" s="38" t="str">
        <f aca="true">IF($E123="","",IF($L123="Cancelada","Cancelada",IF(OR($K123&lt;&gt;"",$L123="Concluída"),IF(OR($J123="",$K123="",$K123&lt;=$J123),"Concluída","Concluída com atraso"),IF($J123="","Na carteira",IF($J123&lt;TODAY(),"VENCIDA",IF($L123="Em execução","Em execução",IF($J123=TODAY(),"Hoje","Programada")))))))</f>
        <v>Concluída</v>
      </c>
      <c r="Q123" s="31" t="str">
        <f aca="false">IF($E123="","",IF(ISNUMBER(SEARCH("(externo)",$G123)),"Terceirizada","Interna"))</f>
        <v>Interna</v>
      </c>
      <c r="R123" s="36" t="n">
        <f aca="false">IF($J123="","",IF($M123="",$J123,$M123))</f>
        <v>46260</v>
      </c>
      <c r="S123" s="31" t="n">
        <f aca="false">IF($E123="","",IF(OR($K123="",$J123=""),0,IF($K123&lt;=$J123,1,0)))</f>
        <v>0</v>
      </c>
      <c r="T123" s="31" t="n">
        <f aca="false">IF($E123="","",IF(OR($K123="",$R123=""),0,IF($K123&lt;=$R123,1,0)))</f>
        <v>0</v>
      </c>
      <c r="U123" s="38" t="str">
        <f aca="false">IF(OR($K123="",$J123=""),"",MAX(0,$K123-$J123))</f>
        <v/>
      </c>
      <c r="V123" s="31" t="n">
        <f aca="false">IF($E123="","",IF(AND($M123&lt;&gt;"",$J123&lt;&gt;"",$M123&lt;&gt;$J123),1,0))</f>
        <v>0</v>
      </c>
      <c r="W123" s="39" t="n">
        <f aca="false">IF($E123="","",IF($L123="Cancelada",0,IF(OR($K123&lt;&gt;"",$L123="Concluída"),1,0)))</f>
        <v>1</v>
      </c>
    </row>
    <row r="124" customFormat="false" ht="15" hidden="false" customHeight="true" outlineLevel="0" collapsed="false">
      <c r="A124" s="31" t="n">
        <f aca="false">IF($E124="","",COUNTA($E$5:$E124))</f>
        <v>120</v>
      </c>
      <c r="B124" s="32"/>
      <c r="C124" s="32" t="s">
        <v>134</v>
      </c>
      <c r="D124" s="32" t="s">
        <v>179</v>
      </c>
      <c r="E124" s="32" t="s">
        <v>312</v>
      </c>
      <c r="F124" s="33" t="s">
        <v>62</v>
      </c>
      <c r="G124" s="32" t="s">
        <v>181</v>
      </c>
      <c r="H124" s="34" t="n">
        <v>46258</v>
      </c>
      <c r="I124" s="35" t="s">
        <v>77</v>
      </c>
      <c r="J124" s="36" t="n">
        <f aca="false">IF(OR($H124="",$I124=""),"",$H124+MATCH($I124,Listas!$F$5:$F$11,0)-1)</f>
        <v>46260</v>
      </c>
      <c r="K124" s="37"/>
      <c r="L124" s="33" t="s">
        <v>63</v>
      </c>
      <c r="M124" s="37"/>
      <c r="N124" s="32"/>
      <c r="O124" s="32"/>
      <c r="P124" s="38" t="str">
        <f aca="true">IF($E124="","",IF($L124="Cancelada","Cancelada",IF(OR($K124&lt;&gt;"",$L124="Concluída"),IF(OR($J124="",$K124="",$K124&lt;=$J124),"Concluída","Concluída com atraso"),IF($J124="","Na carteira",IF($J124&lt;TODAY(),"VENCIDA",IF($L124="Em execução","Em execução",IF($J124=TODAY(),"Hoje","Programada")))))))</f>
        <v>Concluída</v>
      </c>
      <c r="Q124" s="31" t="str">
        <f aca="false">IF($E124="","",IF(ISNUMBER(SEARCH("(externo)",$G124)),"Terceirizada","Interna"))</f>
        <v>Interna</v>
      </c>
      <c r="R124" s="36" t="n">
        <f aca="false">IF($J124="","",IF($M124="",$J124,$M124))</f>
        <v>46260</v>
      </c>
      <c r="S124" s="31" t="n">
        <f aca="false">IF($E124="","",IF(OR($K124="",$J124=""),0,IF($K124&lt;=$J124,1,0)))</f>
        <v>0</v>
      </c>
      <c r="T124" s="31" t="n">
        <f aca="false">IF($E124="","",IF(OR($K124="",$R124=""),0,IF($K124&lt;=$R124,1,0)))</f>
        <v>0</v>
      </c>
      <c r="U124" s="38" t="str">
        <f aca="false">IF(OR($K124="",$J124=""),"",MAX(0,$K124-$J124))</f>
        <v/>
      </c>
      <c r="V124" s="31" t="n">
        <f aca="false">IF($E124="","",IF(AND($M124&lt;&gt;"",$J124&lt;&gt;"",$M124&lt;&gt;$J124),1,0))</f>
        <v>0</v>
      </c>
      <c r="W124" s="39" t="n">
        <f aca="false">IF($E124="","",IF($L124="Cancelada",0,IF(OR($K124&lt;&gt;"",$L124="Concluída"),1,0)))</f>
        <v>1</v>
      </c>
    </row>
    <row r="125" customFormat="false" ht="15" hidden="false" customHeight="true" outlineLevel="0" collapsed="false">
      <c r="A125" s="31" t="n">
        <f aca="false">IF($E125="","",COUNTA($E$5:$E125))</f>
        <v>121</v>
      </c>
      <c r="B125" s="32"/>
      <c r="C125" s="32" t="s">
        <v>134</v>
      </c>
      <c r="D125" s="32" t="s">
        <v>179</v>
      </c>
      <c r="E125" s="32" t="s">
        <v>313</v>
      </c>
      <c r="F125" s="33" t="s">
        <v>62</v>
      </c>
      <c r="G125" s="32" t="s">
        <v>181</v>
      </c>
      <c r="H125" s="34" t="n">
        <v>46258</v>
      </c>
      <c r="I125" s="35" t="s">
        <v>77</v>
      </c>
      <c r="J125" s="36" t="n">
        <f aca="false">IF(OR($H125="",$I125=""),"",$H125+MATCH($I125,Listas!$F$5:$F$11,0)-1)</f>
        <v>46260</v>
      </c>
      <c r="K125" s="37"/>
      <c r="L125" s="33" t="s">
        <v>63</v>
      </c>
      <c r="M125" s="37"/>
      <c r="N125" s="32"/>
      <c r="O125" s="32"/>
      <c r="P125" s="38" t="str">
        <f aca="true">IF($E125="","",IF($L125="Cancelada","Cancelada",IF(OR($K125&lt;&gt;"",$L125="Concluída"),IF(OR($J125="",$K125="",$K125&lt;=$J125),"Concluída","Concluída com atraso"),IF($J125="","Na carteira",IF($J125&lt;TODAY(),"VENCIDA",IF($L125="Em execução","Em execução",IF($J125=TODAY(),"Hoje","Programada")))))))</f>
        <v>Concluída</v>
      </c>
      <c r="Q125" s="31" t="str">
        <f aca="false">IF($E125="","",IF(ISNUMBER(SEARCH("(externo)",$G125)),"Terceirizada","Interna"))</f>
        <v>Interna</v>
      </c>
      <c r="R125" s="36" t="n">
        <f aca="false">IF($J125="","",IF($M125="",$J125,$M125))</f>
        <v>46260</v>
      </c>
      <c r="S125" s="31" t="n">
        <f aca="false">IF($E125="","",IF(OR($K125="",$J125=""),0,IF($K125&lt;=$J125,1,0)))</f>
        <v>0</v>
      </c>
      <c r="T125" s="31" t="n">
        <f aca="false">IF($E125="","",IF(OR($K125="",$R125=""),0,IF($K125&lt;=$R125,1,0)))</f>
        <v>0</v>
      </c>
      <c r="U125" s="38" t="str">
        <f aca="false">IF(OR($K125="",$J125=""),"",MAX(0,$K125-$J125))</f>
        <v/>
      </c>
      <c r="V125" s="31" t="n">
        <f aca="false">IF($E125="","",IF(AND($M125&lt;&gt;"",$J125&lt;&gt;"",$M125&lt;&gt;$J125),1,0))</f>
        <v>0</v>
      </c>
      <c r="W125" s="39" t="n">
        <f aca="false">IF($E125="","",IF($L125="Cancelada",0,IF(OR($K125&lt;&gt;"",$L125="Concluída"),1,0)))</f>
        <v>1</v>
      </c>
    </row>
    <row r="126" customFormat="false" ht="15" hidden="false" customHeight="true" outlineLevel="0" collapsed="false">
      <c r="A126" s="31" t="n">
        <f aca="false">IF($E126="","",COUNTA($E$5:$E126))</f>
        <v>122</v>
      </c>
      <c r="B126" s="32"/>
      <c r="C126" s="32" t="s">
        <v>135</v>
      </c>
      <c r="D126" s="32" t="s">
        <v>314</v>
      </c>
      <c r="E126" s="32" t="s">
        <v>315</v>
      </c>
      <c r="F126" s="33" t="s">
        <v>62</v>
      </c>
      <c r="G126" s="32" t="s">
        <v>316</v>
      </c>
      <c r="H126" s="34" t="n">
        <v>46258</v>
      </c>
      <c r="I126" s="35" t="s">
        <v>82</v>
      </c>
      <c r="J126" s="36" t="n">
        <f aca="false">IF(OR($H126="",$I126=""),"",$H126+MATCH($I126,Listas!$F$5:$F$11,0)-1)</f>
        <v>46261</v>
      </c>
      <c r="K126" s="37"/>
      <c r="L126" s="33"/>
      <c r="M126" s="37" t="n">
        <v>46260</v>
      </c>
      <c r="N126" s="32"/>
      <c r="O126" s="32" t="s">
        <v>317</v>
      </c>
      <c r="P126" s="38" t="str">
        <f aca="true">IF($E126="","",IF($L126="Cancelada","Cancelada",IF(OR($K126&lt;&gt;"",$L126="Concluída"),IF(OR($J126="",$K126="",$K126&lt;=$J126),"Concluída","Concluída com atraso"),IF($J126="","Na carteira",IF($J126&lt;TODAY(),"VENCIDA",IF($L126="Em execução","Em execução",IF($J126=TODAY(),"Hoje","Programada")))))))</f>
        <v>Programada</v>
      </c>
      <c r="Q126" s="31" t="str">
        <f aca="false">IF($E126="","",IF(ISNUMBER(SEARCH("(externo)",$G126)),"Terceirizada","Interna"))</f>
        <v>Interna</v>
      </c>
      <c r="R126" s="36" t="n">
        <f aca="false">IF($J126="","",IF($M126="",$J126,$M126))</f>
        <v>46260</v>
      </c>
      <c r="S126" s="31" t="n">
        <f aca="false">IF($E126="","",IF(OR($K126="",$J126=""),0,IF($K126&lt;=$J126,1,0)))</f>
        <v>0</v>
      </c>
      <c r="T126" s="31" t="n">
        <f aca="false">IF($E126="","",IF(OR($K126="",$R126=""),0,IF($K126&lt;=$R126,1,0)))</f>
        <v>0</v>
      </c>
      <c r="U126" s="38" t="str">
        <f aca="false">IF(OR($K126="",$J126=""),"",MAX(0,$K126-$J126))</f>
        <v/>
      </c>
      <c r="V126" s="31" t="n">
        <f aca="false">IF($E126="","",IF(AND($M126&lt;&gt;"",$J126&lt;&gt;"",$M126&lt;&gt;$J126),1,0))</f>
        <v>1</v>
      </c>
      <c r="W126" s="39" t="n">
        <f aca="false">IF($E126="","",IF($L126="Cancelada",0,IF(OR($K126&lt;&gt;"",$L126="Concluída"),1,0)))</f>
        <v>0</v>
      </c>
    </row>
    <row r="127" customFormat="false" ht="15" hidden="false" customHeight="true" outlineLevel="0" collapsed="false">
      <c r="A127" s="31" t="n">
        <f aca="false">IF($E127="","",COUNTA($E$5:$E127))</f>
        <v>123</v>
      </c>
      <c r="B127" s="32"/>
      <c r="C127" s="32" t="s">
        <v>135</v>
      </c>
      <c r="D127" s="32" t="s">
        <v>314</v>
      </c>
      <c r="E127" s="32" t="s">
        <v>318</v>
      </c>
      <c r="F127" s="33" t="s">
        <v>62</v>
      </c>
      <c r="G127" s="32" t="s">
        <v>316</v>
      </c>
      <c r="H127" s="34" t="n">
        <v>46258</v>
      </c>
      <c r="I127" s="35" t="s">
        <v>82</v>
      </c>
      <c r="J127" s="36" t="n">
        <f aca="false">IF(OR($H127="",$I127=""),"",$H127+MATCH($I127,Listas!$F$5:$F$11,0)-1)</f>
        <v>46261</v>
      </c>
      <c r="K127" s="37"/>
      <c r="L127" s="33"/>
      <c r="M127" s="37" t="n">
        <v>46260</v>
      </c>
      <c r="N127" s="32"/>
      <c r="O127" s="32" t="s">
        <v>317</v>
      </c>
      <c r="P127" s="38" t="str">
        <f aca="true">IF($E127="","",IF($L127="Cancelada","Cancelada",IF(OR($K127&lt;&gt;"",$L127="Concluída"),IF(OR($J127="",$K127="",$K127&lt;=$J127),"Concluída","Concluída com atraso"),IF($J127="","Na carteira",IF($J127&lt;TODAY(),"VENCIDA",IF($L127="Em execução","Em execução",IF($J127=TODAY(),"Hoje","Programada")))))))</f>
        <v>Programada</v>
      </c>
      <c r="Q127" s="31" t="str">
        <f aca="false">IF($E127="","",IF(ISNUMBER(SEARCH("(externo)",$G127)),"Terceirizada","Interna"))</f>
        <v>Interna</v>
      </c>
      <c r="R127" s="36" t="n">
        <f aca="false">IF($J127="","",IF($M127="",$J127,$M127))</f>
        <v>46260</v>
      </c>
      <c r="S127" s="31" t="n">
        <f aca="false">IF($E127="","",IF(OR($K127="",$J127=""),0,IF($K127&lt;=$J127,1,0)))</f>
        <v>0</v>
      </c>
      <c r="T127" s="31" t="n">
        <f aca="false">IF($E127="","",IF(OR($K127="",$R127=""),0,IF($K127&lt;=$R127,1,0)))</f>
        <v>0</v>
      </c>
      <c r="U127" s="38" t="str">
        <f aca="false">IF(OR($K127="",$J127=""),"",MAX(0,$K127-$J127))</f>
        <v/>
      </c>
      <c r="V127" s="31" t="n">
        <f aca="false">IF($E127="","",IF(AND($M127&lt;&gt;"",$J127&lt;&gt;"",$M127&lt;&gt;$J127),1,0))</f>
        <v>1</v>
      </c>
      <c r="W127" s="39" t="n">
        <f aca="false">IF($E127="","",IF($L127="Cancelada",0,IF(OR($K127&lt;&gt;"",$L127="Concluída"),1,0)))</f>
        <v>0</v>
      </c>
    </row>
    <row r="128" customFormat="false" ht="15" hidden="false" customHeight="true" outlineLevel="0" collapsed="false">
      <c r="A128" s="31" t="n">
        <f aca="false">IF($E128="","",COUNTA($E$5:$E128))</f>
        <v>124</v>
      </c>
      <c r="B128" s="32"/>
      <c r="C128" s="32" t="s">
        <v>135</v>
      </c>
      <c r="D128" s="32" t="s">
        <v>314</v>
      </c>
      <c r="E128" s="32" t="s">
        <v>319</v>
      </c>
      <c r="F128" s="33" t="s">
        <v>62</v>
      </c>
      <c r="G128" s="32" t="s">
        <v>316</v>
      </c>
      <c r="H128" s="34" t="n">
        <v>46258</v>
      </c>
      <c r="I128" s="35" t="s">
        <v>82</v>
      </c>
      <c r="J128" s="36" t="n">
        <f aca="false">IF(OR($H128="",$I128=""),"",$H128+MATCH($I128,Listas!$F$5:$F$11,0)-1)</f>
        <v>46261</v>
      </c>
      <c r="K128" s="37"/>
      <c r="L128" s="33"/>
      <c r="M128" s="37" t="n">
        <v>46260</v>
      </c>
      <c r="N128" s="32"/>
      <c r="O128" s="32" t="s">
        <v>317</v>
      </c>
      <c r="P128" s="38" t="str">
        <f aca="true">IF($E128="","",IF($L128="Cancelada","Cancelada",IF(OR($K128&lt;&gt;"",$L128="Concluída"),IF(OR($J128="",$K128="",$K128&lt;=$J128),"Concluída","Concluída com atraso"),IF($J128="","Na carteira",IF($J128&lt;TODAY(),"VENCIDA",IF($L128="Em execução","Em execução",IF($J128=TODAY(),"Hoje","Programada")))))))</f>
        <v>Programada</v>
      </c>
      <c r="Q128" s="31" t="str">
        <f aca="false">IF($E128="","",IF(ISNUMBER(SEARCH("(externo)",$G128)),"Terceirizada","Interna"))</f>
        <v>Interna</v>
      </c>
      <c r="R128" s="36" t="n">
        <f aca="false">IF($J128="","",IF($M128="",$J128,$M128))</f>
        <v>46260</v>
      </c>
      <c r="S128" s="31" t="n">
        <f aca="false">IF($E128="","",IF(OR($K128="",$J128=""),0,IF($K128&lt;=$J128,1,0)))</f>
        <v>0</v>
      </c>
      <c r="T128" s="31" t="n">
        <f aca="false">IF($E128="","",IF(OR($K128="",$R128=""),0,IF($K128&lt;=$R128,1,0)))</f>
        <v>0</v>
      </c>
      <c r="U128" s="38" t="str">
        <f aca="false">IF(OR($K128="",$J128=""),"",MAX(0,$K128-$J128))</f>
        <v/>
      </c>
      <c r="V128" s="31" t="n">
        <f aca="false">IF($E128="","",IF(AND($M128&lt;&gt;"",$J128&lt;&gt;"",$M128&lt;&gt;$J128),1,0))</f>
        <v>1</v>
      </c>
      <c r="W128" s="39" t="n">
        <f aca="false">IF($E128="","",IF($L128="Cancelada",0,IF(OR($K128&lt;&gt;"",$L128="Concluída"),1,0)))</f>
        <v>0</v>
      </c>
    </row>
    <row r="129" customFormat="false" ht="15" hidden="false" customHeight="true" outlineLevel="0" collapsed="false">
      <c r="A129" s="31" t="n">
        <f aca="false">IF($E129="","",COUNTA($E$5:$E129))</f>
        <v>125</v>
      </c>
      <c r="B129" s="32"/>
      <c r="C129" s="32" t="s">
        <v>135</v>
      </c>
      <c r="D129" s="32" t="s">
        <v>314</v>
      </c>
      <c r="E129" s="32" t="s">
        <v>320</v>
      </c>
      <c r="F129" s="33" t="s">
        <v>62</v>
      </c>
      <c r="G129" s="32" t="s">
        <v>316</v>
      </c>
      <c r="H129" s="34" t="n">
        <v>46258</v>
      </c>
      <c r="I129" s="35" t="s">
        <v>82</v>
      </c>
      <c r="J129" s="36" t="n">
        <f aca="false">IF(OR($H129="",$I129=""),"",$H129+MATCH($I129,Listas!$F$5:$F$11,0)-1)</f>
        <v>46261</v>
      </c>
      <c r="K129" s="37"/>
      <c r="L129" s="33"/>
      <c r="M129" s="37" t="n">
        <v>46260</v>
      </c>
      <c r="N129" s="32"/>
      <c r="O129" s="32" t="s">
        <v>317</v>
      </c>
      <c r="P129" s="38" t="str">
        <f aca="true">IF($E129="","",IF($L129="Cancelada","Cancelada",IF(OR($K129&lt;&gt;"",$L129="Concluída"),IF(OR($J129="",$K129="",$K129&lt;=$J129),"Concluída","Concluída com atraso"),IF($J129="","Na carteira",IF($J129&lt;TODAY(),"VENCIDA",IF($L129="Em execução","Em execução",IF($J129=TODAY(),"Hoje","Programada")))))))</f>
        <v>Programada</v>
      </c>
      <c r="Q129" s="31" t="str">
        <f aca="false">IF($E129="","",IF(ISNUMBER(SEARCH("(externo)",$G129)),"Terceirizada","Interna"))</f>
        <v>Interna</v>
      </c>
      <c r="R129" s="36" t="n">
        <f aca="false">IF($J129="","",IF($M129="",$J129,$M129))</f>
        <v>46260</v>
      </c>
      <c r="S129" s="31" t="n">
        <f aca="false">IF($E129="","",IF(OR($K129="",$J129=""),0,IF($K129&lt;=$J129,1,0)))</f>
        <v>0</v>
      </c>
      <c r="T129" s="31" t="n">
        <f aca="false">IF($E129="","",IF(OR($K129="",$R129=""),0,IF($K129&lt;=$R129,1,0)))</f>
        <v>0</v>
      </c>
      <c r="U129" s="38" t="str">
        <f aca="false">IF(OR($K129="",$J129=""),"",MAX(0,$K129-$J129))</f>
        <v/>
      </c>
      <c r="V129" s="31" t="n">
        <f aca="false">IF($E129="","",IF(AND($M129&lt;&gt;"",$J129&lt;&gt;"",$M129&lt;&gt;$J129),1,0))</f>
        <v>1</v>
      </c>
      <c r="W129" s="39" t="n">
        <f aca="false">IF($E129="","",IF($L129="Cancelada",0,IF(OR($K129&lt;&gt;"",$L129="Concluída"),1,0)))</f>
        <v>0</v>
      </c>
    </row>
    <row r="130" customFormat="false" ht="15" hidden="false" customHeight="true" outlineLevel="0" collapsed="false">
      <c r="A130" s="31" t="n">
        <f aca="false">IF($E130="","",COUNTA($E$5:$E130))</f>
        <v>126</v>
      </c>
      <c r="B130" s="32"/>
      <c r="C130" s="32" t="s">
        <v>135</v>
      </c>
      <c r="D130" s="32" t="s">
        <v>314</v>
      </c>
      <c r="E130" s="32" t="s">
        <v>321</v>
      </c>
      <c r="F130" s="33" t="s">
        <v>62</v>
      </c>
      <c r="G130" s="32" t="s">
        <v>316</v>
      </c>
      <c r="H130" s="34" t="n">
        <v>46258</v>
      </c>
      <c r="I130" s="35" t="s">
        <v>82</v>
      </c>
      <c r="J130" s="36" t="n">
        <f aca="false">IF(OR($H130="",$I130=""),"",$H130+MATCH($I130,Listas!$F$5:$F$11,0)-1)</f>
        <v>46261</v>
      </c>
      <c r="K130" s="37"/>
      <c r="L130" s="33"/>
      <c r="M130" s="37" t="n">
        <v>46260</v>
      </c>
      <c r="N130" s="32"/>
      <c r="O130" s="32" t="s">
        <v>317</v>
      </c>
      <c r="P130" s="38" t="str">
        <f aca="true">IF($E130="","",IF($L130="Cancelada","Cancelada",IF(OR($K130&lt;&gt;"",$L130="Concluída"),IF(OR($J130="",$K130="",$K130&lt;=$J130),"Concluída","Concluída com atraso"),IF($J130="","Na carteira",IF($J130&lt;TODAY(),"VENCIDA",IF($L130="Em execução","Em execução",IF($J130=TODAY(),"Hoje","Programada")))))))</f>
        <v>Programada</v>
      </c>
      <c r="Q130" s="31" t="str">
        <f aca="false">IF($E130="","",IF(ISNUMBER(SEARCH("(externo)",$G130)),"Terceirizada","Interna"))</f>
        <v>Interna</v>
      </c>
      <c r="R130" s="36" t="n">
        <f aca="false">IF($J130="","",IF($M130="",$J130,$M130))</f>
        <v>46260</v>
      </c>
      <c r="S130" s="31" t="n">
        <f aca="false">IF($E130="","",IF(OR($K130="",$J130=""),0,IF($K130&lt;=$J130,1,0)))</f>
        <v>0</v>
      </c>
      <c r="T130" s="31" t="n">
        <f aca="false">IF($E130="","",IF(OR($K130="",$R130=""),0,IF($K130&lt;=$R130,1,0)))</f>
        <v>0</v>
      </c>
      <c r="U130" s="38" t="str">
        <f aca="false">IF(OR($K130="",$J130=""),"",MAX(0,$K130-$J130))</f>
        <v/>
      </c>
      <c r="V130" s="31" t="n">
        <f aca="false">IF($E130="","",IF(AND($M130&lt;&gt;"",$J130&lt;&gt;"",$M130&lt;&gt;$J130),1,0))</f>
        <v>1</v>
      </c>
      <c r="W130" s="39" t="n">
        <f aca="false">IF($E130="","",IF($L130="Cancelada",0,IF(OR($K130&lt;&gt;"",$L130="Concluída"),1,0)))</f>
        <v>0</v>
      </c>
    </row>
    <row r="131" customFormat="false" ht="15" hidden="false" customHeight="true" outlineLevel="0" collapsed="false">
      <c r="A131" s="31" t="n">
        <f aca="false">IF($E131="","",COUNTA($E$5:$E131))</f>
        <v>127</v>
      </c>
      <c r="B131" s="32"/>
      <c r="C131" s="32" t="s">
        <v>135</v>
      </c>
      <c r="D131" s="32" t="s">
        <v>314</v>
      </c>
      <c r="E131" s="32" t="s">
        <v>322</v>
      </c>
      <c r="F131" s="33" t="s">
        <v>62</v>
      </c>
      <c r="G131" s="32" t="s">
        <v>316</v>
      </c>
      <c r="H131" s="34" t="n">
        <v>46258</v>
      </c>
      <c r="I131" s="35" t="s">
        <v>82</v>
      </c>
      <c r="J131" s="36" t="n">
        <f aca="false">IF(OR($H131="",$I131=""),"",$H131+MATCH($I131,Listas!$F$5:$F$11,0)-1)</f>
        <v>46261</v>
      </c>
      <c r="K131" s="37"/>
      <c r="L131" s="33"/>
      <c r="M131" s="37" t="n">
        <v>46260</v>
      </c>
      <c r="N131" s="32"/>
      <c r="O131" s="32" t="s">
        <v>317</v>
      </c>
      <c r="P131" s="38" t="str">
        <f aca="true">IF($E131="","",IF($L131="Cancelada","Cancelada",IF(OR($K131&lt;&gt;"",$L131="Concluída"),IF(OR($J131="",$K131="",$K131&lt;=$J131),"Concluída","Concluída com atraso"),IF($J131="","Na carteira",IF($J131&lt;TODAY(),"VENCIDA",IF($L131="Em execução","Em execução",IF($J131=TODAY(),"Hoje","Programada")))))))</f>
        <v>Programada</v>
      </c>
      <c r="Q131" s="31" t="str">
        <f aca="false">IF($E131="","",IF(ISNUMBER(SEARCH("(externo)",$G131)),"Terceirizada","Interna"))</f>
        <v>Interna</v>
      </c>
      <c r="R131" s="36" t="n">
        <f aca="false">IF($J131="","",IF($M131="",$J131,$M131))</f>
        <v>46260</v>
      </c>
      <c r="S131" s="31" t="n">
        <f aca="false">IF($E131="","",IF(OR($K131="",$J131=""),0,IF($K131&lt;=$J131,1,0)))</f>
        <v>0</v>
      </c>
      <c r="T131" s="31" t="n">
        <f aca="false">IF($E131="","",IF(OR($K131="",$R131=""),0,IF($K131&lt;=$R131,1,0)))</f>
        <v>0</v>
      </c>
      <c r="U131" s="38" t="str">
        <f aca="false">IF(OR($K131="",$J131=""),"",MAX(0,$K131-$J131))</f>
        <v/>
      </c>
      <c r="V131" s="31" t="n">
        <f aca="false">IF($E131="","",IF(AND($M131&lt;&gt;"",$J131&lt;&gt;"",$M131&lt;&gt;$J131),1,0))</f>
        <v>1</v>
      </c>
      <c r="W131" s="39" t="n">
        <f aca="false">IF($E131="","",IF($L131="Cancelada",0,IF(OR($K131&lt;&gt;"",$L131="Concluída"),1,0)))</f>
        <v>0</v>
      </c>
    </row>
    <row r="132" customFormat="false" ht="15" hidden="false" customHeight="true" outlineLevel="0" collapsed="false">
      <c r="A132" s="31" t="n">
        <f aca="false">IF($E132="","",COUNTA($E$5:$E132))</f>
        <v>128</v>
      </c>
      <c r="B132" s="32"/>
      <c r="C132" s="32" t="s">
        <v>135</v>
      </c>
      <c r="D132" s="32" t="s">
        <v>314</v>
      </c>
      <c r="E132" s="32" t="s">
        <v>323</v>
      </c>
      <c r="F132" s="33" t="s">
        <v>62</v>
      </c>
      <c r="G132" s="32" t="s">
        <v>316</v>
      </c>
      <c r="H132" s="34" t="n">
        <v>46258</v>
      </c>
      <c r="I132" s="35" t="s">
        <v>82</v>
      </c>
      <c r="J132" s="36" t="n">
        <f aca="false">IF(OR($H132="",$I132=""),"",$H132+MATCH($I132,Listas!$F$5:$F$11,0)-1)</f>
        <v>46261</v>
      </c>
      <c r="K132" s="37"/>
      <c r="L132" s="33"/>
      <c r="M132" s="37" t="n">
        <v>46260</v>
      </c>
      <c r="N132" s="32"/>
      <c r="O132" s="32" t="s">
        <v>317</v>
      </c>
      <c r="P132" s="38" t="str">
        <f aca="true">IF($E132="","",IF($L132="Cancelada","Cancelada",IF(OR($K132&lt;&gt;"",$L132="Concluída"),IF(OR($J132="",$K132="",$K132&lt;=$J132),"Concluída","Concluída com atraso"),IF($J132="","Na carteira",IF($J132&lt;TODAY(),"VENCIDA",IF($L132="Em execução","Em execução",IF($J132=TODAY(),"Hoje","Programada")))))))</f>
        <v>Programada</v>
      </c>
      <c r="Q132" s="31" t="str">
        <f aca="false">IF($E132="","",IF(ISNUMBER(SEARCH("(externo)",$G132)),"Terceirizada","Interna"))</f>
        <v>Interna</v>
      </c>
      <c r="R132" s="36" t="n">
        <f aca="false">IF($J132="","",IF($M132="",$J132,$M132))</f>
        <v>46260</v>
      </c>
      <c r="S132" s="31" t="n">
        <f aca="false">IF($E132="","",IF(OR($K132="",$J132=""),0,IF($K132&lt;=$J132,1,0)))</f>
        <v>0</v>
      </c>
      <c r="T132" s="31" t="n">
        <f aca="false">IF($E132="","",IF(OR($K132="",$R132=""),0,IF($K132&lt;=$R132,1,0)))</f>
        <v>0</v>
      </c>
      <c r="U132" s="38" t="str">
        <f aca="false">IF(OR($K132="",$J132=""),"",MAX(0,$K132-$J132))</f>
        <v/>
      </c>
      <c r="V132" s="31" t="n">
        <f aca="false">IF($E132="","",IF(AND($M132&lt;&gt;"",$J132&lt;&gt;"",$M132&lt;&gt;$J132),1,0))</f>
        <v>1</v>
      </c>
      <c r="W132" s="39" t="n">
        <f aca="false">IF($E132="","",IF($L132="Cancelada",0,IF(OR($K132&lt;&gt;"",$L132="Concluída"),1,0)))</f>
        <v>0</v>
      </c>
    </row>
    <row r="133" customFormat="false" ht="15" hidden="false" customHeight="true" outlineLevel="0" collapsed="false">
      <c r="A133" s="31" t="n">
        <f aca="false">IF($E133="","",COUNTA($E$5:$E133))</f>
        <v>129</v>
      </c>
      <c r="B133" s="32"/>
      <c r="C133" s="32" t="s">
        <v>135</v>
      </c>
      <c r="D133" s="32" t="s">
        <v>314</v>
      </c>
      <c r="E133" s="32" t="s">
        <v>324</v>
      </c>
      <c r="F133" s="33" t="s">
        <v>62</v>
      </c>
      <c r="G133" s="32" t="s">
        <v>316</v>
      </c>
      <c r="H133" s="34" t="n">
        <v>46258</v>
      </c>
      <c r="I133" s="35" t="s">
        <v>82</v>
      </c>
      <c r="J133" s="36" t="n">
        <f aca="false">IF(OR($H133="",$I133=""),"",$H133+MATCH($I133,Listas!$F$5:$F$11,0)-1)</f>
        <v>46261</v>
      </c>
      <c r="K133" s="37"/>
      <c r="L133" s="33"/>
      <c r="M133" s="37" t="n">
        <v>46260</v>
      </c>
      <c r="N133" s="32"/>
      <c r="O133" s="32" t="s">
        <v>317</v>
      </c>
      <c r="P133" s="38" t="str">
        <f aca="true">IF($E133="","",IF($L133="Cancelada","Cancelada",IF(OR($K133&lt;&gt;"",$L133="Concluída"),IF(OR($J133="",$K133="",$K133&lt;=$J133),"Concluída","Concluída com atraso"),IF($J133="","Na carteira",IF($J133&lt;TODAY(),"VENCIDA",IF($L133="Em execução","Em execução",IF($J133=TODAY(),"Hoje","Programada")))))))</f>
        <v>Programada</v>
      </c>
      <c r="Q133" s="31" t="str">
        <f aca="false">IF($E133="","",IF(ISNUMBER(SEARCH("(externo)",$G133)),"Terceirizada","Interna"))</f>
        <v>Interna</v>
      </c>
      <c r="R133" s="36" t="n">
        <f aca="false">IF($J133="","",IF($M133="",$J133,$M133))</f>
        <v>46260</v>
      </c>
      <c r="S133" s="31" t="n">
        <f aca="false">IF($E133="","",IF(OR($K133="",$J133=""),0,IF($K133&lt;=$J133,1,0)))</f>
        <v>0</v>
      </c>
      <c r="T133" s="31" t="n">
        <f aca="false">IF($E133="","",IF(OR($K133="",$R133=""),0,IF($K133&lt;=$R133,1,0)))</f>
        <v>0</v>
      </c>
      <c r="U133" s="38" t="str">
        <f aca="false">IF(OR($K133="",$J133=""),"",MAX(0,$K133-$J133))</f>
        <v/>
      </c>
      <c r="V133" s="31" t="n">
        <f aca="false">IF($E133="","",IF(AND($M133&lt;&gt;"",$J133&lt;&gt;"",$M133&lt;&gt;$J133),1,0))</f>
        <v>1</v>
      </c>
      <c r="W133" s="39" t="n">
        <f aca="false">IF($E133="","",IF($L133="Cancelada",0,IF(OR($K133&lt;&gt;"",$L133="Concluída"),1,0)))</f>
        <v>0</v>
      </c>
    </row>
    <row r="134" customFormat="false" ht="15" hidden="false" customHeight="true" outlineLevel="0" collapsed="false">
      <c r="A134" s="31" t="n">
        <f aca="false">IF($E134="","",COUNTA($E$5:$E134))</f>
        <v>130</v>
      </c>
      <c r="B134" s="32"/>
      <c r="C134" s="32" t="s">
        <v>135</v>
      </c>
      <c r="D134" s="32" t="s">
        <v>314</v>
      </c>
      <c r="E134" s="32" t="s">
        <v>325</v>
      </c>
      <c r="F134" s="33" t="s">
        <v>62</v>
      </c>
      <c r="G134" s="32" t="s">
        <v>316</v>
      </c>
      <c r="H134" s="34" t="n">
        <v>46258</v>
      </c>
      <c r="I134" s="35" t="s">
        <v>82</v>
      </c>
      <c r="J134" s="36" t="n">
        <f aca="false">IF(OR($H134="",$I134=""),"",$H134+MATCH($I134,Listas!$F$5:$F$11,0)-1)</f>
        <v>46261</v>
      </c>
      <c r="K134" s="37"/>
      <c r="L134" s="33"/>
      <c r="M134" s="37" t="n">
        <v>46260</v>
      </c>
      <c r="N134" s="32"/>
      <c r="O134" s="32" t="s">
        <v>317</v>
      </c>
      <c r="P134" s="38" t="str">
        <f aca="true">IF($E134="","",IF($L134="Cancelada","Cancelada",IF(OR($K134&lt;&gt;"",$L134="Concluída"),IF(OR($J134="",$K134="",$K134&lt;=$J134),"Concluída","Concluída com atraso"),IF($J134="","Na carteira",IF($J134&lt;TODAY(),"VENCIDA",IF($L134="Em execução","Em execução",IF($J134=TODAY(),"Hoje","Programada")))))))</f>
        <v>Programada</v>
      </c>
      <c r="Q134" s="31" t="str">
        <f aca="false">IF($E134="","",IF(ISNUMBER(SEARCH("(externo)",$G134)),"Terceirizada","Interna"))</f>
        <v>Interna</v>
      </c>
      <c r="R134" s="36" t="n">
        <f aca="false">IF($J134="","",IF($M134="",$J134,$M134))</f>
        <v>46260</v>
      </c>
      <c r="S134" s="31" t="n">
        <f aca="false">IF($E134="","",IF(OR($K134="",$J134=""),0,IF($K134&lt;=$J134,1,0)))</f>
        <v>0</v>
      </c>
      <c r="T134" s="31" t="n">
        <f aca="false">IF($E134="","",IF(OR($K134="",$R134=""),0,IF($K134&lt;=$R134,1,0)))</f>
        <v>0</v>
      </c>
      <c r="U134" s="38" t="str">
        <f aca="false">IF(OR($K134="",$J134=""),"",MAX(0,$K134-$J134))</f>
        <v/>
      </c>
      <c r="V134" s="31" t="n">
        <f aca="false">IF($E134="","",IF(AND($M134&lt;&gt;"",$J134&lt;&gt;"",$M134&lt;&gt;$J134),1,0))</f>
        <v>1</v>
      </c>
      <c r="W134" s="39" t="n">
        <f aca="false">IF($E134="","",IF($L134="Cancelada",0,IF(OR($K134&lt;&gt;"",$L134="Concluída"),1,0)))</f>
        <v>0</v>
      </c>
    </row>
    <row r="135" customFormat="false" ht="15" hidden="false" customHeight="true" outlineLevel="0" collapsed="false">
      <c r="A135" s="31" t="n">
        <f aca="false">IF($E135="","",COUNTA($E$5:$E135))</f>
        <v>131</v>
      </c>
      <c r="B135" s="32"/>
      <c r="C135" s="32" t="s">
        <v>135</v>
      </c>
      <c r="D135" s="32" t="s">
        <v>314</v>
      </c>
      <c r="E135" s="32" t="s">
        <v>326</v>
      </c>
      <c r="F135" s="33" t="s">
        <v>62</v>
      </c>
      <c r="G135" s="32" t="s">
        <v>316</v>
      </c>
      <c r="H135" s="34" t="n">
        <v>46258</v>
      </c>
      <c r="I135" s="35" t="s">
        <v>82</v>
      </c>
      <c r="J135" s="36" t="n">
        <f aca="false">IF(OR($H135="",$I135=""),"",$H135+MATCH($I135,Listas!$F$5:$F$11,0)-1)</f>
        <v>46261</v>
      </c>
      <c r="K135" s="37"/>
      <c r="L135" s="33"/>
      <c r="M135" s="37" t="n">
        <v>46260</v>
      </c>
      <c r="N135" s="32"/>
      <c r="O135" s="32" t="s">
        <v>317</v>
      </c>
      <c r="P135" s="38" t="str">
        <f aca="true">IF($E135="","",IF($L135="Cancelada","Cancelada",IF(OR($K135&lt;&gt;"",$L135="Concluída"),IF(OR($J135="",$K135="",$K135&lt;=$J135),"Concluída","Concluída com atraso"),IF($J135="","Na carteira",IF($J135&lt;TODAY(),"VENCIDA",IF($L135="Em execução","Em execução",IF($J135=TODAY(),"Hoje","Programada")))))))</f>
        <v>Programada</v>
      </c>
      <c r="Q135" s="31" t="str">
        <f aca="false">IF($E135="","",IF(ISNUMBER(SEARCH("(externo)",$G135)),"Terceirizada","Interna"))</f>
        <v>Interna</v>
      </c>
      <c r="R135" s="36" t="n">
        <f aca="false">IF($J135="","",IF($M135="",$J135,$M135))</f>
        <v>46260</v>
      </c>
      <c r="S135" s="31" t="n">
        <f aca="false">IF($E135="","",IF(OR($K135="",$J135=""),0,IF($K135&lt;=$J135,1,0)))</f>
        <v>0</v>
      </c>
      <c r="T135" s="31" t="n">
        <f aca="false">IF($E135="","",IF(OR($K135="",$R135=""),0,IF($K135&lt;=$R135,1,0)))</f>
        <v>0</v>
      </c>
      <c r="U135" s="38" t="str">
        <f aca="false">IF(OR($K135="",$J135=""),"",MAX(0,$K135-$J135))</f>
        <v/>
      </c>
      <c r="V135" s="31" t="n">
        <f aca="false">IF($E135="","",IF(AND($M135&lt;&gt;"",$J135&lt;&gt;"",$M135&lt;&gt;$J135),1,0))</f>
        <v>1</v>
      </c>
      <c r="W135" s="39" t="n">
        <f aca="false">IF($E135="","",IF($L135="Cancelada",0,IF(OR($K135&lt;&gt;"",$L135="Concluída"),1,0)))</f>
        <v>0</v>
      </c>
    </row>
    <row r="136" customFormat="false" ht="15" hidden="false" customHeight="true" outlineLevel="0" collapsed="false">
      <c r="A136" s="31" t="n">
        <f aca="false">IF($E136="","",COUNTA($E$5:$E136))</f>
        <v>132</v>
      </c>
      <c r="B136" s="32"/>
      <c r="C136" s="32" t="s">
        <v>135</v>
      </c>
      <c r="D136" s="32" t="s">
        <v>314</v>
      </c>
      <c r="E136" s="32" t="s">
        <v>327</v>
      </c>
      <c r="F136" s="33" t="s">
        <v>62</v>
      </c>
      <c r="G136" s="32" t="s">
        <v>316</v>
      </c>
      <c r="H136" s="34" t="n">
        <v>46258</v>
      </c>
      <c r="I136" s="35" t="s">
        <v>82</v>
      </c>
      <c r="J136" s="36" t="n">
        <f aca="false">IF(OR($H136="",$I136=""),"",$H136+MATCH($I136,Listas!$F$5:$F$11,0)-1)</f>
        <v>46261</v>
      </c>
      <c r="K136" s="37"/>
      <c r="L136" s="33"/>
      <c r="M136" s="37" t="n">
        <v>46260</v>
      </c>
      <c r="N136" s="32"/>
      <c r="O136" s="32" t="s">
        <v>317</v>
      </c>
      <c r="P136" s="38" t="str">
        <f aca="true">IF($E136="","",IF($L136="Cancelada","Cancelada",IF(OR($K136&lt;&gt;"",$L136="Concluída"),IF(OR($J136="",$K136="",$K136&lt;=$J136),"Concluída","Concluída com atraso"),IF($J136="","Na carteira",IF($J136&lt;TODAY(),"VENCIDA",IF($L136="Em execução","Em execução",IF($J136=TODAY(),"Hoje","Programada")))))))</f>
        <v>Programada</v>
      </c>
      <c r="Q136" s="31" t="str">
        <f aca="false">IF($E136="","",IF(ISNUMBER(SEARCH("(externo)",$G136)),"Terceirizada","Interna"))</f>
        <v>Interna</v>
      </c>
      <c r="R136" s="36" t="n">
        <f aca="false">IF($J136="","",IF($M136="",$J136,$M136))</f>
        <v>46260</v>
      </c>
      <c r="S136" s="31" t="n">
        <f aca="false">IF($E136="","",IF(OR($K136="",$J136=""),0,IF($K136&lt;=$J136,1,0)))</f>
        <v>0</v>
      </c>
      <c r="T136" s="31" t="n">
        <f aca="false">IF($E136="","",IF(OR($K136="",$R136=""),0,IF($K136&lt;=$R136,1,0)))</f>
        <v>0</v>
      </c>
      <c r="U136" s="38" t="str">
        <f aca="false">IF(OR($K136="",$J136=""),"",MAX(0,$K136-$J136))</f>
        <v/>
      </c>
      <c r="V136" s="31" t="n">
        <f aca="false">IF($E136="","",IF(AND($M136&lt;&gt;"",$J136&lt;&gt;"",$M136&lt;&gt;$J136),1,0))</f>
        <v>1</v>
      </c>
      <c r="W136" s="39" t="n">
        <f aca="false">IF($E136="","",IF($L136="Cancelada",0,IF(OR($K136&lt;&gt;"",$L136="Concluída"),1,0)))</f>
        <v>0</v>
      </c>
    </row>
    <row r="137" customFormat="false" ht="15" hidden="false" customHeight="true" outlineLevel="0" collapsed="false">
      <c r="A137" s="31" t="n">
        <f aca="false">IF($E137="","",COUNTA($E$5:$E137))</f>
        <v>133</v>
      </c>
      <c r="B137" s="32"/>
      <c r="C137" s="32" t="s">
        <v>135</v>
      </c>
      <c r="D137" s="32" t="s">
        <v>314</v>
      </c>
      <c r="E137" s="32" t="s">
        <v>328</v>
      </c>
      <c r="F137" s="33" t="s">
        <v>62</v>
      </c>
      <c r="G137" s="32" t="s">
        <v>316</v>
      </c>
      <c r="H137" s="34" t="n">
        <v>46258</v>
      </c>
      <c r="I137" s="35" t="s">
        <v>82</v>
      </c>
      <c r="J137" s="36" t="n">
        <f aca="false">IF(OR($H137="",$I137=""),"",$H137+MATCH($I137,Listas!$F$5:$F$11,0)-1)</f>
        <v>46261</v>
      </c>
      <c r="K137" s="37"/>
      <c r="L137" s="33"/>
      <c r="M137" s="37" t="n">
        <v>46260</v>
      </c>
      <c r="N137" s="32"/>
      <c r="O137" s="32" t="s">
        <v>317</v>
      </c>
      <c r="P137" s="38" t="str">
        <f aca="true">IF($E137="","",IF($L137="Cancelada","Cancelada",IF(OR($K137&lt;&gt;"",$L137="Concluída"),IF(OR($J137="",$K137="",$K137&lt;=$J137),"Concluída","Concluída com atraso"),IF($J137="","Na carteira",IF($J137&lt;TODAY(),"VENCIDA",IF($L137="Em execução","Em execução",IF($J137=TODAY(),"Hoje","Programada")))))))</f>
        <v>Programada</v>
      </c>
      <c r="Q137" s="31" t="str">
        <f aca="false">IF($E137="","",IF(ISNUMBER(SEARCH("(externo)",$G137)),"Terceirizada","Interna"))</f>
        <v>Interna</v>
      </c>
      <c r="R137" s="36" t="n">
        <f aca="false">IF($J137="","",IF($M137="",$J137,$M137))</f>
        <v>46260</v>
      </c>
      <c r="S137" s="31" t="n">
        <f aca="false">IF($E137="","",IF(OR($K137="",$J137=""),0,IF($K137&lt;=$J137,1,0)))</f>
        <v>0</v>
      </c>
      <c r="T137" s="31" t="n">
        <f aca="false">IF($E137="","",IF(OR($K137="",$R137=""),0,IF($K137&lt;=$R137,1,0)))</f>
        <v>0</v>
      </c>
      <c r="U137" s="38" t="str">
        <f aca="false">IF(OR($K137="",$J137=""),"",MAX(0,$K137-$J137))</f>
        <v/>
      </c>
      <c r="V137" s="31" t="n">
        <f aca="false">IF($E137="","",IF(AND($M137&lt;&gt;"",$J137&lt;&gt;"",$M137&lt;&gt;$J137),1,0))</f>
        <v>1</v>
      </c>
      <c r="W137" s="39" t="n">
        <f aca="false">IF($E137="","",IF($L137="Cancelada",0,IF(OR($K137&lt;&gt;"",$L137="Concluída"),1,0)))</f>
        <v>0</v>
      </c>
    </row>
    <row r="138" customFormat="false" ht="15" hidden="false" customHeight="true" outlineLevel="0" collapsed="false">
      <c r="A138" s="31" t="n">
        <f aca="false">IF($E138="","",COUNTA($E$5:$E138))</f>
        <v>134</v>
      </c>
      <c r="B138" s="32"/>
      <c r="C138" s="32" t="s">
        <v>135</v>
      </c>
      <c r="D138" s="32" t="s">
        <v>314</v>
      </c>
      <c r="E138" s="32" t="s">
        <v>329</v>
      </c>
      <c r="F138" s="33" t="s">
        <v>62</v>
      </c>
      <c r="G138" s="32" t="s">
        <v>316</v>
      </c>
      <c r="H138" s="34" t="n">
        <v>46258</v>
      </c>
      <c r="I138" s="35" t="s">
        <v>82</v>
      </c>
      <c r="J138" s="36" t="n">
        <f aca="false">IF(OR($H138="",$I138=""),"",$H138+MATCH($I138,Listas!$F$5:$F$11,0)-1)</f>
        <v>46261</v>
      </c>
      <c r="K138" s="37"/>
      <c r="L138" s="33"/>
      <c r="M138" s="37" t="n">
        <v>46260</v>
      </c>
      <c r="N138" s="32"/>
      <c r="O138" s="32" t="s">
        <v>317</v>
      </c>
      <c r="P138" s="38" t="str">
        <f aca="true">IF($E138="","",IF($L138="Cancelada","Cancelada",IF(OR($K138&lt;&gt;"",$L138="Concluída"),IF(OR($J138="",$K138="",$K138&lt;=$J138),"Concluída","Concluída com atraso"),IF($J138="","Na carteira",IF($J138&lt;TODAY(),"VENCIDA",IF($L138="Em execução","Em execução",IF($J138=TODAY(),"Hoje","Programada")))))))</f>
        <v>Programada</v>
      </c>
      <c r="Q138" s="31" t="str">
        <f aca="false">IF($E138="","",IF(ISNUMBER(SEARCH("(externo)",$G138)),"Terceirizada","Interna"))</f>
        <v>Interna</v>
      </c>
      <c r="R138" s="36" t="n">
        <f aca="false">IF($J138="","",IF($M138="",$J138,$M138))</f>
        <v>46260</v>
      </c>
      <c r="S138" s="31" t="n">
        <f aca="false">IF($E138="","",IF(OR($K138="",$J138=""),0,IF($K138&lt;=$J138,1,0)))</f>
        <v>0</v>
      </c>
      <c r="T138" s="31" t="n">
        <f aca="false">IF($E138="","",IF(OR($K138="",$R138=""),0,IF($K138&lt;=$R138,1,0)))</f>
        <v>0</v>
      </c>
      <c r="U138" s="38" t="str">
        <f aca="false">IF(OR($K138="",$J138=""),"",MAX(0,$K138-$J138))</f>
        <v/>
      </c>
      <c r="V138" s="31" t="n">
        <f aca="false">IF($E138="","",IF(AND($M138&lt;&gt;"",$J138&lt;&gt;"",$M138&lt;&gt;$J138),1,0))</f>
        <v>1</v>
      </c>
      <c r="W138" s="39" t="n">
        <f aca="false">IF($E138="","",IF($L138="Cancelada",0,IF(OR($K138&lt;&gt;"",$L138="Concluída"),1,0)))</f>
        <v>0</v>
      </c>
    </row>
    <row r="139" customFormat="false" ht="15" hidden="false" customHeight="true" outlineLevel="0" collapsed="false">
      <c r="A139" s="31" t="n">
        <f aca="false">IF($E139="","",COUNTA($E$5:$E139))</f>
        <v>135</v>
      </c>
      <c r="B139" s="32"/>
      <c r="C139" s="32" t="s">
        <v>135</v>
      </c>
      <c r="D139" s="32" t="s">
        <v>314</v>
      </c>
      <c r="E139" s="32" t="s">
        <v>330</v>
      </c>
      <c r="F139" s="33" t="s">
        <v>62</v>
      </c>
      <c r="G139" s="32" t="s">
        <v>316</v>
      </c>
      <c r="H139" s="34" t="n">
        <v>46258</v>
      </c>
      <c r="I139" s="35" t="s">
        <v>82</v>
      </c>
      <c r="J139" s="36" t="n">
        <f aca="false">IF(OR($H139="",$I139=""),"",$H139+MATCH($I139,Listas!$F$5:$F$11,0)-1)</f>
        <v>46261</v>
      </c>
      <c r="K139" s="37"/>
      <c r="L139" s="33"/>
      <c r="M139" s="37" t="n">
        <v>46260</v>
      </c>
      <c r="N139" s="32"/>
      <c r="O139" s="32" t="s">
        <v>317</v>
      </c>
      <c r="P139" s="38" t="str">
        <f aca="true">IF($E139="","",IF($L139="Cancelada","Cancelada",IF(OR($K139&lt;&gt;"",$L139="Concluída"),IF(OR($J139="",$K139="",$K139&lt;=$J139),"Concluída","Concluída com atraso"),IF($J139="","Na carteira",IF($J139&lt;TODAY(),"VENCIDA",IF($L139="Em execução","Em execução",IF($J139=TODAY(),"Hoje","Programada")))))))</f>
        <v>Programada</v>
      </c>
      <c r="Q139" s="31" t="str">
        <f aca="false">IF($E139="","",IF(ISNUMBER(SEARCH("(externo)",$G139)),"Terceirizada","Interna"))</f>
        <v>Interna</v>
      </c>
      <c r="R139" s="36" t="n">
        <f aca="false">IF($J139="","",IF($M139="",$J139,$M139))</f>
        <v>46260</v>
      </c>
      <c r="S139" s="31" t="n">
        <f aca="false">IF($E139="","",IF(OR($K139="",$J139=""),0,IF($K139&lt;=$J139,1,0)))</f>
        <v>0</v>
      </c>
      <c r="T139" s="31" t="n">
        <f aca="false">IF($E139="","",IF(OR($K139="",$R139=""),0,IF($K139&lt;=$R139,1,0)))</f>
        <v>0</v>
      </c>
      <c r="U139" s="38" t="str">
        <f aca="false">IF(OR($K139="",$J139=""),"",MAX(0,$K139-$J139))</f>
        <v/>
      </c>
      <c r="V139" s="31" t="n">
        <f aca="false">IF($E139="","",IF(AND($M139&lt;&gt;"",$J139&lt;&gt;"",$M139&lt;&gt;$J139),1,0))</f>
        <v>1</v>
      </c>
      <c r="W139" s="39" t="n">
        <f aca="false">IF($E139="","",IF($L139="Cancelada",0,IF(OR($K139&lt;&gt;"",$L139="Concluída"),1,0)))</f>
        <v>0</v>
      </c>
    </row>
    <row r="140" customFormat="false" ht="15" hidden="false" customHeight="true" outlineLevel="0" collapsed="false">
      <c r="A140" s="31" t="n">
        <f aca="false">IF($E140="","",COUNTA($E$5:$E140))</f>
        <v>136</v>
      </c>
      <c r="B140" s="32"/>
      <c r="C140" s="32" t="s">
        <v>135</v>
      </c>
      <c r="D140" s="32" t="s">
        <v>314</v>
      </c>
      <c r="E140" s="32" t="s">
        <v>331</v>
      </c>
      <c r="F140" s="33" t="s">
        <v>62</v>
      </c>
      <c r="G140" s="32" t="s">
        <v>316</v>
      </c>
      <c r="H140" s="34" t="n">
        <v>46258</v>
      </c>
      <c r="I140" s="35" t="s">
        <v>82</v>
      </c>
      <c r="J140" s="36" t="n">
        <f aca="false">IF(OR($H140="",$I140=""),"",$H140+MATCH($I140,Listas!$F$5:$F$11,0)-1)</f>
        <v>46261</v>
      </c>
      <c r="K140" s="37"/>
      <c r="L140" s="33"/>
      <c r="M140" s="37" t="n">
        <v>46260</v>
      </c>
      <c r="N140" s="32"/>
      <c r="O140" s="32" t="s">
        <v>317</v>
      </c>
      <c r="P140" s="38" t="str">
        <f aca="true">IF($E140="","",IF($L140="Cancelada","Cancelada",IF(OR($K140&lt;&gt;"",$L140="Concluída"),IF(OR($J140="",$K140="",$K140&lt;=$J140),"Concluída","Concluída com atraso"),IF($J140="","Na carteira",IF($J140&lt;TODAY(),"VENCIDA",IF($L140="Em execução","Em execução",IF($J140=TODAY(),"Hoje","Programada")))))))</f>
        <v>Programada</v>
      </c>
      <c r="Q140" s="31" t="str">
        <f aca="false">IF($E140="","",IF(ISNUMBER(SEARCH("(externo)",$G140)),"Terceirizada","Interna"))</f>
        <v>Interna</v>
      </c>
      <c r="R140" s="36" t="n">
        <f aca="false">IF($J140="","",IF($M140="",$J140,$M140))</f>
        <v>46260</v>
      </c>
      <c r="S140" s="31" t="n">
        <f aca="false">IF($E140="","",IF(OR($K140="",$J140=""),0,IF($K140&lt;=$J140,1,0)))</f>
        <v>0</v>
      </c>
      <c r="T140" s="31" t="n">
        <f aca="false">IF($E140="","",IF(OR($K140="",$R140=""),0,IF($K140&lt;=$R140,1,0)))</f>
        <v>0</v>
      </c>
      <c r="U140" s="38" t="str">
        <f aca="false">IF(OR($K140="",$J140=""),"",MAX(0,$K140-$J140))</f>
        <v/>
      </c>
      <c r="V140" s="31" t="n">
        <f aca="false">IF($E140="","",IF(AND($M140&lt;&gt;"",$J140&lt;&gt;"",$M140&lt;&gt;$J140),1,0))</f>
        <v>1</v>
      </c>
      <c r="W140" s="39" t="n">
        <f aca="false">IF($E140="","",IF($L140="Cancelada",0,IF(OR($K140&lt;&gt;"",$L140="Concluída"),1,0)))</f>
        <v>0</v>
      </c>
    </row>
    <row r="141" customFormat="false" ht="15" hidden="false" customHeight="true" outlineLevel="0" collapsed="false">
      <c r="A141" s="31" t="n">
        <f aca="false">IF($E141="","",COUNTA($E$5:$E141))</f>
        <v>137</v>
      </c>
      <c r="B141" s="32"/>
      <c r="C141" s="32" t="s">
        <v>135</v>
      </c>
      <c r="D141" s="32" t="s">
        <v>314</v>
      </c>
      <c r="E141" s="32" t="s">
        <v>332</v>
      </c>
      <c r="F141" s="33" t="s">
        <v>62</v>
      </c>
      <c r="G141" s="32" t="s">
        <v>316</v>
      </c>
      <c r="H141" s="34" t="n">
        <v>46258</v>
      </c>
      <c r="I141" s="35" t="s">
        <v>82</v>
      </c>
      <c r="J141" s="36" t="n">
        <f aca="false">IF(OR($H141="",$I141=""),"",$H141+MATCH($I141,Listas!$F$5:$F$11,0)-1)</f>
        <v>46261</v>
      </c>
      <c r="K141" s="37"/>
      <c r="L141" s="33"/>
      <c r="M141" s="37" t="n">
        <v>46260</v>
      </c>
      <c r="N141" s="32"/>
      <c r="O141" s="32" t="s">
        <v>317</v>
      </c>
      <c r="P141" s="38" t="str">
        <f aca="true">IF($E141="","",IF($L141="Cancelada","Cancelada",IF(OR($K141&lt;&gt;"",$L141="Concluída"),IF(OR($J141="",$K141="",$K141&lt;=$J141),"Concluída","Concluída com atraso"),IF($J141="","Na carteira",IF($J141&lt;TODAY(),"VENCIDA",IF($L141="Em execução","Em execução",IF($J141=TODAY(),"Hoje","Programada")))))))</f>
        <v>Programada</v>
      </c>
      <c r="Q141" s="31" t="str">
        <f aca="false">IF($E141="","",IF(ISNUMBER(SEARCH("(externo)",$G141)),"Terceirizada","Interna"))</f>
        <v>Interna</v>
      </c>
      <c r="R141" s="36" t="n">
        <f aca="false">IF($J141="","",IF($M141="",$J141,$M141))</f>
        <v>46260</v>
      </c>
      <c r="S141" s="31" t="n">
        <f aca="false">IF($E141="","",IF(OR($K141="",$J141=""),0,IF($K141&lt;=$J141,1,0)))</f>
        <v>0</v>
      </c>
      <c r="T141" s="31" t="n">
        <f aca="false">IF($E141="","",IF(OR($K141="",$R141=""),0,IF($K141&lt;=$R141,1,0)))</f>
        <v>0</v>
      </c>
      <c r="U141" s="38" t="str">
        <f aca="false">IF(OR($K141="",$J141=""),"",MAX(0,$K141-$J141))</f>
        <v/>
      </c>
      <c r="V141" s="31" t="n">
        <f aca="false">IF($E141="","",IF(AND($M141&lt;&gt;"",$J141&lt;&gt;"",$M141&lt;&gt;$J141),1,0))</f>
        <v>1</v>
      </c>
      <c r="W141" s="39" t="n">
        <f aca="false">IF($E141="","",IF($L141="Cancelada",0,IF(OR($K141&lt;&gt;"",$L141="Concluída"),1,0)))</f>
        <v>0</v>
      </c>
    </row>
    <row r="142" customFormat="false" ht="15" hidden="false" customHeight="true" outlineLevel="0" collapsed="false">
      <c r="A142" s="31" t="n">
        <f aca="false">IF($E142="","",COUNTA($E$5:$E142))</f>
        <v>138</v>
      </c>
      <c r="B142" s="32"/>
      <c r="C142" s="32" t="s">
        <v>135</v>
      </c>
      <c r="D142" s="32" t="s">
        <v>314</v>
      </c>
      <c r="E142" s="32" t="s">
        <v>333</v>
      </c>
      <c r="F142" s="33" t="s">
        <v>62</v>
      </c>
      <c r="G142" s="32" t="s">
        <v>316</v>
      </c>
      <c r="H142" s="34" t="n">
        <v>46258</v>
      </c>
      <c r="I142" s="35" t="s">
        <v>82</v>
      </c>
      <c r="J142" s="36" t="n">
        <f aca="false">IF(OR($H142="",$I142=""),"",$H142+MATCH($I142,Listas!$F$5:$F$11,0)-1)</f>
        <v>46261</v>
      </c>
      <c r="K142" s="37"/>
      <c r="L142" s="33"/>
      <c r="M142" s="37" t="n">
        <v>46260</v>
      </c>
      <c r="N142" s="32"/>
      <c r="O142" s="32" t="s">
        <v>317</v>
      </c>
      <c r="P142" s="38" t="str">
        <f aca="true">IF($E142="","",IF($L142="Cancelada","Cancelada",IF(OR($K142&lt;&gt;"",$L142="Concluída"),IF(OR($J142="",$K142="",$K142&lt;=$J142),"Concluída","Concluída com atraso"),IF($J142="","Na carteira",IF($J142&lt;TODAY(),"VENCIDA",IF($L142="Em execução","Em execução",IF($J142=TODAY(),"Hoje","Programada")))))))</f>
        <v>Programada</v>
      </c>
      <c r="Q142" s="31" t="str">
        <f aca="false">IF($E142="","",IF(ISNUMBER(SEARCH("(externo)",$G142)),"Terceirizada","Interna"))</f>
        <v>Interna</v>
      </c>
      <c r="R142" s="36" t="n">
        <f aca="false">IF($J142="","",IF($M142="",$J142,$M142))</f>
        <v>46260</v>
      </c>
      <c r="S142" s="31" t="n">
        <f aca="false">IF($E142="","",IF(OR($K142="",$J142=""),0,IF($K142&lt;=$J142,1,0)))</f>
        <v>0</v>
      </c>
      <c r="T142" s="31" t="n">
        <f aca="false">IF($E142="","",IF(OR($K142="",$R142=""),0,IF($K142&lt;=$R142,1,0)))</f>
        <v>0</v>
      </c>
      <c r="U142" s="38" t="str">
        <f aca="false">IF(OR($K142="",$J142=""),"",MAX(0,$K142-$J142))</f>
        <v/>
      </c>
      <c r="V142" s="31" t="n">
        <f aca="false">IF($E142="","",IF(AND($M142&lt;&gt;"",$J142&lt;&gt;"",$M142&lt;&gt;$J142),1,0))</f>
        <v>1</v>
      </c>
      <c r="W142" s="39" t="n">
        <f aca="false">IF($E142="","",IF($L142="Cancelada",0,IF(OR($K142&lt;&gt;"",$L142="Concluída"),1,0)))</f>
        <v>0</v>
      </c>
    </row>
    <row r="143" customFormat="false" ht="15" hidden="false" customHeight="true" outlineLevel="0" collapsed="false">
      <c r="A143" s="31" t="n">
        <f aca="false">IF($E143="","",COUNTA($E$5:$E143))</f>
        <v>139</v>
      </c>
      <c r="B143" s="32"/>
      <c r="C143" s="32" t="s">
        <v>135</v>
      </c>
      <c r="D143" s="32" t="s">
        <v>314</v>
      </c>
      <c r="E143" s="32" t="s">
        <v>334</v>
      </c>
      <c r="F143" s="33" t="s">
        <v>62</v>
      </c>
      <c r="G143" s="32" t="s">
        <v>316</v>
      </c>
      <c r="H143" s="34" t="n">
        <v>46258</v>
      </c>
      <c r="I143" s="35" t="s">
        <v>82</v>
      </c>
      <c r="J143" s="36" t="n">
        <f aca="false">IF(OR($H143="",$I143=""),"",$H143+MATCH($I143,Listas!$F$5:$F$11,0)-1)</f>
        <v>46261</v>
      </c>
      <c r="K143" s="37"/>
      <c r="L143" s="33"/>
      <c r="M143" s="37" t="n">
        <v>46260</v>
      </c>
      <c r="N143" s="32"/>
      <c r="O143" s="32" t="s">
        <v>317</v>
      </c>
      <c r="P143" s="38" t="str">
        <f aca="true">IF($E143="","",IF($L143="Cancelada","Cancelada",IF(OR($K143&lt;&gt;"",$L143="Concluída"),IF(OR($J143="",$K143="",$K143&lt;=$J143),"Concluída","Concluída com atraso"),IF($J143="","Na carteira",IF($J143&lt;TODAY(),"VENCIDA",IF($L143="Em execução","Em execução",IF($J143=TODAY(),"Hoje","Programada")))))))</f>
        <v>Programada</v>
      </c>
      <c r="Q143" s="31" t="str">
        <f aca="false">IF($E143="","",IF(ISNUMBER(SEARCH("(externo)",$G143)),"Terceirizada","Interna"))</f>
        <v>Interna</v>
      </c>
      <c r="R143" s="36" t="n">
        <f aca="false">IF($J143="","",IF($M143="",$J143,$M143))</f>
        <v>46260</v>
      </c>
      <c r="S143" s="31" t="n">
        <f aca="false">IF($E143="","",IF(OR($K143="",$J143=""),0,IF($K143&lt;=$J143,1,0)))</f>
        <v>0</v>
      </c>
      <c r="T143" s="31" t="n">
        <f aca="false">IF($E143="","",IF(OR($K143="",$R143=""),0,IF($K143&lt;=$R143,1,0)))</f>
        <v>0</v>
      </c>
      <c r="U143" s="38" t="str">
        <f aca="false">IF(OR($K143="",$J143=""),"",MAX(0,$K143-$J143))</f>
        <v/>
      </c>
      <c r="V143" s="31" t="n">
        <f aca="false">IF($E143="","",IF(AND($M143&lt;&gt;"",$J143&lt;&gt;"",$M143&lt;&gt;$J143),1,0))</f>
        <v>1</v>
      </c>
      <c r="W143" s="39" t="n">
        <f aca="false">IF($E143="","",IF($L143="Cancelada",0,IF(OR($K143&lt;&gt;"",$L143="Concluída"),1,0)))</f>
        <v>0</v>
      </c>
    </row>
    <row r="144" customFormat="false" ht="15" hidden="false" customHeight="true" outlineLevel="0" collapsed="false">
      <c r="A144" s="31" t="n">
        <f aca="false">IF($E144="","",COUNTA($E$5:$E144))</f>
        <v>140</v>
      </c>
      <c r="B144" s="32"/>
      <c r="C144" s="32" t="s">
        <v>135</v>
      </c>
      <c r="D144" s="32" t="s">
        <v>314</v>
      </c>
      <c r="E144" s="32" t="s">
        <v>335</v>
      </c>
      <c r="F144" s="33" t="s">
        <v>62</v>
      </c>
      <c r="G144" s="32" t="s">
        <v>316</v>
      </c>
      <c r="H144" s="34" t="n">
        <v>46258</v>
      </c>
      <c r="I144" s="35" t="s">
        <v>82</v>
      </c>
      <c r="J144" s="36" t="n">
        <f aca="false">IF(OR($H144="",$I144=""),"",$H144+MATCH($I144,Listas!$F$5:$F$11,0)-1)</f>
        <v>46261</v>
      </c>
      <c r="K144" s="37"/>
      <c r="L144" s="33"/>
      <c r="M144" s="37" t="n">
        <v>46260</v>
      </c>
      <c r="N144" s="32"/>
      <c r="O144" s="32" t="s">
        <v>317</v>
      </c>
      <c r="P144" s="38" t="str">
        <f aca="true">IF($E144="","",IF($L144="Cancelada","Cancelada",IF(OR($K144&lt;&gt;"",$L144="Concluída"),IF(OR($J144="",$K144="",$K144&lt;=$J144),"Concluída","Concluída com atraso"),IF($J144="","Na carteira",IF($J144&lt;TODAY(),"VENCIDA",IF($L144="Em execução","Em execução",IF($J144=TODAY(),"Hoje","Programada")))))))</f>
        <v>Programada</v>
      </c>
      <c r="Q144" s="31" t="str">
        <f aca="false">IF($E144="","",IF(ISNUMBER(SEARCH("(externo)",$G144)),"Terceirizada","Interna"))</f>
        <v>Interna</v>
      </c>
      <c r="R144" s="36" t="n">
        <f aca="false">IF($J144="","",IF($M144="",$J144,$M144))</f>
        <v>46260</v>
      </c>
      <c r="S144" s="31" t="n">
        <f aca="false">IF($E144="","",IF(OR($K144="",$J144=""),0,IF($K144&lt;=$J144,1,0)))</f>
        <v>0</v>
      </c>
      <c r="T144" s="31" t="n">
        <f aca="false">IF($E144="","",IF(OR($K144="",$R144=""),0,IF($K144&lt;=$R144,1,0)))</f>
        <v>0</v>
      </c>
      <c r="U144" s="38" t="str">
        <f aca="false">IF(OR($K144="",$J144=""),"",MAX(0,$K144-$J144))</f>
        <v/>
      </c>
      <c r="V144" s="31" t="n">
        <f aca="false">IF($E144="","",IF(AND($M144&lt;&gt;"",$J144&lt;&gt;"",$M144&lt;&gt;$J144),1,0))</f>
        <v>1</v>
      </c>
      <c r="W144" s="39" t="n">
        <f aca="false">IF($E144="","",IF($L144="Cancelada",0,IF(OR($K144&lt;&gt;"",$L144="Concluída"),1,0)))</f>
        <v>0</v>
      </c>
    </row>
    <row r="145" customFormat="false" ht="15" hidden="false" customHeight="true" outlineLevel="0" collapsed="false">
      <c r="A145" s="31" t="n">
        <f aca="false">IF($E145="","",COUNTA($E$5:$E145))</f>
        <v>141</v>
      </c>
      <c r="B145" s="32"/>
      <c r="C145" s="32" t="s">
        <v>135</v>
      </c>
      <c r="D145" s="32" t="s">
        <v>314</v>
      </c>
      <c r="E145" s="32" t="s">
        <v>336</v>
      </c>
      <c r="F145" s="33" t="s">
        <v>62</v>
      </c>
      <c r="G145" s="32" t="s">
        <v>316</v>
      </c>
      <c r="H145" s="34" t="n">
        <v>46258</v>
      </c>
      <c r="I145" s="35" t="s">
        <v>82</v>
      </c>
      <c r="J145" s="36" t="n">
        <f aca="false">IF(OR($H145="",$I145=""),"",$H145+MATCH($I145,Listas!$F$5:$F$11,0)-1)</f>
        <v>46261</v>
      </c>
      <c r="K145" s="37"/>
      <c r="L145" s="33"/>
      <c r="M145" s="37" t="n">
        <v>46260</v>
      </c>
      <c r="N145" s="32"/>
      <c r="O145" s="32" t="s">
        <v>317</v>
      </c>
      <c r="P145" s="38" t="str">
        <f aca="true">IF($E145="","",IF($L145="Cancelada","Cancelada",IF(OR($K145&lt;&gt;"",$L145="Concluída"),IF(OR($J145="",$K145="",$K145&lt;=$J145),"Concluída","Concluída com atraso"),IF($J145="","Na carteira",IF($J145&lt;TODAY(),"VENCIDA",IF($L145="Em execução","Em execução",IF($J145=TODAY(),"Hoje","Programada")))))))</f>
        <v>Programada</v>
      </c>
      <c r="Q145" s="31" t="str">
        <f aca="false">IF($E145="","",IF(ISNUMBER(SEARCH("(externo)",$G145)),"Terceirizada","Interna"))</f>
        <v>Interna</v>
      </c>
      <c r="R145" s="36" t="n">
        <f aca="false">IF($J145="","",IF($M145="",$J145,$M145))</f>
        <v>46260</v>
      </c>
      <c r="S145" s="31" t="n">
        <f aca="false">IF($E145="","",IF(OR($K145="",$J145=""),0,IF($K145&lt;=$J145,1,0)))</f>
        <v>0</v>
      </c>
      <c r="T145" s="31" t="n">
        <f aca="false">IF($E145="","",IF(OR($K145="",$R145=""),0,IF($K145&lt;=$R145,1,0)))</f>
        <v>0</v>
      </c>
      <c r="U145" s="38" t="str">
        <f aca="false">IF(OR($K145="",$J145=""),"",MAX(0,$K145-$J145))</f>
        <v/>
      </c>
      <c r="V145" s="31" t="n">
        <f aca="false">IF($E145="","",IF(AND($M145&lt;&gt;"",$J145&lt;&gt;"",$M145&lt;&gt;$J145),1,0))</f>
        <v>1</v>
      </c>
      <c r="W145" s="39" t="n">
        <f aca="false">IF($E145="","",IF($L145="Cancelada",0,IF(OR($K145&lt;&gt;"",$L145="Concluída"),1,0)))</f>
        <v>0</v>
      </c>
    </row>
    <row r="146" customFormat="false" ht="15" hidden="false" customHeight="true" outlineLevel="0" collapsed="false">
      <c r="A146" s="31" t="n">
        <f aca="false">IF($E146="","",COUNTA($E$5:$E146))</f>
        <v>142</v>
      </c>
      <c r="B146" s="32"/>
      <c r="C146" s="32" t="s">
        <v>135</v>
      </c>
      <c r="D146" s="32" t="s">
        <v>314</v>
      </c>
      <c r="E146" s="32" t="s">
        <v>337</v>
      </c>
      <c r="F146" s="33" t="s">
        <v>62</v>
      </c>
      <c r="G146" s="32" t="s">
        <v>316</v>
      </c>
      <c r="H146" s="34" t="n">
        <v>46258</v>
      </c>
      <c r="I146" s="35" t="s">
        <v>82</v>
      </c>
      <c r="J146" s="36" t="n">
        <f aca="false">IF(OR($H146="",$I146=""),"",$H146+MATCH($I146,Listas!$F$5:$F$11,0)-1)</f>
        <v>46261</v>
      </c>
      <c r="K146" s="37"/>
      <c r="L146" s="33"/>
      <c r="M146" s="37" t="n">
        <v>46260</v>
      </c>
      <c r="N146" s="32"/>
      <c r="O146" s="32" t="s">
        <v>317</v>
      </c>
      <c r="P146" s="38" t="str">
        <f aca="true">IF($E146="","",IF($L146="Cancelada","Cancelada",IF(OR($K146&lt;&gt;"",$L146="Concluída"),IF(OR($J146="",$K146="",$K146&lt;=$J146),"Concluída","Concluída com atraso"),IF($J146="","Na carteira",IF($J146&lt;TODAY(),"VENCIDA",IF($L146="Em execução","Em execução",IF($J146=TODAY(),"Hoje","Programada")))))))</f>
        <v>Programada</v>
      </c>
      <c r="Q146" s="31" t="str">
        <f aca="false">IF($E146="","",IF(ISNUMBER(SEARCH("(externo)",$G146)),"Terceirizada","Interna"))</f>
        <v>Interna</v>
      </c>
      <c r="R146" s="36" t="n">
        <f aca="false">IF($J146="","",IF($M146="",$J146,$M146))</f>
        <v>46260</v>
      </c>
      <c r="S146" s="31" t="n">
        <f aca="false">IF($E146="","",IF(OR($K146="",$J146=""),0,IF($K146&lt;=$J146,1,0)))</f>
        <v>0</v>
      </c>
      <c r="T146" s="31" t="n">
        <f aca="false">IF($E146="","",IF(OR($K146="",$R146=""),0,IF($K146&lt;=$R146,1,0)))</f>
        <v>0</v>
      </c>
      <c r="U146" s="38" t="str">
        <f aca="false">IF(OR($K146="",$J146=""),"",MAX(0,$K146-$J146))</f>
        <v/>
      </c>
      <c r="V146" s="31" t="n">
        <f aca="false">IF($E146="","",IF(AND($M146&lt;&gt;"",$J146&lt;&gt;"",$M146&lt;&gt;$J146),1,0))</f>
        <v>1</v>
      </c>
      <c r="W146" s="39" t="n">
        <f aca="false">IF($E146="","",IF($L146="Cancelada",0,IF(OR($K146&lt;&gt;"",$L146="Concluída"),1,0)))</f>
        <v>0</v>
      </c>
    </row>
    <row r="147" customFormat="false" ht="15" hidden="false" customHeight="true" outlineLevel="0" collapsed="false">
      <c r="A147" s="31" t="n">
        <f aca="false">IF($E147="","",COUNTA($E$5:$E147))</f>
        <v>143</v>
      </c>
      <c r="B147" s="32"/>
      <c r="C147" s="32" t="s">
        <v>135</v>
      </c>
      <c r="D147" s="32" t="s">
        <v>314</v>
      </c>
      <c r="E147" s="32" t="s">
        <v>338</v>
      </c>
      <c r="F147" s="33" t="s">
        <v>62</v>
      </c>
      <c r="G147" s="32" t="s">
        <v>316</v>
      </c>
      <c r="H147" s="34" t="n">
        <v>46258</v>
      </c>
      <c r="I147" s="35" t="s">
        <v>82</v>
      </c>
      <c r="J147" s="36" t="n">
        <f aca="false">IF(OR($H147="",$I147=""),"",$H147+MATCH($I147,Listas!$F$5:$F$11,0)-1)</f>
        <v>46261</v>
      </c>
      <c r="K147" s="37"/>
      <c r="L147" s="33"/>
      <c r="M147" s="37" t="n">
        <v>46260</v>
      </c>
      <c r="N147" s="32"/>
      <c r="O147" s="32" t="s">
        <v>317</v>
      </c>
      <c r="P147" s="38" t="str">
        <f aca="true">IF($E147="","",IF($L147="Cancelada","Cancelada",IF(OR($K147&lt;&gt;"",$L147="Concluída"),IF(OR($J147="",$K147="",$K147&lt;=$J147),"Concluída","Concluída com atraso"),IF($J147="","Na carteira",IF($J147&lt;TODAY(),"VENCIDA",IF($L147="Em execução","Em execução",IF($J147=TODAY(),"Hoje","Programada")))))))</f>
        <v>Programada</v>
      </c>
      <c r="Q147" s="31" t="str">
        <f aca="false">IF($E147="","",IF(ISNUMBER(SEARCH("(externo)",$G147)),"Terceirizada","Interna"))</f>
        <v>Interna</v>
      </c>
      <c r="R147" s="36" t="n">
        <f aca="false">IF($J147="","",IF($M147="",$J147,$M147))</f>
        <v>46260</v>
      </c>
      <c r="S147" s="31" t="n">
        <f aca="false">IF($E147="","",IF(OR($K147="",$J147=""),0,IF($K147&lt;=$J147,1,0)))</f>
        <v>0</v>
      </c>
      <c r="T147" s="31" t="n">
        <f aca="false">IF($E147="","",IF(OR($K147="",$R147=""),0,IF($K147&lt;=$R147,1,0)))</f>
        <v>0</v>
      </c>
      <c r="U147" s="38" t="str">
        <f aca="false">IF(OR($K147="",$J147=""),"",MAX(0,$K147-$J147))</f>
        <v/>
      </c>
      <c r="V147" s="31" t="n">
        <f aca="false">IF($E147="","",IF(AND($M147&lt;&gt;"",$J147&lt;&gt;"",$M147&lt;&gt;$J147),1,0))</f>
        <v>1</v>
      </c>
      <c r="W147" s="39" t="n">
        <f aca="false">IF($E147="","",IF($L147="Cancelada",0,IF(OR($K147&lt;&gt;"",$L147="Concluída"),1,0)))</f>
        <v>0</v>
      </c>
    </row>
    <row r="148" customFormat="false" ht="15" hidden="false" customHeight="true" outlineLevel="0" collapsed="false">
      <c r="A148" s="31" t="n">
        <f aca="false">IF($E148="","",COUNTA($E$5:$E148))</f>
        <v>144</v>
      </c>
      <c r="B148" s="32"/>
      <c r="C148" s="32" t="s">
        <v>135</v>
      </c>
      <c r="D148" s="32" t="s">
        <v>314</v>
      </c>
      <c r="E148" s="32" t="s">
        <v>339</v>
      </c>
      <c r="F148" s="33" t="s">
        <v>62</v>
      </c>
      <c r="G148" s="32" t="s">
        <v>316</v>
      </c>
      <c r="H148" s="34" t="n">
        <v>46258</v>
      </c>
      <c r="I148" s="35" t="s">
        <v>82</v>
      </c>
      <c r="J148" s="36" t="n">
        <f aca="false">IF(OR($H148="",$I148=""),"",$H148+MATCH($I148,Listas!$F$5:$F$11,0)-1)</f>
        <v>46261</v>
      </c>
      <c r="K148" s="37"/>
      <c r="L148" s="33"/>
      <c r="M148" s="37" t="n">
        <v>46260</v>
      </c>
      <c r="N148" s="32"/>
      <c r="O148" s="32" t="s">
        <v>317</v>
      </c>
      <c r="P148" s="38" t="str">
        <f aca="true">IF($E148="","",IF($L148="Cancelada","Cancelada",IF(OR($K148&lt;&gt;"",$L148="Concluída"),IF(OR($J148="",$K148="",$K148&lt;=$J148),"Concluída","Concluída com atraso"),IF($J148="","Na carteira",IF($J148&lt;TODAY(),"VENCIDA",IF($L148="Em execução","Em execução",IF($J148=TODAY(),"Hoje","Programada")))))))</f>
        <v>Programada</v>
      </c>
      <c r="Q148" s="31" t="str">
        <f aca="false">IF($E148="","",IF(ISNUMBER(SEARCH("(externo)",$G148)),"Terceirizada","Interna"))</f>
        <v>Interna</v>
      </c>
      <c r="R148" s="36" t="n">
        <f aca="false">IF($J148="","",IF($M148="",$J148,$M148))</f>
        <v>46260</v>
      </c>
      <c r="S148" s="31" t="n">
        <f aca="false">IF($E148="","",IF(OR($K148="",$J148=""),0,IF($K148&lt;=$J148,1,0)))</f>
        <v>0</v>
      </c>
      <c r="T148" s="31" t="n">
        <f aca="false">IF($E148="","",IF(OR($K148="",$R148=""),0,IF($K148&lt;=$R148,1,0)))</f>
        <v>0</v>
      </c>
      <c r="U148" s="38" t="str">
        <f aca="false">IF(OR($K148="",$J148=""),"",MAX(0,$K148-$J148))</f>
        <v/>
      </c>
      <c r="V148" s="31" t="n">
        <f aca="false">IF($E148="","",IF(AND($M148&lt;&gt;"",$J148&lt;&gt;"",$M148&lt;&gt;$J148),1,0))</f>
        <v>1</v>
      </c>
      <c r="W148" s="39" t="n">
        <f aca="false">IF($E148="","",IF($L148="Cancelada",0,IF(OR($K148&lt;&gt;"",$L148="Concluída"),1,0)))</f>
        <v>0</v>
      </c>
    </row>
    <row r="149" customFormat="false" ht="15" hidden="false" customHeight="true" outlineLevel="0" collapsed="false">
      <c r="A149" s="31" t="n">
        <f aca="false">IF($E149="","",COUNTA($E$5:$E149))</f>
        <v>145</v>
      </c>
      <c r="B149" s="32"/>
      <c r="C149" s="32" t="s">
        <v>135</v>
      </c>
      <c r="D149" s="32" t="s">
        <v>314</v>
      </c>
      <c r="E149" s="32" t="s">
        <v>340</v>
      </c>
      <c r="F149" s="33" t="s">
        <v>62</v>
      </c>
      <c r="G149" s="32" t="s">
        <v>316</v>
      </c>
      <c r="H149" s="34" t="n">
        <v>46258</v>
      </c>
      <c r="I149" s="35" t="s">
        <v>82</v>
      </c>
      <c r="J149" s="36" t="n">
        <f aca="false">IF(OR($H149="",$I149=""),"",$H149+MATCH($I149,Listas!$F$5:$F$11,0)-1)</f>
        <v>46261</v>
      </c>
      <c r="K149" s="37"/>
      <c r="L149" s="33"/>
      <c r="M149" s="37" t="n">
        <v>46260</v>
      </c>
      <c r="N149" s="32"/>
      <c r="O149" s="32" t="s">
        <v>317</v>
      </c>
      <c r="P149" s="38" t="str">
        <f aca="true">IF($E149="","",IF($L149="Cancelada","Cancelada",IF(OR($K149&lt;&gt;"",$L149="Concluída"),IF(OR($J149="",$K149="",$K149&lt;=$J149),"Concluída","Concluída com atraso"),IF($J149="","Na carteira",IF($J149&lt;TODAY(),"VENCIDA",IF($L149="Em execução","Em execução",IF($J149=TODAY(),"Hoje","Programada")))))))</f>
        <v>Programada</v>
      </c>
      <c r="Q149" s="31" t="str">
        <f aca="false">IF($E149="","",IF(ISNUMBER(SEARCH("(externo)",$G149)),"Terceirizada","Interna"))</f>
        <v>Interna</v>
      </c>
      <c r="R149" s="36" t="n">
        <f aca="false">IF($J149="","",IF($M149="",$J149,$M149))</f>
        <v>46260</v>
      </c>
      <c r="S149" s="31" t="n">
        <f aca="false">IF($E149="","",IF(OR($K149="",$J149=""),0,IF($K149&lt;=$J149,1,0)))</f>
        <v>0</v>
      </c>
      <c r="T149" s="31" t="n">
        <f aca="false">IF($E149="","",IF(OR($K149="",$R149=""),0,IF($K149&lt;=$R149,1,0)))</f>
        <v>0</v>
      </c>
      <c r="U149" s="38" t="str">
        <f aca="false">IF(OR($K149="",$J149=""),"",MAX(0,$K149-$J149))</f>
        <v/>
      </c>
      <c r="V149" s="31" t="n">
        <f aca="false">IF($E149="","",IF(AND($M149&lt;&gt;"",$J149&lt;&gt;"",$M149&lt;&gt;$J149),1,0))</f>
        <v>1</v>
      </c>
      <c r="W149" s="39" t="n">
        <f aca="false">IF($E149="","",IF($L149="Cancelada",0,IF(OR($K149&lt;&gt;"",$L149="Concluída"),1,0)))</f>
        <v>0</v>
      </c>
    </row>
    <row r="150" customFormat="false" ht="15" hidden="false" customHeight="true" outlineLevel="0" collapsed="false">
      <c r="A150" s="31" t="n">
        <f aca="false">IF($E150="","",COUNTA($E$5:$E150))</f>
        <v>146</v>
      </c>
      <c r="B150" s="32"/>
      <c r="C150" s="32" t="s">
        <v>135</v>
      </c>
      <c r="D150" s="32" t="s">
        <v>314</v>
      </c>
      <c r="E150" s="32" t="s">
        <v>341</v>
      </c>
      <c r="F150" s="33" t="s">
        <v>62</v>
      </c>
      <c r="G150" s="32" t="s">
        <v>316</v>
      </c>
      <c r="H150" s="34" t="n">
        <v>46258</v>
      </c>
      <c r="I150" s="35" t="s">
        <v>82</v>
      </c>
      <c r="J150" s="36" t="n">
        <f aca="false">IF(OR($H150="",$I150=""),"",$H150+MATCH($I150,Listas!$F$5:$F$11,0)-1)</f>
        <v>46261</v>
      </c>
      <c r="K150" s="37"/>
      <c r="L150" s="33"/>
      <c r="M150" s="37" t="n">
        <v>46260</v>
      </c>
      <c r="N150" s="32"/>
      <c r="O150" s="32" t="s">
        <v>317</v>
      </c>
      <c r="P150" s="38" t="str">
        <f aca="true">IF($E150="","",IF($L150="Cancelada","Cancelada",IF(OR($K150&lt;&gt;"",$L150="Concluída"),IF(OR($J150="",$K150="",$K150&lt;=$J150),"Concluída","Concluída com atraso"),IF($J150="","Na carteira",IF($J150&lt;TODAY(),"VENCIDA",IF($L150="Em execução","Em execução",IF($J150=TODAY(),"Hoje","Programada")))))))</f>
        <v>Programada</v>
      </c>
      <c r="Q150" s="31" t="str">
        <f aca="false">IF($E150="","",IF(ISNUMBER(SEARCH("(externo)",$G150)),"Terceirizada","Interna"))</f>
        <v>Interna</v>
      </c>
      <c r="R150" s="36" t="n">
        <f aca="false">IF($J150="","",IF($M150="",$J150,$M150))</f>
        <v>46260</v>
      </c>
      <c r="S150" s="31" t="n">
        <f aca="false">IF($E150="","",IF(OR($K150="",$J150=""),0,IF($K150&lt;=$J150,1,0)))</f>
        <v>0</v>
      </c>
      <c r="T150" s="31" t="n">
        <f aca="false">IF($E150="","",IF(OR($K150="",$R150=""),0,IF($K150&lt;=$R150,1,0)))</f>
        <v>0</v>
      </c>
      <c r="U150" s="38" t="str">
        <f aca="false">IF(OR($K150="",$J150=""),"",MAX(0,$K150-$J150))</f>
        <v/>
      </c>
      <c r="V150" s="31" t="n">
        <f aca="false">IF($E150="","",IF(AND($M150&lt;&gt;"",$J150&lt;&gt;"",$M150&lt;&gt;$J150),1,0))</f>
        <v>1</v>
      </c>
      <c r="W150" s="39" t="n">
        <f aca="false">IF($E150="","",IF($L150="Cancelada",0,IF(OR($K150&lt;&gt;"",$L150="Concluída"),1,0)))</f>
        <v>0</v>
      </c>
    </row>
    <row r="151" customFormat="false" ht="15" hidden="false" customHeight="true" outlineLevel="0" collapsed="false">
      <c r="A151" s="31" t="n">
        <f aca="false">IF($E151="","",COUNTA($E$5:$E151))</f>
        <v>147</v>
      </c>
      <c r="B151" s="32"/>
      <c r="C151" s="32" t="s">
        <v>135</v>
      </c>
      <c r="D151" s="32" t="s">
        <v>314</v>
      </c>
      <c r="E151" s="32" t="s">
        <v>342</v>
      </c>
      <c r="F151" s="33" t="s">
        <v>62</v>
      </c>
      <c r="G151" s="32" t="s">
        <v>316</v>
      </c>
      <c r="H151" s="34" t="n">
        <v>46258</v>
      </c>
      <c r="I151" s="35" t="s">
        <v>82</v>
      </c>
      <c r="J151" s="36" t="n">
        <f aca="false">IF(OR($H151="",$I151=""),"",$H151+MATCH($I151,Listas!$F$5:$F$11,0)-1)</f>
        <v>46261</v>
      </c>
      <c r="K151" s="37"/>
      <c r="L151" s="33"/>
      <c r="M151" s="37" t="n">
        <v>46260</v>
      </c>
      <c r="N151" s="32"/>
      <c r="O151" s="32" t="s">
        <v>317</v>
      </c>
      <c r="P151" s="38" t="str">
        <f aca="true">IF($E151="","",IF($L151="Cancelada","Cancelada",IF(OR($K151&lt;&gt;"",$L151="Concluída"),IF(OR($J151="",$K151="",$K151&lt;=$J151),"Concluída","Concluída com atraso"),IF($J151="","Na carteira",IF($J151&lt;TODAY(),"VENCIDA",IF($L151="Em execução","Em execução",IF($J151=TODAY(),"Hoje","Programada")))))))</f>
        <v>Programada</v>
      </c>
      <c r="Q151" s="31" t="str">
        <f aca="false">IF($E151="","",IF(ISNUMBER(SEARCH("(externo)",$G151)),"Terceirizada","Interna"))</f>
        <v>Interna</v>
      </c>
      <c r="R151" s="36" t="n">
        <f aca="false">IF($J151="","",IF($M151="",$J151,$M151))</f>
        <v>46260</v>
      </c>
      <c r="S151" s="31" t="n">
        <f aca="false">IF($E151="","",IF(OR($K151="",$J151=""),0,IF($K151&lt;=$J151,1,0)))</f>
        <v>0</v>
      </c>
      <c r="T151" s="31" t="n">
        <f aca="false">IF($E151="","",IF(OR($K151="",$R151=""),0,IF($K151&lt;=$R151,1,0)))</f>
        <v>0</v>
      </c>
      <c r="U151" s="38" t="str">
        <f aca="false">IF(OR($K151="",$J151=""),"",MAX(0,$K151-$J151))</f>
        <v/>
      </c>
      <c r="V151" s="31" t="n">
        <f aca="false">IF($E151="","",IF(AND($M151&lt;&gt;"",$J151&lt;&gt;"",$M151&lt;&gt;$J151),1,0))</f>
        <v>1</v>
      </c>
      <c r="W151" s="39" t="n">
        <f aca="false">IF($E151="","",IF($L151="Cancelada",0,IF(OR($K151&lt;&gt;"",$L151="Concluída"),1,0)))</f>
        <v>0</v>
      </c>
    </row>
    <row r="152" customFormat="false" ht="15" hidden="false" customHeight="true" outlineLevel="0" collapsed="false">
      <c r="A152" s="31" t="n">
        <f aca="false">IF($E152="","",COUNTA($E$5:$E152))</f>
        <v>148</v>
      </c>
      <c r="B152" s="32"/>
      <c r="C152" s="32" t="s">
        <v>135</v>
      </c>
      <c r="D152" s="32" t="s">
        <v>314</v>
      </c>
      <c r="E152" s="32" t="s">
        <v>343</v>
      </c>
      <c r="F152" s="33" t="s">
        <v>62</v>
      </c>
      <c r="G152" s="32" t="s">
        <v>316</v>
      </c>
      <c r="H152" s="34" t="n">
        <v>46258</v>
      </c>
      <c r="I152" s="35" t="s">
        <v>82</v>
      </c>
      <c r="J152" s="36" t="n">
        <f aca="false">IF(OR($H152="",$I152=""),"",$H152+MATCH($I152,Listas!$F$5:$F$11,0)-1)</f>
        <v>46261</v>
      </c>
      <c r="K152" s="37"/>
      <c r="L152" s="33"/>
      <c r="M152" s="37" t="n">
        <v>46260</v>
      </c>
      <c r="N152" s="32"/>
      <c r="O152" s="32" t="s">
        <v>317</v>
      </c>
      <c r="P152" s="38" t="str">
        <f aca="true">IF($E152="","",IF($L152="Cancelada","Cancelada",IF(OR($K152&lt;&gt;"",$L152="Concluída"),IF(OR($J152="",$K152="",$K152&lt;=$J152),"Concluída","Concluída com atraso"),IF($J152="","Na carteira",IF($J152&lt;TODAY(),"VENCIDA",IF($L152="Em execução","Em execução",IF($J152=TODAY(),"Hoje","Programada")))))))</f>
        <v>Programada</v>
      </c>
      <c r="Q152" s="31" t="str">
        <f aca="false">IF($E152="","",IF(ISNUMBER(SEARCH("(externo)",$G152)),"Terceirizada","Interna"))</f>
        <v>Interna</v>
      </c>
      <c r="R152" s="36" t="n">
        <f aca="false">IF($J152="","",IF($M152="",$J152,$M152))</f>
        <v>46260</v>
      </c>
      <c r="S152" s="31" t="n">
        <f aca="false">IF($E152="","",IF(OR($K152="",$J152=""),0,IF($K152&lt;=$J152,1,0)))</f>
        <v>0</v>
      </c>
      <c r="T152" s="31" t="n">
        <f aca="false">IF($E152="","",IF(OR($K152="",$R152=""),0,IF($K152&lt;=$R152,1,0)))</f>
        <v>0</v>
      </c>
      <c r="U152" s="38" t="str">
        <f aca="false">IF(OR($K152="",$J152=""),"",MAX(0,$K152-$J152))</f>
        <v/>
      </c>
      <c r="V152" s="31" t="n">
        <f aca="false">IF($E152="","",IF(AND($M152&lt;&gt;"",$J152&lt;&gt;"",$M152&lt;&gt;$J152),1,0))</f>
        <v>1</v>
      </c>
      <c r="W152" s="39" t="n">
        <f aca="false">IF($E152="","",IF($L152="Cancelada",0,IF(OR($K152&lt;&gt;"",$L152="Concluída"),1,0)))</f>
        <v>0</v>
      </c>
    </row>
    <row r="153" customFormat="false" ht="15" hidden="false" customHeight="true" outlineLevel="0" collapsed="false">
      <c r="A153" s="31" t="n">
        <f aca="false">IF($E153="","",COUNTA($E$5:$E153))</f>
        <v>149</v>
      </c>
      <c r="B153" s="32"/>
      <c r="C153" s="32" t="s">
        <v>135</v>
      </c>
      <c r="D153" s="32" t="s">
        <v>314</v>
      </c>
      <c r="E153" s="32" t="s">
        <v>344</v>
      </c>
      <c r="F153" s="33" t="s">
        <v>62</v>
      </c>
      <c r="G153" s="32" t="s">
        <v>316</v>
      </c>
      <c r="H153" s="34" t="n">
        <v>46258</v>
      </c>
      <c r="I153" s="35" t="s">
        <v>82</v>
      </c>
      <c r="J153" s="36" t="n">
        <f aca="false">IF(OR($H153="",$I153=""),"",$H153+MATCH($I153,Listas!$F$5:$F$11,0)-1)</f>
        <v>46261</v>
      </c>
      <c r="K153" s="37"/>
      <c r="L153" s="33"/>
      <c r="M153" s="37" t="n">
        <v>46260</v>
      </c>
      <c r="N153" s="32"/>
      <c r="O153" s="32" t="s">
        <v>317</v>
      </c>
      <c r="P153" s="38" t="str">
        <f aca="true">IF($E153="","",IF($L153="Cancelada","Cancelada",IF(OR($K153&lt;&gt;"",$L153="Concluída"),IF(OR($J153="",$K153="",$K153&lt;=$J153),"Concluída","Concluída com atraso"),IF($J153="","Na carteira",IF($J153&lt;TODAY(),"VENCIDA",IF($L153="Em execução","Em execução",IF($J153=TODAY(),"Hoje","Programada")))))))</f>
        <v>Programada</v>
      </c>
      <c r="Q153" s="31" t="str">
        <f aca="false">IF($E153="","",IF(ISNUMBER(SEARCH("(externo)",$G153)),"Terceirizada","Interna"))</f>
        <v>Interna</v>
      </c>
      <c r="R153" s="36" t="n">
        <f aca="false">IF($J153="","",IF($M153="",$J153,$M153))</f>
        <v>46260</v>
      </c>
      <c r="S153" s="31" t="n">
        <f aca="false">IF($E153="","",IF(OR($K153="",$J153=""),0,IF($K153&lt;=$J153,1,0)))</f>
        <v>0</v>
      </c>
      <c r="T153" s="31" t="n">
        <f aca="false">IF($E153="","",IF(OR($K153="",$R153=""),0,IF($K153&lt;=$R153,1,0)))</f>
        <v>0</v>
      </c>
      <c r="U153" s="38" t="str">
        <f aca="false">IF(OR($K153="",$J153=""),"",MAX(0,$K153-$J153))</f>
        <v/>
      </c>
      <c r="V153" s="31" t="n">
        <f aca="false">IF($E153="","",IF(AND($M153&lt;&gt;"",$J153&lt;&gt;"",$M153&lt;&gt;$J153),1,0))</f>
        <v>1</v>
      </c>
      <c r="W153" s="39" t="n">
        <f aca="false">IF($E153="","",IF($L153="Cancelada",0,IF(OR($K153&lt;&gt;"",$L153="Concluída"),1,0)))</f>
        <v>0</v>
      </c>
    </row>
    <row r="154" customFormat="false" ht="15" hidden="false" customHeight="true" outlineLevel="0" collapsed="false">
      <c r="A154" s="31" t="n">
        <f aca="false">IF($E154="","",COUNTA($E$5:$E154))</f>
        <v>150</v>
      </c>
      <c r="B154" s="32"/>
      <c r="C154" s="32" t="s">
        <v>135</v>
      </c>
      <c r="D154" s="32" t="s">
        <v>314</v>
      </c>
      <c r="E154" s="32" t="s">
        <v>345</v>
      </c>
      <c r="F154" s="33" t="s">
        <v>62</v>
      </c>
      <c r="G154" s="32" t="s">
        <v>316</v>
      </c>
      <c r="H154" s="34" t="n">
        <v>46258</v>
      </c>
      <c r="I154" s="35" t="s">
        <v>82</v>
      </c>
      <c r="J154" s="36" t="n">
        <f aca="false">IF(OR($H154="",$I154=""),"",$H154+MATCH($I154,Listas!$F$5:$F$11,0)-1)</f>
        <v>46261</v>
      </c>
      <c r="K154" s="37"/>
      <c r="L154" s="33"/>
      <c r="M154" s="37" t="n">
        <v>46260</v>
      </c>
      <c r="N154" s="32"/>
      <c r="O154" s="32" t="s">
        <v>317</v>
      </c>
      <c r="P154" s="38" t="str">
        <f aca="true">IF($E154="","",IF($L154="Cancelada","Cancelada",IF(OR($K154&lt;&gt;"",$L154="Concluída"),IF(OR($J154="",$K154="",$K154&lt;=$J154),"Concluída","Concluída com atraso"),IF($J154="","Na carteira",IF($J154&lt;TODAY(),"VENCIDA",IF($L154="Em execução","Em execução",IF($J154=TODAY(),"Hoje","Programada")))))))</f>
        <v>Programada</v>
      </c>
      <c r="Q154" s="31" t="str">
        <f aca="false">IF($E154="","",IF(ISNUMBER(SEARCH("(externo)",$G154)),"Terceirizada","Interna"))</f>
        <v>Interna</v>
      </c>
      <c r="R154" s="36" t="n">
        <f aca="false">IF($J154="","",IF($M154="",$J154,$M154))</f>
        <v>46260</v>
      </c>
      <c r="S154" s="31" t="n">
        <f aca="false">IF($E154="","",IF(OR($K154="",$J154=""),0,IF($K154&lt;=$J154,1,0)))</f>
        <v>0</v>
      </c>
      <c r="T154" s="31" t="n">
        <f aca="false">IF($E154="","",IF(OR($K154="",$R154=""),0,IF($K154&lt;=$R154,1,0)))</f>
        <v>0</v>
      </c>
      <c r="U154" s="38" t="str">
        <f aca="false">IF(OR($K154="",$J154=""),"",MAX(0,$K154-$J154))</f>
        <v/>
      </c>
      <c r="V154" s="31" t="n">
        <f aca="false">IF($E154="","",IF(AND($M154&lt;&gt;"",$J154&lt;&gt;"",$M154&lt;&gt;$J154),1,0))</f>
        <v>1</v>
      </c>
      <c r="W154" s="39" t="n">
        <f aca="false">IF($E154="","",IF($L154="Cancelada",0,IF(OR($K154&lt;&gt;"",$L154="Concluída"),1,0)))</f>
        <v>0</v>
      </c>
    </row>
    <row r="155" customFormat="false" ht="15" hidden="false" customHeight="true" outlineLevel="0" collapsed="false">
      <c r="A155" s="31" t="n">
        <f aca="false">IF($E155="","",COUNTA($E$5:$E155))</f>
        <v>151</v>
      </c>
      <c r="B155" s="32"/>
      <c r="C155" s="32" t="s">
        <v>135</v>
      </c>
      <c r="D155" s="32" t="s">
        <v>314</v>
      </c>
      <c r="E155" s="32" t="s">
        <v>346</v>
      </c>
      <c r="F155" s="33" t="s">
        <v>62</v>
      </c>
      <c r="G155" s="32" t="s">
        <v>316</v>
      </c>
      <c r="H155" s="34" t="n">
        <v>46258</v>
      </c>
      <c r="I155" s="35" t="s">
        <v>82</v>
      </c>
      <c r="J155" s="36" t="n">
        <f aca="false">IF(OR($H155="",$I155=""),"",$H155+MATCH($I155,Listas!$F$5:$F$11,0)-1)</f>
        <v>46261</v>
      </c>
      <c r="K155" s="37"/>
      <c r="L155" s="33"/>
      <c r="M155" s="37" t="n">
        <v>46260</v>
      </c>
      <c r="N155" s="32"/>
      <c r="O155" s="32" t="s">
        <v>317</v>
      </c>
      <c r="P155" s="38" t="str">
        <f aca="true">IF($E155="","",IF($L155="Cancelada","Cancelada",IF(OR($K155&lt;&gt;"",$L155="Concluída"),IF(OR($J155="",$K155="",$K155&lt;=$J155),"Concluída","Concluída com atraso"),IF($J155="","Na carteira",IF($J155&lt;TODAY(),"VENCIDA",IF($L155="Em execução","Em execução",IF($J155=TODAY(),"Hoje","Programada")))))))</f>
        <v>Programada</v>
      </c>
      <c r="Q155" s="31" t="str">
        <f aca="false">IF($E155="","",IF(ISNUMBER(SEARCH("(externo)",$G155)),"Terceirizada","Interna"))</f>
        <v>Interna</v>
      </c>
      <c r="R155" s="36" t="n">
        <f aca="false">IF($J155="","",IF($M155="",$J155,$M155))</f>
        <v>46260</v>
      </c>
      <c r="S155" s="31" t="n">
        <f aca="false">IF($E155="","",IF(OR($K155="",$J155=""),0,IF($K155&lt;=$J155,1,0)))</f>
        <v>0</v>
      </c>
      <c r="T155" s="31" t="n">
        <f aca="false">IF($E155="","",IF(OR($K155="",$R155=""),0,IF($K155&lt;=$R155,1,0)))</f>
        <v>0</v>
      </c>
      <c r="U155" s="38" t="str">
        <f aca="false">IF(OR($K155="",$J155=""),"",MAX(0,$K155-$J155))</f>
        <v/>
      </c>
      <c r="V155" s="31" t="n">
        <f aca="false">IF($E155="","",IF(AND($M155&lt;&gt;"",$J155&lt;&gt;"",$M155&lt;&gt;$J155),1,0))</f>
        <v>1</v>
      </c>
      <c r="W155" s="39" t="n">
        <f aca="false">IF($E155="","",IF($L155="Cancelada",0,IF(OR($K155&lt;&gt;"",$L155="Concluída"),1,0)))</f>
        <v>0</v>
      </c>
    </row>
    <row r="156" customFormat="false" ht="15" hidden="false" customHeight="true" outlineLevel="0" collapsed="false">
      <c r="A156" s="31" t="n">
        <f aca="false">IF($E156="","",COUNTA($E$5:$E156))</f>
        <v>152</v>
      </c>
      <c r="B156" s="32"/>
      <c r="C156" s="32" t="s">
        <v>135</v>
      </c>
      <c r="D156" s="32" t="s">
        <v>314</v>
      </c>
      <c r="E156" s="32" t="s">
        <v>347</v>
      </c>
      <c r="F156" s="33" t="s">
        <v>62</v>
      </c>
      <c r="G156" s="32" t="s">
        <v>316</v>
      </c>
      <c r="H156" s="34" t="n">
        <v>46258</v>
      </c>
      <c r="I156" s="35" t="s">
        <v>82</v>
      </c>
      <c r="J156" s="36" t="n">
        <f aca="false">IF(OR($H156="",$I156=""),"",$H156+MATCH($I156,Listas!$F$5:$F$11,0)-1)</f>
        <v>46261</v>
      </c>
      <c r="K156" s="37"/>
      <c r="L156" s="33"/>
      <c r="M156" s="37" t="n">
        <v>46260</v>
      </c>
      <c r="N156" s="32"/>
      <c r="O156" s="32" t="s">
        <v>317</v>
      </c>
      <c r="P156" s="38" t="str">
        <f aca="true">IF($E156="","",IF($L156="Cancelada","Cancelada",IF(OR($K156&lt;&gt;"",$L156="Concluída"),IF(OR($J156="",$K156="",$K156&lt;=$J156),"Concluída","Concluída com atraso"),IF($J156="","Na carteira",IF($J156&lt;TODAY(),"VENCIDA",IF($L156="Em execução","Em execução",IF($J156=TODAY(),"Hoje","Programada")))))))</f>
        <v>Programada</v>
      </c>
      <c r="Q156" s="31" t="str">
        <f aca="false">IF($E156="","",IF(ISNUMBER(SEARCH("(externo)",$G156)),"Terceirizada","Interna"))</f>
        <v>Interna</v>
      </c>
      <c r="R156" s="36" t="n">
        <f aca="false">IF($J156="","",IF($M156="",$J156,$M156))</f>
        <v>46260</v>
      </c>
      <c r="S156" s="31" t="n">
        <f aca="false">IF($E156="","",IF(OR($K156="",$J156=""),0,IF($K156&lt;=$J156,1,0)))</f>
        <v>0</v>
      </c>
      <c r="T156" s="31" t="n">
        <f aca="false">IF($E156="","",IF(OR($K156="",$R156=""),0,IF($K156&lt;=$R156,1,0)))</f>
        <v>0</v>
      </c>
      <c r="U156" s="38" t="str">
        <f aca="false">IF(OR($K156="",$J156=""),"",MAX(0,$K156-$J156))</f>
        <v/>
      </c>
      <c r="V156" s="31" t="n">
        <f aca="false">IF($E156="","",IF(AND($M156&lt;&gt;"",$J156&lt;&gt;"",$M156&lt;&gt;$J156),1,0))</f>
        <v>1</v>
      </c>
      <c r="W156" s="39" t="n">
        <f aca="false">IF($E156="","",IF($L156="Cancelada",0,IF(OR($K156&lt;&gt;"",$L156="Concluída"),1,0)))</f>
        <v>0</v>
      </c>
    </row>
    <row r="157" customFormat="false" ht="15" hidden="false" customHeight="true" outlineLevel="0" collapsed="false">
      <c r="A157" s="31" t="n">
        <f aca="false">IF($E157="","",COUNTA($E$5:$E157))</f>
        <v>153</v>
      </c>
      <c r="B157" s="32"/>
      <c r="C157" s="32" t="s">
        <v>135</v>
      </c>
      <c r="D157" s="32" t="s">
        <v>314</v>
      </c>
      <c r="E157" s="32" t="s">
        <v>348</v>
      </c>
      <c r="F157" s="33" t="s">
        <v>62</v>
      </c>
      <c r="G157" s="32" t="s">
        <v>316</v>
      </c>
      <c r="H157" s="34" t="n">
        <v>46258</v>
      </c>
      <c r="I157" s="35" t="s">
        <v>82</v>
      </c>
      <c r="J157" s="36" t="n">
        <f aca="false">IF(OR($H157="",$I157=""),"",$H157+MATCH($I157,Listas!$F$5:$F$11,0)-1)</f>
        <v>46261</v>
      </c>
      <c r="K157" s="37"/>
      <c r="L157" s="33"/>
      <c r="M157" s="37" t="n">
        <v>46260</v>
      </c>
      <c r="N157" s="32"/>
      <c r="O157" s="32" t="s">
        <v>317</v>
      </c>
      <c r="P157" s="38" t="str">
        <f aca="true">IF($E157="","",IF($L157="Cancelada","Cancelada",IF(OR($K157&lt;&gt;"",$L157="Concluída"),IF(OR($J157="",$K157="",$K157&lt;=$J157),"Concluída","Concluída com atraso"),IF($J157="","Na carteira",IF($J157&lt;TODAY(),"VENCIDA",IF($L157="Em execução","Em execução",IF($J157=TODAY(),"Hoje","Programada")))))))</f>
        <v>Programada</v>
      </c>
      <c r="Q157" s="31" t="str">
        <f aca="false">IF($E157="","",IF(ISNUMBER(SEARCH("(externo)",$G157)),"Terceirizada","Interna"))</f>
        <v>Interna</v>
      </c>
      <c r="R157" s="36" t="n">
        <f aca="false">IF($J157="","",IF($M157="",$J157,$M157))</f>
        <v>46260</v>
      </c>
      <c r="S157" s="31" t="n">
        <f aca="false">IF($E157="","",IF(OR($K157="",$J157=""),0,IF($K157&lt;=$J157,1,0)))</f>
        <v>0</v>
      </c>
      <c r="T157" s="31" t="n">
        <f aca="false">IF($E157="","",IF(OR($K157="",$R157=""),0,IF($K157&lt;=$R157,1,0)))</f>
        <v>0</v>
      </c>
      <c r="U157" s="38" t="str">
        <f aca="false">IF(OR($K157="",$J157=""),"",MAX(0,$K157-$J157))</f>
        <v/>
      </c>
      <c r="V157" s="31" t="n">
        <f aca="false">IF($E157="","",IF(AND($M157&lt;&gt;"",$J157&lt;&gt;"",$M157&lt;&gt;$J157),1,0))</f>
        <v>1</v>
      </c>
      <c r="W157" s="39" t="n">
        <f aca="false">IF($E157="","",IF($L157="Cancelada",0,IF(OR($K157&lt;&gt;"",$L157="Concluída"),1,0)))</f>
        <v>0</v>
      </c>
    </row>
    <row r="158" customFormat="false" ht="15" hidden="false" customHeight="true" outlineLevel="0" collapsed="false">
      <c r="A158" s="31" t="n">
        <f aca="false">IF($E158="","",COUNTA($E$5:$E158))</f>
        <v>154</v>
      </c>
      <c r="B158" s="32"/>
      <c r="C158" s="32" t="s">
        <v>135</v>
      </c>
      <c r="D158" s="32" t="s">
        <v>314</v>
      </c>
      <c r="E158" s="32" t="s">
        <v>349</v>
      </c>
      <c r="F158" s="33" t="s">
        <v>62</v>
      </c>
      <c r="G158" s="32" t="s">
        <v>316</v>
      </c>
      <c r="H158" s="34" t="n">
        <v>46258</v>
      </c>
      <c r="I158" s="35" t="s">
        <v>82</v>
      </c>
      <c r="J158" s="36" t="n">
        <f aca="false">IF(OR($H158="",$I158=""),"",$H158+MATCH($I158,Listas!$F$5:$F$11,0)-1)</f>
        <v>46261</v>
      </c>
      <c r="K158" s="37"/>
      <c r="L158" s="33"/>
      <c r="M158" s="37" t="n">
        <v>46260</v>
      </c>
      <c r="N158" s="32"/>
      <c r="O158" s="32" t="s">
        <v>317</v>
      </c>
      <c r="P158" s="38" t="str">
        <f aca="true">IF($E158="","",IF($L158="Cancelada","Cancelada",IF(OR($K158&lt;&gt;"",$L158="Concluída"),IF(OR($J158="",$K158="",$K158&lt;=$J158),"Concluída","Concluída com atraso"),IF($J158="","Na carteira",IF($J158&lt;TODAY(),"VENCIDA",IF($L158="Em execução","Em execução",IF($J158=TODAY(),"Hoje","Programada")))))))</f>
        <v>Programada</v>
      </c>
      <c r="Q158" s="31" t="str">
        <f aca="false">IF($E158="","",IF(ISNUMBER(SEARCH("(externo)",$G158)),"Terceirizada","Interna"))</f>
        <v>Interna</v>
      </c>
      <c r="R158" s="36" t="n">
        <f aca="false">IF($J158="","",IF($M158="",$J158,$M158))</f>
        <v>46260</v>
      </c>
      <c r="S158" s="31" t="n">
        <f aca="false">IF($E158="","",IF(OR($K158="",$J158=""),0,IF($K158&lt;=$J158,1,0)))</f>
        <v>0</v>
      </c>
      <c r="T158" s="31" t="n">
        <f aca="false">IF($E158="","",IF(OR($K158="",$R158=""),0,IF($K158&lt;=$R158,1,0)))</f>
        <v>0</v>
      </c>
      <c r="U158" s="38" t="str">
        <f aca="false">IF(OR($K158="",$J158=""),"",MAX(0,$K158-$J158))</f>
        <v/>
      </c>
      <c r="V158" s="31" t="n">
        <f aca="false">IF($E158="","",IF(AND($M158&lt;&gt;"",$J158&lt;&gt;"",$M158&lt;&gt;$J158),1,0))</f>
        <v>1</v>
      </c>
      <c r="W158" s="39" t="n">
        <f aca="false">IF($E158="","",IF($L158="Cancelada",0,IF(OR($K158&lt;&gt;"",$L158="Concluída"),1,0)))</f>
        <v>0</v>
      </c>
    </row>
    <row r="159" customFormat="false" ht="15" hidden="false" customHeight="true" outlineLevel="0" collapsed="false">
      <c r="A159" s="31" t="n">
        <f aca="false">IF($E159="","",COUNTA($E$5:$E159))</f>
        <v>155</v>
      </c>
      <c r="B159" s="32"/>
      <c r="C159" s="32" t="s">
        <v>135</v>
      </c>
      <c r="D159" s="32" t="s">
        <v>314</v>
      </c>
      <c r="E159" s="32" t="s">
        <v>350</v>
      </c>
      <c r="F159" s="33" t="s">
        <v>62</v>
      </c>
      <c r="G159" s="32" t="s">
        <v>316</v>
      </c>
      <c r="H159" s="34" t="n">
        <v>46258</v>
      </c>
      <c r="I159" s="35" t="s">
        <v>82</v>
      </c>
      <c r="J159" s="36" t="n">
        <f aca="false">IF(OR($H159="",$I159=""),"",$H159+MATCH($I159,Listas!$F$5:$F$11,0)-1)</f>
        <v>46261</v>
      </c>
      <c r="K159" s="37"/>
      <c r="L159" s="33"/>
      <c r="M159" s="37" t="n">
        <v>46260</v>
      </c>
      <c r="N159" s="32"/>
      <c r="O159" s="32" t="s">
        <v>317</v>
      </c>
      <c r="P159" s="38" t="str">
        <f aca="true">IF($E159="","",IF($L159="Cancelada","Cancelada",IF(OR($K159&lt;&gt;"",$L159="Concluída"),IF(OR($J159="",$K159="",$K159&lt;=$J159),"Concluída","Concluída com atraso"),IF($J159="","Na carteira",IF($J159&lt;TODAY(),"VENCIDA",IF($L159="Em execução","Em execução",IF($J159=TODAY(),"Hoje","Programada")))))))</f>
        <v>Programada</v>
      </c>
      <c r="Q159" s="31" t="str">
        <f aca="false">IF($E159="","",IF(ISNUMBER(SEARCH("(externo)",$G159)),"Terceirizada","Interna"))</f>
        <v>Interna</v>
      </c>
      <c r="R159" s="36" t="n">
        <f aca="false">IF($J159="","",IF($M159="",$J159,$M159))</f>
        <v>46260</v>
      </c>
      <c r="S159" s="31" t="n">
        <f aca="false">IF($E159="","",IF(OR($K159="",$J159=""),0,IF($K159&lt;=$J159,1,0)))</f>
        <v>0</v>
      </c>
      <c r="T159" s="31" t="n">
        <f aca="false">IF($E159="","",IF(OR($K159="",$R159=""),0,IF($K159&lt;=$R159,1,0)))</f>
        <v>0</v>
      </c>
      <c r="U159" s="38" t="str">
        <f aca="false">IF(OR($K159="",$J159=""),"",MAX(0,$K159-$J159))</f>
        <v/>
      </c>
      <c r="V159" s="31" t="n">
        <f aca="false">IF($E159="","",IF(AND($M159&lt;&gt;"",$J159&lt;&gt;"",$M159&lt;&gt;$J159),1,0))</f>
        <v>1</v>
      </c>
      <c r="W159" s="39" t="n">
        <f aca="false">IF($E159="","",IF($L159="Cancelada",0,IF(OR($K159&lt;&gt;"",$L159="Concluída"),1,0)))</f>
        <v>0</v>
      </c>
    </row>
    <row r="160" customFormat="false" ht="15" hidden="false" customHeight="true" outlineLevel="0" collapsed="false">
      <c r="A160" s="31" t="n">
        <f aca="false">IF($E160="","",COUNTA($E$5:$E160))</f>
        <v>156</v>
      </c>
      <c r="B160" s="32"/>
      <c r="C160" s="32" t="s">
        <v>138</v>
      </c>
      <c r="D160" s="32" t="s">
        <v>208</v>
      </c>
      <c r="E160" s="32" t="s">
        <v>227</v>
      </c>
      <c r="F160" s="33" t="s">
        <v>68</v>
      </c>
      <c r="G160" s="32" t="s">
        <v>351</v>
      </c>
      <c r="H160" s="34" t="n">
        <v>46258</v>
      </c>
      <c r="I160" s="35" t="s">
        <v>82</v>
      </c>
      <c r="J160" s="36" t="n">
        <f aca="false">IF(OR($H160="",$I160=""),"",$H160+MATCH($I160,Listas!$F$5:$F$11,0)-1)</f>
        <v>46261</v>
      </c>
      <c r="K160" s="37"/>
      <c r="L160" s="33"/>
      <c r="M160" s="37"/>
      <c r="N160" s="32"/>
      <c r="O160" s="32" t="s">
        <v>352</v>
      </c>
      <c r="P160" s="38" t="str">
        <f aca="true">IF($E160="","",IF($L160="Cancelada","Cancelada",IF(OR($K160&lt;&gt;"",$L160="Concluída"),IF(OR($J160="",$K160="",$K160&lt;=$J160),"Concluída","Concluída com atraso"),IF($J160="","Na carteira",IF($J160&lt;TODAY(),"VENCIDA",IF($L160="Em execução","Em execução",IF($J160=TODAY(),"Hoje","Programada")))))))</f>
        <v>Programada</v>
      </c>
      <c r="Q160" s="31" t="str">
        <f aca="false">IF($E160="","",IF(ISNUMBER(SEARCH("(externo)",$G160)),"Terceirizada","Interna"))</f>
        <v>Interna</v>
      </c>
      <c r="R160" s="36" t="n">
        <f aca="false">IF($J160="","",IF($M160="",$J160,$M160))</f>
        <v>46261</v>
      </c>
      <c r="S160" s="31" t="n">
        <f aca="false">IF($E160="","",IF(OR($K160="",$J160=""),0,IF($K160&lt;=$J160,1,0)))</f>
        <v>0</v>
      </c>
      <c r="T160" s="31" t="n">
        <f aca="false">IF($E160="","",IF(OR($K160="",$R160=""),0,IF($K160&lt;=$R160,1,0)))</f>
        <v>0</v>
      </c>
      <c r="U160" s="38" t="str">
        <f aca="false">IF(OR($K160="",$J160=""),"",MAX(0,$K160-$J160))</f>
        <v/>
      </c>
      <c r="V160" s="31" t="n">
        <f aca="false">IF($E160="","",IF(AND($M160&lt;&gt;"",$J160&lt;&gt;"",$M160&lt;&gt;$J160),1,0))</f>
        <v>0</v>
      </c>
      <c r="W160" s="39" t="n">
        <f aca="false">IF($E160="","",IF($L160="Cancelada",0,IF(OR($K160&lt;&gt;"",$L160="Concluída"),1,0)))</f>
        <v>0</v>
      </c>
    </row>
    <row r="161" customFormat="false" ht="15" hidden="false" customHeight="true" outlineLevel="0" collapsed="false">
      <c r="A161" s="31" t="n">
        <f aca="false">IF($E161="","",COUNTA($E$5:$E161))</f>
        <v>157</v>
      </c>
      <c r="B161" s="32"/>
      <c r="C161" s="32" t="s">
        <v>138</v>
      </c>
      <c r="D161" s="32" t="s">
        <v>208</v>
      </c>
      <c r="E161" s="32" t="s">
        <v>353</v>
      </c>
      <c r="F161" s="33" t="s">
        <v>68</v>
      </c>
      <c r="G161" s="32" t="s">
        <v>351</v>
      </c>
      <c r="H161" s="34" t="n">
        <v>46258</v>
      </c>
      <c r="I161" s="35" t="s">
        <v>82</v>
      </c>
      <c r="J161" s="36" t="n">
        <f aca="false">IF(OR($H161="",$I161=""),"",$H161+MATCH($I161,Listas!$F$5:$F$11,0)-1)</f>
        <v>46261</v>
      </c>
      <c r="K161" s="37"/>
      <c r="L161" s="33"/>
      <c r="M161" s="37"/>
      <c r="N161" s="32"/>
      <c r="O161" s="32" t="s">
        <v>352</v>
      </c>
      <c r="P161" s="38" t="str">
        <f aca="true">IF($E161="","",IF($L161="Cancelada","Cancelada",IF(OR($K161&lt;&gt;"",$L161="Concluída"),IF(OR($J161="",$K161="",$K161&lt;=$J161),"Concluída","Concluída com atraso"),IF($J161="","Na carteira",IF($J161&lt;TODAY(),"VENCIDA",IF($L161="Em execução","Em execução",IF($J161=TODAY(),"Hoje","Programada")))))))</f>
        <v>Programada</v>
      </c>
      <c r="Q161" s="31" t="str">
        <f aca="false">IF($E161="","",IF(ISNUMBER(SEARCH("(externo)",$G161)),"Terceirizada","Interna"))</f>
        <v>Interna</v>
      </c>
      <c r="R161" s="36" t="n">
        <f aca="false">IF($J161="","",IF($M161="",$J161,$M161))</f>
        <v>46261</v>
      </c>
      <c r="S161" s="31" t="n">
        <f aca="false">IF($E161="","",IF(OR($K161="",$J161=""),0,IF($K161&lt;=$J161,1,0)))</f>
        <v>0</v>
      </c>
      <c r="T161" s="31" t="n">
        <f aca="false">IF($E161="","",IF(OR($K161="",$R161=""),0,IF($K161&lt;=$R161,1,0)))</f>
        <v>0</v>
      </c>
      <c r="U161" s="38" t="str">
        <f aca="false">IF(OR($K161="",$J161=""),"",MAX(0,$K161-$J161))</f>
        <v/>
      </c>
      <c r="V161" s="31" t="n">
        <f aca="false">IF($E161="","",IF(AND($M161&lt;&gt;"",$J161&lt;&gt;"",$M161&lt;&gt;$J161),1,0))</f>
        <v>0</v>
      </c>
      <c r="W161" s="39" t="n">
        <f aca="false">IF($E161="","",IF($L161="Cancelada",0,IF(OR($K161&lt;&gt;"",$L161="Concluída"),1,0)))</f>
        <v>0</v>
      </c>
    </row>
    <row r="162" customFormat="false" ht="15" hidden="false" customHeight="true" outlineLevel="0" collapsed="false">
      <c r="A162" s="31" t="n">
        <f aca="false">IF($E162="","",COUNTA($E$5:$E162))</f>
        <v>158</v>
      </c>
      <c r="B162" s="32"/>
      <c r="C162" s="32" t="s">
        <v>138</v>
      </c>
      <c r="D162" s="32" t="s">
        <v>208</v>
      </c>
      <c r="E162" s="32" t="s">
        <v>354</v>
      </c>
      <c r="F162" s="33" t="s">
        <v>68</v>
      </c>
      <c r="G162" s="32" t="s">
        <v>351</v>
      </c>
      <c r="H162" s="34" t="n">
        <v>46258</v>
      </c>
      <c r="I162" s="35" t="s">
        <v>82</v>
      </c>
      <c r="J162" s="36" t="n">
        <f aca="false">IF(OR($H162="",$I162=""),"",$H162+MATCH($I162,Listas!$F$5:$F$11,0)-1)</f>
        <v>46261</v>
      </c>
      <c r="K162" s="37"/>
      <c r="L162" s="33"/>
      <c r="M162" s="37"/>
      <c r="N162" s="32"/>
      <c r="O162" s="32" t="s">
        <v>352</v>
      </c>
      <c r="P162" s="38" t="str">
        <f aca="true">IF($E162="","",IF($L162="Cancelada","Cancelada",IF(OR($K162&lt;&gt;"",$L162="Concluída"),IF(OR($J162="",$K162="",$K162&lt;=$J162),"Concluída","Concluída com atraso"),IF($J162="","Na carteira",IF($J162&lt;TODAY(),"VENCIDA",IF($L162="Em execução","Em execução",IF($J162=TODAY(),"Hoje","Programada")))))))</f>
        <v>Programada</v>
      </c>
      <c r="Q162" s="31" t="str">
        <f aca="false">IF($E162="","",IF(ISNUMBER(SEARCH("(externo)",$G162)),"Terceirizada","Interna"))</f>
        <v>Interna</v>
      </c>
      <c r="R162" s="36" t="n">
        <f aca="false">IF($J162="","",IF($M162="",$J162,$M162))</f>
        <v>46261</v>
      </c>
      <c r="S162" s="31" t="n">
        <f aca="false">IF($E162="","",IF(OR($K162="",$J162=""),0,IF($K162&lt;=$J162,1,0)))</f>
        <v>0</v>
      </c>
      <c r="T162" s="31" t="n">
        <f aca="false">IF($E162="","",IF(OR($K162="",$R162=""),0,IF($K162&lt;=$R162,1,0)))</f>
        <v>0</v>
      </c>
      <c r="U162" s="38" t="str">
        <f aca="false">IF(OR($K162="",$J162=""),"",MAX(0,$K162-$J162))</f>
        <v/>
      </c>
      <c r="V162" s="31" t="n">
        <f aca="false">IF($E162="","",IF(AND($M162&lt;&gt;"",$J162&lt;&gt;"",$M162&lt;&gt;$J162),1,0))</f>
        <v>0</v>
      </c>
      <c r="W162" s="39" t="n">
        <f aca="false">IF($E162="","",IF($L162="Cancelada",0,IF(OR($K162&lt;&gt;"",$L162="Concluída"),1,0)))</f>
        <v>0</v>
      </c>
    </row>
    <row r="163" customFormat="false" ht="15" hidden="false" customHeight="true" outlineLevel="0" collapsed="false">
      <c r="A163" s="31" t="n">
        <f aca="false">IF($E163="","",COUNTA($E$5:$E163))</f>
        <v>159</v>
      </c>
      <c r="B163" s="32"/>
      <c r="C163" s="32" t="s">
        <v>138</v>
      </c>
      <c r="D163" s="32" t="s">
        <v>208</v>
      </c>
      <c r="E163" s="32" t="s">
        <v>355</v>
      </c>
      <c r="F163" s="33" t="s">
        <v>68</v>
      </c>
      <c r="G163" s="32" t="s">
        <v>351</v>
      </c>
      <c r="H163" s="34" t="n">
        <v>46258</v>
      </c>
      <c r="I163" s="35" t="s">
        <v>82</v>
      </c>
      <c r="J163" s="36" t="n">
        <f aca="false">IF(OR($H163="",$I163=""),"",$H163+MATCH($I163,Listas!$F$5:$F$11,0)-1)</f>
        <v>46261</v>
      </c>
      <c r="K163" s="37"/>
      <c r="L163" s="33"/>
      <c r="M163" s="37"/>
      <c r="N163" s="32"/>
      <c r="O163" s="32" t="s">
        <v>352</v>
      </c>
      <c r="P163" s="38" t="str">
        <f aca="true">IF($E163="","",IF($L163="Cancelada","Cancelada",IF(OR($K163&lt;&gt;"",$L163="Concluída"),IF(OR($J163="",$K163="",$K163&lt;=$J163),"Concluída","Concluída com atraso"),IF($J163="","Na carteira",IF($J163&lt;TODAY(),"VENCIDA",IF($L163="Em execução","Em execução",IF($J163=TODAY(),"Hoje","Programada")))))))</f>
        <v>Programada</v>
      </c>
      <c r="Q163" s="31" t="str">
        <f aca="false">IF($E163="","",IF(ISNUMBER(SEARCH("(externo)",$G163)),"Terceirizada","Interna"))</f>
        <v>Interna</v>
      </c>
      <c r="R163" s="36" t="n">
        <f aca="false">IF($J163="","",IF($M163="",$J163,$M163))</f>
        <v>46261</v>
      </c>
      <c r="S163" s="31" t="n">
        <f aca="false">IF($E163="","",IF(OR($K163="",$J163=""),0,IF($K163&lt;=$J163,1,0)))</f>
        <v>0</v>
      </c>
      <c r="T163" s="31" t="n">
        <f aca="false">IF($E163="","",IF(OR($K163="",$R163=""),0,IF($K163&lt;=$R163,1,0)))</f>
        <v>0</v>
      </c>
      <c r="U163" s="38" t="str">
        <f aca="false">IF(OR($K163="",$J163=""),"",MAX(0,$K163-$J163))</f>
        <v/>
      </c>
      <c r="V163" s="31" t="n">
        <f aca="false">IF($E163="","",IF(AND($M163&lt;&gt;"",$J163&lt;&gt;"",$M163&lt;&gt;$J163),1,0))</f>
        <v>0</v>
      </c>
      <c r="W163" s="39" t="n">
        <f aca="false">IF($E163="","",IF($L163="Cancelada",0,IF(OR($K163&lt;&gt;"",$L163="Concluída"),1,0)))</f>
        <v>0</v>
      </c>
    </row>
    <row r="164" customFormat="false" ht="15" hidden="false" customHeight="true" outlineLevel="0" collapsed="false">
      <c r="A164" s="31" t="n">
        <f aca="false">IF($E164="","",COUNTA($E$5:$E164))</f>
        <v>160</v>
      </c>
      <c r="B164" s="32"/>
      <c r="C164" s="32" t="s">
        <v>138</v>
      </c>
      <c r="D164" s="32" t="s">
        <v>208</v>
      </c>
      <c r="E164" s="32" t="s">
        <v>356</v>
      </c>
      <c r="F164" s="33" t="s">
        <v>68</v>
      </c>
      <c r="G164" s="32" t="s">
        <v>351</v>
      </c>
      <c r="H164" s="34" t="n">
        <v>46258</v>
      </c>
      <c r="I164" s="35" t="s">
        <v>82</v>
      </c>
      <c r="J164" s="36" t="n">
        <f aca="false">IF(OR($H164="",$I164=""),"",$H164+MATCH($I164,Listas!$F$5:$F$11,0)-1)</f>
        <v>46261</v>
      </c>
      <c r="K164" s="37"/>
      <c r="L164" s="33"/>
      <c r="M164" s="37"/>
      <c r="N164" s="32"/>
      <c r="O164" s="32" t="s">
        <v>352</v>
      </c>
      <c r="P164" s="38" t="str">
        <f aca="true">IF($E164="","",IF($L164="Cancelada","Cancelada",IF(OR($K164&lt;&gt;"",$L164="Concluída"),IF(OR($J164="",$K164="",$K164&lt;=$J164),"Concluída","Concluída com atraso"),IF($J164="","Na carteira",IF($J164&lt;TODAY(),"VENCIDA",IF($L164="Em execução","Em execução",IF($J164=TODAY(),"Hoje","Programada")))))))</f>
        <v>Programada</v>
      </c>
      <c r="Q164" s="31" t="str">
        <f aca="false">IF($E164="","",IF(ISNUMBER(SEARCH("(externo)",$G164)),"Terceirizada","Interna"))</f>
        <v>Interna</v>
      </c>
      <c r="R164" s="36" t="n">
        <f aca="false">IF($J164="","",IF($M164="",$J164,$M164))</f>
        <v>46261</v>
      </c>
      <c r="S164" s="31" t="n">
        <f aca="false">IF($E164="","",IF(OR($K164="",$J164=""),0,IF($K164&lt;=$J164,1,0)))</f>
        <v>0</v>
      </c>
      <c r="T164" s="31" t="n">
        <f aca="false">IF($E164="","",IF(OR($K164="",$R164=""),0,IF($K164&lt;=$R164,1,0)))</f>
        <v>0</v>
      </c>
      <c r="U164" s="38" t="str">
        <f aca="false">IF(OR($K164="",$J164=""),"",MAX(0,$K164-$J164))</f>
        <v/>
      </c>
      <c r="V164" s="31" t="n">
        <f aca="false">IF($E164="","",IF(AND($M164&lt;&gt;"",$J164&lt;&gt;"",$M164&lt;&gt;$J164),1,0))</f>
        <v>0</v>
      </c>
      <c r="W164" s="39" t="n">
        <f aca="false">IF($E164="","",IF($L164="Cancelada",0,IF(OR($K164&lt;&gt;"",$L164="Concluída"),1,0)))</f>
        <v>0</v>
      </c>
    </row>
    <row r="165" customFormat="false" ht="15" hidden="false" customHeight="true" outlineLevel="0" collapsed="false">
      <c r="A165" s="31" t="n">
        <f aca="false">IF($E165="","",COUNTA($E$5:$E165))</f>
        <v>161</v>
      </c>
      <c r="B165" s="32"/>
      <c r="C165" s="32" t="s">
        <v>139</v>
      </c>
      <c r="D165" s="32" t="s">
        <v>357</v>
      </c>
      <c r="E165" s="32" t="s">
        <v>358</v>
      </c>
      <c r="F165" s="33" t="s">
        <v>62</v>
      </c>
      <c r="G165" s="32" t="s">
        <v>96</v>
      </c>
      <c r="H165" s="34" t="n">
        <v>46258</v>
      </c>
      <c r="I165" s="35" t="s">
        <v>65</v>
      </c>
      <c r="J165" s="36" t="n">
        <f aca="false">IF(OR($H165="",$I165=""),"",$H165+MATCH($I165,Listas!$F$5:$F$11,0)-1)</f>
        <v>46258</v>
      </c>
      <c r="K165" s="37"/>
      <c r="L165" s="33" t="s">
        <v>63</v>
      </c>
      <c r="M165" s="37"/>
      <c r="N165" s="32"/>
      <c r="O165" s="32"/>
      <c r="P165" s="38" t="str">
        <f aca="true">IF($E165="","",IF($L165="Cancelada","Cancelada",IF(OR($K165&lt;&gt;"",$L165="Concluída"),IF(OR($J165="",$K165="",$K165&lt;=$J165),"Concluída","Concluída com atraso"),IF($J165="","Na carteira",IF($J165&lt;TODAY(),"VENCIDA",IF($L165="Em execução","Em execução",IF($J165=TODAY(),"Hoje","Programada")))))))</f>
        <v>Concluída</v>
      </c>
      <c r="Q165" s="31" t="str">
        <f aca="false">IF($E165="","",IF(ISNUMBER(SEARCH("(externo)",$G165)),"Terceirizada","Interna"))</f>
        <v>Interna</v>
      </c>
      <c r="R165" s="36" t="n">
        <f aca="false">IF($J165="","",IF($M165="",$J165,$M165))</f>
        <v>46258</v>
      </c>
      <c r="S165" s="31" t="n">
        <f aca="false">IF($E165="","",IF(OR($K165="",$J165=""),0,IF($K165&lt;=$J165,1,0)))</f>
        <v>0</v>
      </c>
      <c r="T165" s="31" t="n">
        <f aca="false">IF($E165="","",IF(OR($K165="",$R165=""),0,IF($K165&lt;=$R165,1,0)))</f>
        <v>0</v>
      </c>
      <c r="U165" s="38" t="str">
        <f aca="false">IF(OR($K165="",$J165=""),"",MAX(0,$K165-$J165))</f>
        <v/>
      </c>
      <c r="V165" s="31" t="n">
        <f aca="false">IF($E165="","",IF(AND($M165&lt;&gt;"",$J165&lt;&gt;"",$M165&lt;&gt;$J165),1,0))</f>
        <v>0</v>
      </c>
      <c r="W165" s="39" t="n">
        <f aca="false">IF($E165="","",IF($L165="Cancelada",0,IF(OR($K165&lt;&gt;"",$L165="Concluída"),1,0)))</f>
        <v>1</v>
      </c>
    </row>
    <row r="166" customFormat="false" ht="15" hidden="false" customHeight="true" outlineLevel="0" collapsed="false">
      <c r="A166" s="31" t="n">
        <f aca="false">IF($E166="","",COUNTA($E$5:$E166))</f>
        <v>162</v>
      </c>
      <c r="B166" s="32"/>
      <c r="C166" s="32" t="s">
        <v>139</v>
      </c>
      <c r="D166" s="32" t="s">
        <v>357</v>
      </c>
      <c r="E166" s="32" t="s">
        <v>359</v>
      </c>
      <c r="F166" s="33" t="s">
        <v>62</v>
      </c>
      <c r="G166" s="32" t="s">
        <v>96</v>
      </c>
      <c r="H166" s="34" t="n">
        <v>46258</v>
      </c>
      <c r="I166" s="35" t="s">
        <v>65</v>
      </c>
      <c r="J166" s="36" t="n">
        <f aca="false">IF(OR($H166="",$I166=""),"",$H166+MATCH($I166,Listas!$F$5:$F$11,0)-1)</f>
        <v>46258</v>
      </c>
      <c r="K166" s="37"/>
      <c r="L166" s="33" t="s">
        <v>63</v>
      </c>
      <c r="M166" s="37"/>
      <c r="N166" s="32"/>
      <c r="O166" s="32"/>
      <c r="P166" s="38" t="str">
        <f aca="true">IF($E166="","",IF($L166="Cancelada","Cancelada",IF(OR($K166&lt;&gt;"",$L166="Concluída"),IF(OR($J166="",$K166="",$K166&lt;=$J166),"Concluída","Concluída com atraso"),IF($J166="","Na carteira",IF($J166&lt;TODAY(),"VENCIDA",IF($L166="Em execução","Em execução",IF($J166=TODAY(),"Hoje","Programada")))))))</f>
        <v>Concluída</v>
      </c>
      <c r="Q166" s="31" t="str">
        <f aca="false">IF($E166="","",IF(ISNUMBER(SEARCH("(externo)",$G166)),"Terceirizada","Interna"))</f>
        <v>Interna</v>
      </c>
      <c r="R166" s="36" t="n">
        <f aca="false">IF($J166="","",IF($M166="",$J166,$M166))</f>
        <v>46258</v>
      </c>
      <c r="S166" s="31" t="n">
        <f aca="false">IF($E166="","",IF(OR($K166="",$J166=""),0,IF($K166&lt;=$J166,1,0)))</f>
        <v>0</v>
      </c>
      <c r="T166" s="31" t="n">
        <f aca="false">IF($E166="","",IF(OR($K166="",$R166=""),0,IF($K166&lt;=$R166,1,0)))</f>
        <v>0</v>
      </c>
      <c r="U166" s="38" t="str">
        <f aca="false">IF(OR($K166="",$J166=""),"",MAX(0,$K166-$J166))</f>
        <v/>
      </c>
      <c r="V166" s="31" t="n">
        <f aca="false">IF($E166="","",IF(AND($M166&lt;&gt;"",$J166&lt;&gt;"",$M166&lt;&gt;$J166),1,0))</f>
        <v>0</v>
      </c>
      <c r="W166" s="39" t="n">
        <f aca="false">IF($E166="","",IF($L166="Cancelada",0,IF(OR($K166&lt;&gt;"",$L166="Concluída"),1,0)))</f>
        <v>1</v>
      </c>
    </row>
    <row r="167" customFormat="false" ht="15" hidden="false" customHeight="true" outlineLevel="0" collapsed="false">
      <c r="A167" s="31" t="n">
        <f aca="false">IF($E167="","",COUNTA($E$5:$E167))</f>
        <v>163</v>
      </c>
      <c r="B167" s="32"/>
      <c r="C167" s="32" t="s">
        <v>139</v>
      </c>
      <c r="D167" s="32" t="s">
        <v>357</v>
      </c>
      <c r="E167" s="32" t="s">
        <v>360</v>
      </c>
      <c r="F167" s="33" t="s">
        <v>62</v>
      </c>
      <c r="G167" s="32" t="s">
        <v>96</v>
      </c>
      <c r="H167" s="34" t="n">
        <v>46258</v>
      </c>
      <c r="I167" s="35" t="s">
        <v>65</v>
      </c>
      <c r="J167" s="36" t="n">
        <f aca="false">IF(OR($H167="",$I167=""),"",$H167+MATCH($I167,Listas!$F$5:$F$11,0)-1)</f>
        <v>46258</v>
      </c>
      <c r="K167" s="37"/>
      <c r="L167" s="33" t="s">
        <v>63</v>
      </c>
      <c r="M167" s="37"/>
      <c r="N167" s="32"/>
      <c r="O167" s="32"/>
      <c r="P167" s="38" t="str">
        <f aca="true">IF($E167="","",IF($L167="Cancelada","Cancelada",IF(OR($K167&lt;&gt;"",$L167="Concluída"),IF(OR($J167="",$K167="",$K167&lt;=$J167),"Concluída","Concluída com atraso"),IF($J167="","Na carteira",IF($J167&lt;TODAY(),"VENCIDA",IF($L167="Em execução","Em execução",IF($J167=TODAY(),"Hoje","Programada")))))))</f>
        <v>Concluída</v>
      </c>
      <c r="Q167" s="31" t="str">
        <f aca="false">IF($E167="","",IF(ISNUMBER(SEARCH("(externo)",$G167)),"Terceirizada","Interna"))</f>
        <v>Interna</v>
      </c>
      <c r="R167" s="36" t="n">
        <f aca="false">IF($J167="","",IF($M167="",$J167,$M167))</f>
        <v>46258</v>
      </c>
      <c r="S167" s="31" t="n">
        <f aca="false">IF($E167="","",IF(OR($K167="",$J167=""),0,IF($K167&lt;=$J167,1,0)))</f>
        <v>0</v>
      </c>
      <c r="T167" s="31" t="n">
        <f aca="false">IF($E167="","",IF(OR($K167="",$R167=""),0,IF($K167&lt;=$R167,1,0)))</f>
        <v>0</v>
      </c>
      <c r="U167" s="38" t="str">
        <f aca="false">IF(OR($K167="",$J167=""),"",MAX(0,$K167-$J167))</f>
        <v/>
      </c>
      <c r="V167" s="31" t="n">
        <f aca="false">IF($E167="","",IF(AND($M167&lt;&gt;"",$J167&lt;&gt;"",$M167&lt;&gt;$J167),1,0))</f>
        <v>0</v>
      </c>
      <c r="W167" s="39" t="n">
        <f aca="false">IF($E167="","",IF($L167="Cancelada",0,IF(OR($K167&lt;&gt;"",$L167="Concluída"),1,0)))</f>
        <v>1</v>
      </c>
    </row>
    <row r="168" customFormat="false" ht="15" hidden="false" customHeight="true" outlineLevel="0" collapsed="false">
      <c r="A168" s="31" t="n">
        <f aca="false">IF($E168="","",COUNTA($E$5:$E168))</f>
        <v>164</v>
      </c>
      <c r="B168" s="32" t="s">
        <v>361</v>
      </c>
      <c r="C168" s="32" t="s">
        <v>143</v>
      </c>
      <c r="D168" s="32" t="s">
        <v>362</v>
      </c>
      <c r="E168" s="32" t="s">
        <v>362</v>
      </c>
      <c r="F168" s="33" t="s">
        <v>62</v>
      </c>
      <c r="G168" s="32" t="s">
        <v>88</v>
      </c>
      <c r="H168" s="34" t="n">
        <v>46258</v>
      </c>
      <c r="I168" s="35" t="s">
        <v>82</v>
      </c>
      <c r="J168" s="36" t="n">
        <f aca="false">IF(OR($H168="",$I168=""),"",$H168+MATCH($I168,Listas!$F$5:$F$11,0)-1)</f>
        <v>46261</v>
      </c>
      <c r="K168" s="37"/>
      <c r="L168" s="33"/>
      <c r="M168" s="37"/>
      <c r="N168" s="32"/>
      <c r="O168" s="32"/>
      <c r="P168" s="38" t="str">
        <f aca="true">IF($E168="","",IF($L168="Cancelada","Cancelada",IF(OR($K168&lt;&gt;"",$L168="Concluída"),IF(OR($J168="",$K168="",$K168&lt;=$J168),"Concluída","Concluída com atraso"),IF($J168="","Na carteira",IF($J168&lt;TODAY(),"VENCIDA",IF($L168="Em execução","Em execução",IF($J168=TODAY(),"Hoje","Programada")))))))</f>
        <v>Programada</v>
      </c>
      <c r="Q168" s="31" t="str">
        <f aca="false">IF($E168="","",IF(ISNUMBER(SEARCH("(externo)",$G168)),"Terceirizada","Interna"))</f>
        <v>Interna</v>
      </c>
      <c r="R168" s="36" t="n">
        <f aca="false">IF($J168="","",IF($M168="",$J168,$M168))</f>
        <v>46261</v>
      </c>
      <c r="S168" s="31" t="n">
        <f aca="false">IF($E168="","",IF(OR($K168="",$J168=""),0,IF($K168&lt;=$J168,1,0)))</f>
        <v>0</v>
      </c>
      <c r="T168" s="31" t="n">
        <f aca="false">IF($E168="","",IF(OR($K168="",$R168=""),0,IF($K168&lt;=$R168,1,0)))</f>
        <v>0</v>
      </c>
      <c r="U168" s="38" t="str">
        <f aca="false">IF(OR($K168="",$J168=""),"",MAX(0,$K168-$J168))</f>
        <v/>
      </c>
      <c r="V168" s="31" t="n">
        <f aca="false">IF($E168="","",IF(AND($M168&lt;&gt;"",$J168&lt;&gt;"",$M168&lt;&gt;$J168),1,0))</f>
        <v>0</v>
      </c>
      <c r="W168" s="39" t="n">
        <f aca="false">IF($E168="","",IF($L168="Cancelada",0,IF(OR($K168&lt;&gt;"",$L168="Concluída"),1,0)))</f>
        <v>0</v>
      </c>
    </row>
    <row r="169" customFormat="false" ht="15" hidden="false" customHeight="true" outlineLevel="0" collapsed="false">
      <c r="A169" s="31" t="n">
        <f aca="false">IF($E169="","",COUNTA($E$5:$E169))</f>
        <v>165</v>
      </c>
      <c r="B169" s="32" t="s">
        <v>361</v>
      </c>
      <c r="C169" s="32" t="s">
        <v>143</v>
      </c>
      <c r="D169" s="32" t="s">
        <v>362</v>
      </c>
      <c r="E169" s="32" t="s">
        <v>363</v>
      </c>
      <c r="F169" s="33" t="s">
        <v>62</v>
      </c>
      <c r="G169" s="32" t="s">
        <v>88</v>
      </c>
      <c r="H169" s="34" t="n">
        <v>46258</v>
      </c>
      <c r="I169" s="35" t="s">
        <v>82</v>
      </c>
      <c r="J169" s="36" t="n">
        <f aca="false">IF(OR($H169="",$I169=""),"",$H169+MATCH($I169,Listas!$F$5:$F$11,0)-1)</f>
        <v>46261</v>
      </c>
      <c r="K169" s="37"/>
      <c r="L169" s="33"/>
      <c r="M169" s="37"/>
      <c r="N169" s="32"/>
      <c r="O169" s="32"/>
      <c r="P169" s="38" t="str">
        <f aca="true">IF($E169="","",IF($L169="Cancelada","Cancelada",IF(OR($K169&lt;&gt;"",$L169="Concluída"),IF(OR($J169="",$K169="",$K169&lt;=$J169),"Concluída","Concluída com atraso"),IF($J169="","Na carteira",IF($J169&lt;TODAY(),"VENCIDA",IF($L169="Em execução","Em execução",IF($J169=TODAY(),"Hoje","Programada")))))))</f>
        <v>Programada</v>
      </c>
      <c r="Q169" s="31" t="str">
        <f aca="false">IF($E169="","",IF(ISNUMBER(SEARCH("(externo)",$G169)),"Terceirizada","Interna"))</f>
        <v>Interna</v>
      </c>
      <c r="R169" s="36" t="n">
        <f aca="false">IF($J169="","",IF($M169="",$J169,$M169))</f>
        <v>46261</v>
      </c>
      <c r="S169" s="31" t="n">
        <f aca="false">IF($E169="","",IF(OR($K169="",$J169=""),0,IF($K169&lt;=$J169,1,0)))</f>
        <v>0</v>
      </c>
      <c r="T169" s="31" t="n">
        <f aca="false">IF($E169="","",IF(OR($K169="",$R169=""),0,IF($K169&lt;=$R169,1,0)))</f>
        <v>0</v>
      </c>
      <c r="U169" s="38" t="str">
        <f aca="false">IF(OR($K169="",$J169=""),"",MAX(0,$K169-$J169))</f>
        <v/>
      </c>
      <c r="V169" s="31" t="n">
        <f aca="false">IF($E169="","",IF(AND($M169&lt;&gt;"",$J169&lt;&gt;"",$M169&lt;&gt;$J169),1,0))</f>
        <v>0</v>
      </c>
      <c r="W169" s="39" t="n">
        <f aca="false">IF($E169="","",IF($L169="Cancelada",0,IF(OR($K169&lt;&gt;"",$L169="Concluída"),1,0)))</f>
        <v>0</v>
      </c>
    </row>
    <row r="170" customFormat="false" ht="15" hidden="false" customHeight="true" outlineLevel="0" collapsed="false">
      <c r="A170" s="31" t="n">
        <f aca="false">IF($E170="","",COUNTA($E$5:$E170))</f>
        <v>166</v>
      </c>
      <c r="B170" s="32" t="s">
        <v>361</v>
      </c>
      <c r="C170" s="32" t="s">
        <v>143</v>
      </c>
      <c r="D170" s="32" t="s">
        <v>362</v>
      </c>
      <c r="E170" s="32" t="s">
        <v>364</v>
      </c>
      <c r="F170" s="33" t="s">
        <v>62</v>
      </c>
      <c r="G170" s="32" t="s">
        <v>88</v>
      </c>
      <c r="H170" s="34" t="n">
        <v>46258</v>
      </c>
      <c r="I170" s="35" t="s">
        <v>82</v>
      </c>
      <c r="J170" s="36" t="n">
        <f aca="false">IF(OR($H170="",$I170=""),"",$H170+MATCH($I170,Listas!$F$5:$F$11,0)-1)</f>
        <v>46261</v>
      </c>
      <c r="K170" s="37"/>
      <c r="L170" s="33"/>
      <c r="M170" s="37"/>
      <c r="N170" s="32"/>
      <c r="O170" s="32"/>
      <c r="P170" s="38" t="str">
        <f aca="true">IF($E170="","",IF($L170="Cancelada","Cancelada",IF(OR($K170&lt;&gt;"",$L170="Concluída"),IF(OR($J170="",$K170="",$K170&lt;=$J170),"Concluída","Concluída com atraso"),IF($J170="","Na carteira",IF($J170&lt;TODAY(),"VENCIDA",IF($L170="Em execução","Em execução",IF($J170=TODAY(),"Hoje","Programada")))))))</f>
        <v>Programada</v>
      </c>
      <c r="Q170" s="31" t="str">
        <f aca="false">IF($E170="","",IF(ISNUMBER(SEARCH("(externo)",$G170)),"Terceirizada","Interna"))</f>
        <v>Interna</v>
      </c>
      <c r="R170" s="36" t="n">
        <f aca="false">IF($J170="","",IF($M170="",$J170,$M170))</f>
        <v>46261</v>
      </c>
      <c r="S170" s="31" t="n">
        <f aca="false">IF($E170="","",IF(OR($K170="",$J170=""),0,IF($K170&lt;=$J170,1,0)))</f>
        <v>0</v>
      </c>
      <c r="T170" s="31" t="n">
        <f aca="false">IF($E170="","",IF(OR($K170="",$R170=""),0,IF($K170&lt;=$R170,1,0)))</f>
        <v>0</v>
      </c>
      <c r="U170" s="38" t="str">
        <f aca="false">IF(OR($K170="",$J170=""),"",MAX(0,$K170-$J170))</f>
        <v/>
      </c>
      <c r="V170" s="31" t="n">
        <f aca="false">IF($E170="","",IF(AND($M170&lt;&gt;"",$J170&lt;&gt;"",$M170&lt;&gt;$J170),1,0))</f>
        <v>0</v>
      </c>
      <c r="W170" s="39" t="n">
        <f aca="false">IF($E170="","",IF($L170="Cancelada",0,IF(OR($K170&lt;&gt;"",$L170="Concluída"),1,0)))</f>
        <v>0</v>
      </c>
    </row>
    <row r="171" customFormat="false" ht="15" hidden="false" customHeight="true" outlineLevel="0" collapsed="false">
      <c r="A171" s="31" t="n">
        <f aca="false">IF($E171="","",COUNTA($E$5:$E171))</f>
        <v>167</v>
      </c>
      <c r="B171" s="32" t="s">
        <v>365</v>
      </c>
      <c r="C171" s="32" t="s">
        <v>145</v>
      </c>
      <c r="D171" s="32" t="s">
        <v>366</v>
      </c>
      <c r="E171" s="32" t="s">
        <v>367</v>
      </c>
      <c r="F171" s="33" t="s">
        <v>62</v>
      </c>
      <c r="G171" s="32" t="s">
        <v>99</v>
      </c>
      <c r="H171" s="34" t="n">
        <v>46258</v>
      </c>
      <c r="I171" s="35" t="s">
        <v>77</v>
      </c>
      <c r="J171" s="36" t="n">
        <f aca="false">IF(OR($H171="",$I171=""),"",$H171+MATCH($I171,Listas!$F$5:$F$11,0)-1)</f>
        <v>46260</v>
      </c>
      <c r="K171" s="37"/>
      <c r="L171" s="33" t="s">
        <v>69</v>
      </c>
      <c r="M171" s="37"/>
      <c r="N171" s="32"/>
      <c r="O171" s="32"/>
      <c r="P171" s="38" t="str">
        <f aca="true">IF($E171="","",IF($L171="Cancelada","Cancelada",IF(OR($K171&lt;&gt;"",$L171="Concluída"),IF(OR($J171="",$K171="",$K171&lt;=$J171),"Concluída","Concluída com atraso"),IF($J171="","Na carteira",IF($J171&lt;TODAY(),"VENCIDA",IF($L171="Em execução","Em execução",IF($J171=TODAY(),"Hoje","Programada")))))))</f>
        <v>Em execução</v>
      </c>
      <c r="Q171" s="31" t="str">
        <f aca="false">IF($E171="","",IF(ISNUMBER(SEARCH("(externo)",$G171)),"Terceirizada","Interna"))</f>
        <v>Terceirizada</v>
      </c>
      <c r="R171" s="36" t="n">
        <f aca="false">IF($J171="","",IF($M171="",$J171,$M171))</f>
        <v>46260</v>
      </c>
      <c r="S171" s="31" t="n">
        <f aca="false">IF($E171="","",IF(OR($K171="",$J171=""),0,IF($K171&lt;=$J171,1,0)))</f>
        <v>0</v>
      </c>
      <c r="T171" s="31" t="n">
        <f aca="false">IF($E171="","",IF(OR($K171="",$R171=""),0,IF($K171&lt;=$R171,1,0)))</f>
        <v>0</v>
      </c>
      <c r="U171" s="38" t="str">
        <f aca="false">IF(OR($K171="",$J171=""),"",MAX(0,$K171-$J171))</f>
        <v/>
      </c>
      <c r="V171" s="31" t="n">
        <f aca="false">IF($E171="","",IF(AND($M171&lt;&gt;"",$J171&lt;&gt;"",$M171&lt;&gt;$J171),1,0))</f>
        <v>0</v>
      </c>
      <c r="W171" s="39" t="n">
        <f aca="false">IF($E171="","",IF($L171="Cancelada",0,IF(OR($K171&lt;&gt;"",$L171="Concluída"),1,0)))</f>
        <v>0</v>
      </c>
    </row>
    <row r="172" customFormat="false" ht="15" hidden="false" customHeight="true" outlineLevel="0" collapsed="false">
      <c r="A172" s="31" t="n">
        <f aca="false">IF($E172="","",COUNTA($E$5:$E172))</f>
        <v>168</v>
      </c>
      <c r="B172" s="32" t="s">
        <v>365</v>
      </c>
      <c r="C172" s="32" t="s">
        <v>145</v>
      </c>
      <c r="D172" s="32" t="s">
        <v>366</v>
      </c>
      <c r="E172" s="32" t="s">
        <v>368</v>
      </c>
      <c r="F172" s="33" t="s">
        <v>62</v>
      </c>
      <c r="G172" s="32" t="s">
        <v>99</v>
      </c>
      <c r="H172" s="34" t="n">
        <v>46258</v>
      </c>
      <c r="I172" s="35" t="s">
        <v>77</v>
      </c>
      <c r="J172" s="36" t="n">
        <f aca="false">IF(OR($H172="",$I172=""),"",$H172+MATCH($I172,Listas!$F$5:$F$11,0)-1)</f>
        <v>46260</v>
      </c>
      <c r="K172" s="37"/>
      <c r="L172" s="33" t="s">
        <v>69</v>
      </c>
      <c r="M172" s="37"/>
      <c r="N172" s="32"/>
      <c r="O172" s="32"/>
      <c r="P172" s="38" t="str">
        <f aca="true">IF($E172="","",IF($L172="Cancelada","Cancelada",IF(OR($K172&lt;&gt;"",$L172="Concluída"),IF(OR($J172="",$K172="",$K172&lt;=$J172),"Concluída","Concluída com atraso"),IF($J172="","Na carteira",IF($J172&lt;TODAY(),"VENCIDA",IF($L172="Em execução","Em execução",IF($J172=TODAY(),"Hoje","Programada")))))))</f>
        <v>Em execução</v>
      </c>
      <c r="Q172" s="31" t="str">
        <f aca="false">IF($E172="","",IF(ISNUMBER(SEARCH("(externo)",$G172)),"Terceirizada","Interna"))</f>
        <v>Terceirizada</v>
      </c>
      <c r="R172" s="36" t="n">
        <f aca="false">IF($J172="","",IF($M172="",$J172,$M172))</f>
        <v>46260</v>
      </c>
      <c r="S172" s="31" t="n">
        <f aca="false">IF($E172="","",IF(OR($K172="",$J172=""),0,IF($K172&lt;=$J172,1,0)))</f>
        <v>0</v>
      </c>
      <c r="T172" s="31" t="n">
        <f aca="false">IF($E172="","",IF(OR($K172="",$R172=""),0,IF($K172&lt;=$R172,1,0)))</f>
        <v>0</v>
      </c>
      <c r="U172" s="38" t="str">
        <f aca="false">IF(OR($K172="",$J172=""),"",MAX(0,$K172-$J172))</f>
        <v/>
      </c>
      <c r="V172" s="31" t="n">
        <f aca="false">IF($E172="","",IF(AND($M172&lt;&gt;"",$J172&lt;&gt;"",$M172&lt;&gt;$J172),1,0))</f>
        <v>0</v>
      </c>
      <c r="W172" s="39" t="n">
        <f aca="false">IF($E172="","",IF($L172="Cancelada",0,IF(OR($K172&lt;&gt;"",$L172="Concluída"),1,0)))</f>
        <v>0</v>
      </c>
    </row>
    <row r="173" customFormat="false" ht="15" hidden="false" customHeight="true" outlineLevel="0" collapsed="false">
      <c r="A173" s="31" t="n">
        <f aca="false">IF($E173="","",COUNTA($E$5:$E173))</f>
        <v>169</v>
      </c>
      <c r="B173" s="32" t="s">
        <v>365</v>
      </c>
      <c r="C173" s="32" t="s">
        <v>145</v>
      </c>
      <c r="D173" s="32" t="s">
        <v>366</v>
      </c>
      <c r="E173" s="32" t="s">
        <v>369</v>
      </c>
      <c r="F173" s="33" t="s">
        <v>62</v>
      </c>
      <c r="G173" s="32" t="s">
        <v>99</v>
      </c>
      <c r="H173" s="34" t="n">
        <v>46258</v>
      </c>
      <c r="I173" s="35" t="s">
        <v>77</v>
      </c>
      <c r="J173" s="36" t="n">
        <f aca="false">IF(OR($H173="",$I173=""),"",$H173+MATCH($I173,Listas!$F$5:$F$11,0)-1)</f>
        <v>46260</v>
      </c>
      <c r="K173" s="37"/>
      <c r="L173" s="33" t="s">
        <v>69</v>
      </c>
      <c r="M173" s="37"/>
      <c r="N173" s="32"/>
      <c r="O173" s="32"/>
      <c r="P173" s="38" t="str">
        <f aca="true">IF($E173="","",IF($L173="Cancelada","Cancelada",IF(OR($K173&lt;&gt;"",$L173="Concluída"),IF(OR($J173="",$K173="",$K173&lt;=$J173),"Concluída","Concluída com atraso"),IF($J173="","Na carteira",IF($J173&lt;TODAY(),"VENCIDA",IF($L173="Em execução","Em execução",IF($J173=TODAY(),"Hoje","Programada")))))))</f>
        <v>Em execução</v>
      </c>
      <c r="Q173" s="31" t="str">
        <f aca="false">IF($E173="","",IF(ISNUMBER(SEARCH("(externo)",$G173)),"Terceirizada","Interna"))</f>
        <v>Terceirizada</v>
      </c>
      <c r="R173" s="36" t="n">
        <f aca="false">IF($J173="","",IF($M173="",$J173,$M173))</f>
        <v>46260</v>
      </c>
      <c r="S173" s="31" t="n">
        <f aca="false">IF($E173="","",IF(OR($K173="",$J173=""),0,IF($K173&lt;=$J173,1,0)))</f>
        <v>0</v>
      </c>
      <c r="T173" s="31" t="n">
        <f aca="false">IF($E173="","",IF(OR($K173="",$R173=""),0,IF($K173&lt;=$R173,1,0)))</f>
        <v>0</v>
      </c>
      <c r="U173" s="38" t="str">
        <f aca="false">IF(OR($K173="",$J173=""),"",MAX(0,$K173-$J173))</f>
        <v/>
      </c>
      <c r="V173" s="31" t="n">
        <f aca="false">IF($E173="","",IF(AND($M173&lt;&gt;"",$J173&lt;&gt;"",$M173&lt;&gt;$J173),1,0))</f>
        <v>0</v>
      </c>
      <c r="W173" s="39" t="n">
        <f aca="false">IF($E173="","",IF($L173="Cancelada",0,IF(OR($K173&lt;&gt;"",$L173="Concluída"),1,0)))</f>
        <v>0</v>
      </c>
    </row>
    <row r="174" customFormat="false" ht="15" hidden="false" customHeight="true" outlineLevel="0" collapsed="false">
      <c r="A174" s="31" t="n">
        <f aca="false">IF($E174="","",COUNTA($E$5:$E174))</f>
        <v>170</v>
      </c>
      <c r="B174" s="32" t="s">
        <v>365</v>
      </c>
      <c r="C174" s="32" t="s">
        <v>145</v>
      </c>
      <c r="D174" s="32" t="s">
        <v>366</v>
      </c>
      <c r="E174" s="32" t="s">
        <v>370</v>
      </c>
      <c r="F174" s="33" t="s">
        <v>62</v>
      </c>
      <c r="G174" s="32" t="s">
        <v>99</v>
      </c>
      <c r="H174" s="34" t="n">
        <v>46258</v>
      </c>
      <c r="I174" s="35" t="s">
        <v>77</v>
      </c>
      <c r="J174" s="36" t="n">
        <f aca="false">IF(OR($H174="",$I174=""),"",$H174+MATCH($I174,Listas!$F$5:$F$11,0)-1)</f>
        <v>46260</v>
      </c>
      <c r="K174" s="37"/>
      <c r="L174" s="33" t="s">
        <v>69</v>
      </c>
      <c r="M174" s="37"/>
      <c r="N174" s="32"/>
      <c r="O174" s="32"/>
      <c r="P174" s="38" t="str">
        <f aca="true">IF($E174="","",IF($L174="Cancelada","Cancelada",IF(OR($K174&lt;&gt;"",$L174="Concluída"),IF(OR($J174="",$K174="",$K174&lt;=$J174),"Concluída","Concluída com atraso"),IF($J174="","Na carteira",IF($J174&lt;TODAY(),"VENCIDA",IF($L174="Em execução","Em execução",IF($J174=TODAY(),"Hoje","Programada")))))))</f>
        <v>Em execução</v>
      </c>
      <c r="Q174" s="31" t="str">
        <f aca="false">IF($E174="","",IF(ISNUMBER(SEARCH("(externo)",$G174)),"Terceirizada","Interna"))</f>
        <v>Terceirizada</v>
      </c>
      <c r="R174" s="36" t="n">
        <f aca="false">IF($J174="","",IF($M174="",$J174,$M174))</f>
        <v>46260</v>
      </c>
      <c r="S174" s="31" t="n">
        <f aca="false">IF($E174="","",IF(OR($K174="",$J174=""),0,IF($K174&lt;=$J174,1,0)))</f>
        <v>0</v>
      </c>
      <c r="T174" s="31" t="n">
        <f aca="false">IF($E174="","",IF(OR($K174="",$R174=""),0,IF($K174&lt;=$R174,1,0)))</f>
        <v>0</v>
      </c>
      <c r="U174" s="38" t="str">
        <f aca="false">IF(OR($K174="",$J174=""),"",MAX(0,$K174-$J174))</f>
        <v/>
      </c>
      <c r="V174" s="31" t="n">
        <f aca="false">IF($E174="","",IF(AND($M174&lt;&gt;"",$J174&lt;&gt;"",$M174&lt;&gt;$J174),1,0))</f>
        <v>0</v>
      </c>
      <c r="W174" s="39" t="n">
        <f aca="false">IF($E174="","",IF($L174="Cancelada",0,IF(OR($K174&lt;&gt;"",$L174="Concluída"),1,0)))</f>
        <v>0</v>
      </c>
    </row>
    <row r="175" customFormat="false" ht="15" hidden="false" customHeight="true" outlineLevel="0" collapsed="false">
      <c r="A175" s="31" t="n">
        <f aca="false">IF($E175="","",COUNTA($E$5:$E175))</f>
        <v>171</v>
      </c>
      <c r="B175" s="32" t="s">
        <v>365</v>
      </c>
      <c r="C175" s="32" t="s">
        <v>145</v>
      </c>
      <c r="D175" s="32" t="s">
        <v>366</v>
      </c>
      <c r="E175" s="32" t="s">
        <v>371</v>
      </c>
      <c r="F175" s="33" t="s">
        <v>62</v>
      </c>
      <c r="G175" s="32" t="s">
        <v>99</v>
      </c>
      <c r="H175" s="34" t="n">
        <v>46258</v>
      </c>
      <c r="I175" s="35" t="s">
        <v>77</v>
      </c>
      <c r="J175" s="36" t="n">
        <f aca="false">IF(OR($H175="",$I175=""),"",$H175+MATCH($I175,Listas!$F$5:$F$11,0)-1)</f>
        <v>46260</v>
      </c>
      <c r="K175" s="37"/>
      <c r="L175" s="33" t="s">
        <v>69</v>
      </c>
      <c r="M175" s="37"/>
      <c r="N175" s="32"/>
      <c r="O175" s="32"/>
      <c r="P175" s="38" t="str">
        <f aca="true">IF($E175="","",IF($L175="Cancelada","Cancelada",IF(OR($K175&lt;&gt;"",$L175="Concluída"),IF(OR($J175="",$K175="",$K175&lt;=$J175),"Concluída","Concluída com atraso"),IF($J175="","Na carteira",IF($J175&lt;TODAY(),"VENCIDA",IF($L175="Em execução","Em execução",IF($J175=TODAY(),"Hoje","Programada")))))))</f>
        <v>Em execução</v>
      </c>
      <c r="Q175" s="31" t="str">
        <f aca="false">IF($E175="","",IF(ISNUMBER(SEARCH("(externo)",$G175)),"Terceirizada","Interna"))</f>
        <v>Terceirizada</v>
      </c>
      <c r="R175" s="36" t="n">
        <f aca="false">IF($J175="","",IF($M175="",$J175,$M175))</f>
        <v>46260</v>
      </c>
      <c r="S175" s="31" t="n">
        <f aca="false">IF($E175="","",IF(OR($K175="",$J175=""),0,IF($K175&lt;=$J175,1,0)))</f>
        <v>0</v>
      </c>
      <c r="T175" s="31" t="n">
        <f aca="false">IF($E175="","",IF(OR($K175="",$R175=""),0,IF($K175&lt;=$R175,1,0)))</f>
        <v>0</v>
      </c>
      <c r="U175" s="38" t="str">
        <f aca="false">IF(OR($K175="",$J175=""),"",MAX(0,$K175-$J175))</f>
        <v/>
      </c>
      <c r="V175" s="31" t="n">
        <f aca="false">IF($E175="","",IF(AND($M175&lt;&gt;"",$J175&lt;&gt;"",$M175&lt;&gt;$J175),1,0))</f>
        <v>0</v>
      </c>
      <c r="W175" s="39" t="n">
        <f aca="false">IF($E175="","",IF($L175="Cancelada",0,IF(OR($K175&lt;&gt;"",$L175="Concluída"),1,0)))</f>
        <v>0</v>
      </c>
    </row>
    <row r="176" customFormat="false" ht="15" hidden="false" customHeight="true" outlineLevel="0" collapsed="false">
      <c r="A176" s="31" t="n">
        <f aca="false">IF($E176="","",COUNTA($E$5:$E176))</f>
        <v>172</v>
      </c>
      <c r="B176" s="32" t="s">
        <v>365</v>
      </c>
      <c r="C176" s="32" t="s">
        <v>145</v>
      </c>
      <c r="D176" s="32" t="s">
        <v>366</v>
      </c>
      <c r="E176" s="32" t="s">
        <v>372</v>
      </c>
      <c r="F176" s="33" t="s">
        <v>62</v>
      </c>
      <c r="G176" s="32" t="s">
        <v>99</v>
      </c>
      <c r="H176" s="34" t="n">
        <v>46258</v>
      </c>
      <c r="I176" s="35" t="s">
        <v>77</v>
      </c>
      <c r="J176" s="36" t="n">
        <f aca="false">IF(OR($H176="",$I176=""),"",$H176+MATCH($I176,Listas!$F$5:$F$11,0)-1)</f>
        <v>46260</v>
      </c>
      <c r="K176" s="37"/>
      <c r="L176" s="33" t="s">
        <v>69</v>
      </c>
      <c r="M176" s="37"/>
      <c r="N176" s="32"/>
      <c r="O176" s="32"/>
      <c r="P176" s="38" t="str">
        <f aca="true">IF($E176="","",IF($L176="Cancelada","Cancelada",IF(OR($K176&lt;&gt;"",$L176="Concluída"),IF(OR($J176="",$K176="",$K176&lt;=$J176),"Concluída","Concluída com atraso"),IF($J176="","Na carteira",IF($J176&lt;TODAY(),"VENCIDA",IF($L176="Em execução","Em execução",IF($J176=TODAY(),"Hoje","Programada")))))))</f>
        <v>Em execução</v>
      </c>
      <c r="Q176" s="31" t="str">
        <f aca="false">IF($E176="","",IF(ISNUMBER(SEARCH("(externo)",$G176)),"Terceirizada","Interna"))</f>
        <v>Terceirizada</v>
      </c>
      <c r="R176" s="36" t="n">
        <f aca="false">IF($J176="","",IF($M176="",$J176,$M176))</f>
        <v>46260</v>
      </c>
      <c r="S176" s="31" t="n">
        <f aca="false">IF($E176="","",IF(OR($K176="",$J176=""),0,IF($K176&lt;=$J176,1,0)))</f>
        <v>0</v>
      </c>
      <c r="T176" s="31" t="n">
        <f aca="false">IF($E176="","",IF(OR($K176="",$R176=""),0,IF($K176&lt;=$R176,1,0)))</f>
        <v>0</v>
      </c>
      <c r="U176" s="38" t="str">
        <f aca="false">IF(OR($K176="",$J176=""),"",MAX(0,$K176-$J176))</f>
        <v/>
      </c>
      <c r="V176" s="31" t="n">
        <f aca="false">IF($E176="","",IF(AND($M176&lt;&gt;"",$J176&lt;&gt;"",$M176&lt;&gt;$J176),1,0))</f>
        <v>0</v>
      </c>
      <c r="W176" s="39" t="n">
        <f aca="false">IF($E176="","",IF($L176="Cancelada",0,IF(OR($K176&lt;&gt;"",$L176="Concluída"),1,0)))</f>
        <v>0</v>
      </c>
    </row>
    <row r="177" customFormat="false" ht="15" hidden="false" customHeight="true" outlineLevel="0" collapsed="false">
      <c r="A177" s="31" t="n">
        <f aca="false">IF($E177="","",COUNTA($E$5:$E177))</f>
        <v>173</v>
      </c>
      <c r="B177" s="32" t="s">
        <v>365</v>
      </c>
      <c r="C177" s="32" t="s">
        <v>145</v>
      </c>
      <c r="D177" s="32" t="s">
        <v>366</v>
      </c>
      <c r="E177" s="32" t="s">
        <v>373</v>
      </c>
      <c r="F177" s="33" t="s">
        <v>62</v>
      </c>
      <c r="G177" s="32" t="s">
        <v>99</v>
      </c>
      <c r="H177" s="34" t="n">
        <v>46258</v>
      </c>
      <c r="I177" s="35" t="s">
        <v>77</v>
      </c>
      <c r="J177" s="36" t="n">
        <f aca="false">IF(OR($H177="",$I177=""),"",$H177+MATCH($I177,Listas!$F$5:$F$11,0)-1)</f>
        <v>46260</v>
      </c>
      <c r="K177" s="37"/>
      <c r="L177" s="33" t="s">
        <v>69</v>
      </c>
      <c r="M177" s="37"/>
      <c r="N177" s="32"/>
      <c r="O177" s="32"/>
      <c r="P177" s="38" t="str">
        <f aca="true">IF($E177="","",IF($L177="Cancelada","Cancelada",IF(OR($K177&lt;&gt;"",$L177="Concluída"),IF(OR($J177="",$K177="",$K177&lt;=$J177),"Concluída","Concluída com atraso"),IF($J177="","Na carteira",IF($J177&lt;TODAY(),"VENCIDA",IF($L177="Em execução","Em execução",IF($J177=TODAY(),"Hoje","Programada")))))))</f>
        <v>Em execução</v>
      </c>
      <c r="Q177" s="31" t="str">
        <f aca="false">IF($E177="","",IF(ISNUMBER(SEARCH("(externo)",$G177)),"Terceirizada","Interna"))</f>
        <v>Terceirizada</v>
      </c>
      <c r="R177" s="36" t="n">
        <f aca="false">IF($J177="","",IF($M177="",$J177,$M177))</f>
        <v>46260</v>
      </c>
      <c r="S177" s="31" t="n">
        <f aca="false">IF($E177="","",IF(OR($K177="",$J177=""),0,IF($K177&lt;=$J177,1,0)))</f>
        <v>0</v>
      </c>
      <c r="T177" s="31" t="n">
        <f aca="false">IF($E177="","",IF(OR($K177="",$R177=""),0,IF($K177&lt;=$R177,1,0)))</f>
        <v>0</v>
      </c>
      <c r="U177" s="38" t="str">
        <f aca="false">IF(OR($K177="",$J177=""),"",MAX(0,$K177-$J177))</f>
        <v/>
      </c>
      <c r="V177" s="31" t="n">
        <f aca="false">IF($E177="","",IF(AND($M177&lt;&gt;"",$J177&lt;&gt;"",$M177&lt;&gt;$J177),1,0))</f>
        <v>0</v>
      </c>
      <c r="W177" s="39" t="n">
        <f aca="false">IF($E177="","",IF($L177="Cancelada",0,IF(OR($K177&lt;&gt;"",$L177="Concluída"),1,0)))</f>
        <v>0</v>
      </c>
    </row>
    <row r="178" customFormat="false" ht="15" hidden="false" customHeight="true" outlineLevel="0" collapsed="false">
      <c r="A178" s="31" t="n">
        <f aca="false">IF($E178="","",COUNTA($E$5:$E178))</f>
        <v>174</v>
      </c>
      <c r="B178" s="32" t="s">
        <v>365</v>
      </c>
      <c r="C178" s="32" t="s">
        <v>145</v>
      </c>
      <c r="D178" s="32" t="s">
        <v>366</v>
      </c>
      <c r="E178" s="32" t="s">
        <v>374</v>
      </c>
      <c r="F178" s="33" t="s">
        <v>62</v>
      </c>
      <c r="G178" s="32" t="s">
        <v>99</v>
      </c>
      <c r="H178" s="34" t="n">
        <v>46258</v>
      </c>
      <c r="I178" s="35" t="s">
        <v>77</v>
      </c>
      <c r="J178" s="36" t="n">
        <f aca="false">IF(OR($H178="",$I178=""),"",$H178+MATCH($I178,Listas!$F$5:$F$11,0)-1)</f>
        <v>46260</v>
      </c>
      <c r="K178" s="37"/>
      <c r="L178" s="33" t="s">
        <v>69</v>
      </c>
      <c r="M178" s="37"/>
      <c r="N178" s="32"/>
      <c r="O178" s="32"/>
      <c r="P178" s="38" t="str">
        <f aca="true">IF($E178="","",IF($L178="Cancelada","Cancelada",IF(OR($K178&lt;&gt;"",$L178="Concluída"),IF(OR($J178="",$K178="",$K178&lt;=$J178),"Concluída","Concluída com atraso"),IF($J178="","Na carteira",IF($J178&lt;TODAY(),"VENCIDA",IF($L178="Em execução","Em execução",IF($J178=TODAY(),"Hoje","Programada")))))))</f>
        <v>Em execução</v>
      </c>
      <c r="Q178" s="31" t="str">
        <f aca="false">IF($E178="","",IF(ISNUMBER(SEARCH("(externo)",$G178)),"Terceirizada","Interna"))</f>
        <v>Terceirizada</v>
      </c>
      <c r="R178" s="36" t="n">
        <f aca="false">IF($J178="","",IF($M178="",$J178,$M178))</f>
        <v>46260</v>
      </c>
      <c r="S178" s="31" t="n">
        <f aca="false">IF($E178="","",IF(OR($K178="",$J178=""),0,IF($K178&lt;=$J178,1,0)))</f>
        <v>0</v>
      </c>
      <c r="T178" s="31" t="n">
        <f aca="false">IF($E178="","",IF(OR($K178="",$R178=""),0,IF($K178&lt;=$R178,1,0)))</f>
        <v>0</v>
      </c>
      <c r="U178" s="38" t="str">
        <f aca="false">IF(OR($K178="",$J178=""),"",MAX(0,$K178-$J178))</f>
        <v/>
      </c>
      <c r="V178" s="31" t="n">
        <f aca="false">IF($E178="","",IF(AND($M178&lt;&gt;"",$J178&lt;&gt;"",$M178&lt;&gt;$J178),1,0))</f>
        <v>0</v>
      </c>
      <c r="W178" s="39" t="n">
        <f aca="false">IF($E178="","",IF($L178="Cancelada",0,IF(OR($K178&lt;&gt;"",$L178="Concluída"),1,0)))</f>
        <v>0</v>
      </c>
    </row>
    <row r="179" customFormat="false" ht="15" hidden="false" customHeight="true" outlineLevel="0" collapsed="false">
      <c r="A179" s="31" t="n">
        <f aca="false">IF($E179="","",COUNTA($E$5:$E179))</f>
        <v>175</v>
      </c>
      <c r="B179" s="32" t="s">
        <v>365</v>
      </c>
      <c r="C179" s="32" t="s">
        <v>145</v>
      </c>
      <c r="D179" s="32" t="s">
        <v>366</v>
      </c>
      <c r="E179" s="32" t="s">
        <v>375</v>
      </c>
      <c r="F179" s="33" t="s">
        <v>62</v>
      </c>
      <c r="G179" s="32" t="s">
        <v>99</v>
      </c>
      <c r="H179" s="34" t="n">
        <v>46258</v>
      </c>
      <c r="I179" s="35" t="s">
        <v>77</v>
      </c>
      <c r="J179" s="36" t="n">
        <f aca="false">IF(OR($H179="",$I179=""),"",$H179+MATCH($I179,Listas!$F$5:$F$11,0)-1)</f>
        <v>46260</v>
      </c>
      <c r="K179" s="37"/>
      <c r="L179" s="33" t="s">
        <v>69</v>
      </c>
      <c r="M179" s="37"/>
      <c r="N179" s="32"/>
      <c r="O179" s="32"/>
      <c r="P179" s="38" t="str">
        <f aca="true">IF($E179="","",IF($L179="Cancelada","Cancelada",IF(OR($K179&lt;&gt;"",$L179="Concluída"),IF(OR($J179="",$K179="",$K179&lt;=$J179),"Concluída","Concluída com atraso"),IF($J179="","Na carteira",IF($J179&lt;TODAY(),"VENCIDA",IF($L179="Em execução","Em execução",IF($J179=TODAY(),"Hoje","Programada")))))))</f>
        <v>Em execução</v>
      </c>
      <c r="Q179" s="31" t="str">
        <f aca="false">IF($E179="","",IF(ISNUMBER(SEARCH("(externo)",$G179)),"Terceirizada","Interna"))</f>
        <v>Terceirizada</v>
      </c>
      <c r="R179" s="36" t="n">
        <f aca="false">IF($J179="","",IF($M179="",$J179,$M179))</f>
        <v>46260</v>
      </c>
      <c r="S179" s="31" t="n">
        <f aca="false">IF($E179="","",IF(OR($K179="",$J179=""),0,IF($K179&lt;=$J179,1,0)))</f>
        <v>0</v>
      </c>
      <c r="T179" s="31" t="n">
        <f aca="false">IF($E179="","",IF(OR($K179="",$R179=""),0,IF($K179&lt;=$R179,1,0)))</f>
        <v>0</v>
      </c>
      <c r="U179" s="38" t="str">
        <f aca="false">IF(OR($K179="",$J179=""),"",MAX(0,$K179-$J179))</f>
        <v/>
      </c>
      <c r="V179" s="31" t="n">
        <f aca="false">IF($E179="","",IF(AND($M179&lt;&gt;"",$J179&lt;&gt;"",$M179&lt;&gt;$J179),1,0))</f>
        <v>0</v>
      </c>
      <c r="W179" s="39" t="n">
        <f aca="false">IF($E179="","",IF($L179="Cancelada",0,IF(OR($K179&lt;&gt;"",$L179="Concluída"),1,0)))</f>
        <v>0</v>
      </c>
    </row>
    <row r="180" customFormat="false" ht="15" hidden="false" customHeight="true" outlineLevel="0" collapsed="false">
      <c r="A180" s="31" t="n">
        <f aca="false">IF($E180="","",COUNTA($E$5:$E180))</f>
        <v>176</v>
      </c>
      <c r="B180" s="32" t="s">
        <v>365</v>
      </c>
      <c r="C180" s="32" t="s">
        <v>145</v>
      </c>
      <c r="D180" s="32" t="s">
        <v>366</v>
      </c>
      <c r="E180" s="32" t="s">
        <v>376</v>
      </c>
      <c r="F180" s="33" t="s">
        <v>62</v>
      </c>
      <c r="G180" s="32" t="s">
        <v>99</v>
      </c>
      <c r="H180" s="34" t="n">
        <v>46258</v>
      </c>
      <c r="I180" s="35" t="s">
        <v>77</v>
      </c>
      <c r="J180" s="36" t="n">
        <f aca="false">IF(OR($H180="",$I180=""),"",$H180+MATCH($I180,Listas!$F$5:$F$11,0)-1)</f>
        <v>46260</v>
      </c>
      <c r="K180" s="37"/>
      <c r="L180" s="33" t="s">
        <v>69</v>
      </c>
      <c r="M180" s="37"/>
      <c r="N180" s="32"/>
      <c r="O180" s="32"/>
      <c r="P180" s="38" t="str">
        <f aca="true">IF($E180="","",IF($L180="Cancelada","Cancelada",IF(OR($K180&lt;&gt;"",$L180="Concluída"),IF(OR($J180="",$K180="",$K180&lt;=$J180),"Concluída","Concluída com atraso"),IF($J180="","Na carteira",IF($J180&lt;TODAY(),"VENCIDA",IF($L180="Em execução","Em execução",IF($J180=TODAY(),"Hoje","Programada")))))))</f>
        <v>Em execução</v>
      </c>
      <c r="Q180" s="31" t="str">
        <f aca="false">IF($E180="","",IF(ISNUMBER(SEARCH("(externo)",$G180)),"Terceirizada","Interna"))</f>
        <v>Terceirizada</v>
      </c>
      <c r="R180" s="36" t="n">
        <f aca="false">IF($J180="","",IF($M180="",$J180,$M180))</f>
        <v>46260</v>
      </c>
      <c r="S180" s="31" t="n">
        <f aca="false">IF($E180="","",IF(OR($K180="",$J180=""),0,IF($K180&lt;=$J180,1,0)))</f>
        <v>0</v>
      </c>
      <c r="T180" s="31" t="n">
        <f aca="false">IF($E180="","",IF(OR($K180="",$R180=""),0,IF($K180&lt;=$R180,1,0)))</f>
        <v>0</v>
      </c>
      <c r="U180" s="38" t="str">
        <f aca="false">IF(OR($K180="",$J180=""),"",MAX(0,$K180-$J180))</f>
        <v/>
      </c>
      <c r="V180" s="31" t="n">
        <f aca="false">IF($E180="","",IF(AND($M180&lt;&gt;"",$J180&lt;&gt;"",$M180&lt;&gt;$J180),1,0))</f>
        <v>0</v>
      </c>
      <c r="W180" s="39" t="n">
        <f aca="false">IF($E180="","",IF($L180="Cancelada",0,IF(OR($K180&lt;&gt;"",$L180="Concluída"),1,0)))</f>
        <v>0</v>
      </c>
    </row>
    <row r="181" customFormat="false" ht="15" hidden="false" customHeight="true" outlineLevel="0" collapsed="false">
      <c r="A181" s="31" t="n">
        <f aca="false">IF($E181="","",COUNTA($E$5:$E181))</f>
        <v>177</v>
      </c>
      <c r="B181" s="32" t="s">
        <v>365</v>
      </c>
      <c r="C181" s="32" t="s">
        <v>145</v>
      </c>
      <c r="D181" s="32" t="s">
        <v>366</v>
      </c>
      <c r="E181" s="32" t="s">
        <v>377</v>
      </c>
      <c r="F181" s="33" t="s">
        <v>62</v>
      </c>
      <c r="G181" s="32" t="s">
        <v>99</v>
      </c>
      <c r="H181" s="34" t="n">
        <v>46258</v>
      </c>
      <c r="I181" s="35" t="s">
        <v>77</v>
      </c>
      <c r="J181" s="36" t="n">
        <f aca="false">IF(OR($H181="",$I181=""),"",$H181+MATCH($I181,Listas!$F$5:$F$11,0)-1)</f>
        <v>46260</v>
      </c>
      <c r="K181" s="37"/>
      <c r="L181" s="33" t="s">
        <v>69</v>
      </c>
      <c r="M181" s="37"/>
      <c r="N181" s="32"/>
      <c r="O181" s="32"/>
      <c r="P181" s="38" t="str">
        <f aca="true">IF($E181="","",IF($L181="Cancelada","Cancelada",IF(OR($K181&lt;&gt;"",$L181="Concluída"),IF(OR($J181="",$K181="",$K181&lt;=$J181),"Concluída","Concluída com atraso"),IF($J181="","Na carteira",IF($J181&lt;TODAY(),"VENCIDA",IF($L181="Em execução","Em execução",IF($J181=TODAY(),"Hoje","Programada")))))))</f>
        <v>Em execução</v>
      </c>
      <c r="Q181" s="31" t="str">
        <f aca="false">IF($E181="","",IF(ISNUMBER(SEARCH("(externo)",$G181)),"Terceirizada","Interna"))</f>
        <v>Terceirizada</v>
      </c>
      <c r="R181" s="36" t="n">
        <f aca="false">IF($J181="","",IF($M181="",$J181,$M181))</f>
        <v>46260</v>
      </c>
      <c r="S181" s="31" t="n">
        <f aca="false">IF($E181="","",IF(OR($K181="",$J181=""),0,IF($K181&lt;=$J181,1,0)))</f>
        <v>0</v>
      </c>
      <c r="T181" s="31" t="n">
        <f aca="false">IF($E181="","",IF(OR($K181="",$R181=""),0,IF($K181&lt;=$R181,1,0)))</f>
        <v>0</v>
      </c>
      <c r="U181" s="38" t="str">
        <f aca="false">IF(OR($K181="",$J181=""),"",MAX(0,$K181-$J181))</f>
        <v/>
      </c>
      <c r="V181" s="31" t="n">
        <f aca="false">IF($E181="","",IF(AND($M181&lt;&gt;"",$J181&lt;&gt;"",$M181&lt;&gt;$J181),1,0))</f>
        <v>0</v>
      </c>
      <c r="W181" s="39" t="n">
        <f aca="false">IF($E181="","",IF($L181="Cancelada",0,IF(OR($K181&lt;&gt;"",$L181="Concluída"),1,0)))</f>
        <v>0</v>
      </c>
    </row>
    <row r="182" customFormat="false" ht="15" hidden="false" customHeight="true" outlineLevel="0" collapsed="false">
      <c r="A182" s="31" t="n">
        <f aca="false">IF($E182="","",COUNTA($E$5:$E182))</f>
        <v>178</v>
      </c>
      <c r="B182" s="32" t="s">
        <v>365</v>
      </c>
      <c r="C182" s="32" t="s">
        <v>145</v>
      </c>
      <c r="D182" s="32" t="s">
        <v>366</v>
      </c>
      <c r="E182" s="32" t="s">
        <v>378</v>
      </c>
      <c r="F182" s="33" t="s">
        <v>62</v>
      </c>
      <c r="G182" s="32" t="s">
        <v>99</v>
      </c>
      <c r="H182" s="34" t="n">
        <v>46258</v>
      </c>
      <c r="I182" s="35" t="s">
        <v>77</v>
      </c>
      <c r="J182" s="36" t="n">
        <f aca="false">IF(OR($H182="",$I182=""),"",$H182+MATCH($I182,Listas!$F$5:$F$11,0)-1)</f>
        <v>46260</v>
      </c>
      <c r="K182" s="37"/>
      <c r="L182" s="33" t="s">
        <v>69</v>
      </c>
      <c r="M182" s="37"/>
      <c r="N182" s="32"/>
      <c r="O182" s="32"/>
      <c r="P182" s="38" t="str">
        <f aca="true">IF($E182="","",IF($L182="Cancelada","Cancelada",IF(OR($K182&lt;&gt;"",$L182="Concluída"),IF(OR($J182="",$K182="",$K182&lt;=$J182),"Concluída","Concluída com atraso"),IF($J182="","Na carteira",IF($J182&lt;TODAY(),"VENCIDA",IF($L182="Em execução","Em execução",IF($J182=TODAY(),"Hoje","Programada")))))))</f>
        <v>Em execução</v>
      </c>
      <c r="Q182" s="31" t="str">
        <f aca="false">IF($E182="","",IF(ISNUMBER(SEARCH("(externo)",$G182)),"Terceirizada","Interna"))</f>
        <v>Terceirizada</v>
      </c>
      <c r="R182" s="36" t="n">
        <f aca="false">IF($J182="","",IF($M182="",$J182,$M182))</f>
        <v>46260</v>
      </c>
      <c r="S182" s="31" t="n">
        <f aca="false">IF($E182="","",IF(OR($K182="",$J182=""),0,IF($K182&lt;=$J182,1,0)))</f>
        <v>0</v>
      </c>
      <c r="T182" s="31" t="n">
        <f aca="false">IF($E182="","",IF(OR($K182="",$R182=""),0,IF($K182&lt;=$R182,1,0)))</f>
        <v>0</v>
      </c>
      <c r="U182" s="38" t="str">
        <f aca="false">IF(OR($K182="",$J182=""),"",MAX(0,$K182-$J182))</f>
        <v/>
      </c>
      <c r="V182" s="31" t="n">
        <f aca="false">IF($E182="","",IF(AND($M182&lt;&gt;"",$J182&lt;&gt;"",$M182&lt;&gt;$J182),1,0))</f>
        <v>0</v>
      </c>
      <c r="W182" s="39" t="n">
        <f aca="false">IF($E182="","",IF($L182="Cancelada",0,IF(OR($K182&lt;&gt;"",$L182="Concluída"),1,0)))</f>
        <v>0</v>
      </c>
    </row>
    <row r="183" customFormat="false" ht="15" hidden="false" customHeight="true" outlineLevel="0" collapsed="false">
      <c r="A183" s="31" t="n">
        <f aca="false">IF($E183="","",COUNTA($E$5:$E183))</f>
        <v>179</v>
      </c>
      <c r="B183" s="32" t="s">
        <v>365</v>
      </c>
      <c r="C183" s="32" t="s">
        <v>145</v>
      </c>
      <c r="D183" s="32" t="s">
        <v>366</v>
      </c>
      <c r="E183" s="32" t="s">
        <v>379</v>
      </c>
      <c r="F183" s="33" t="s">
        <v>62</v>
      </c>
      <c r="G183" s="32" t="s">
        <v>99</v>
      </c>
      <c r="H183" s="34" t="n">
        <v>46258</v>
      </c>
      <c r="I183" s="35" t="s">
        <v>82</v>
      </c>
      <c r="J183" s="36" t="n">
        <f aca="false">IF(OR($H183="",$I183=""),"",$H183+MATCH($I183,Listas!$F$5:$F$11,0)-1)</f>
        <v>46261</v>
      </c>
      <c r="K183" s="37"/>
      <c r="L183" s="33" t="s">
        <v>69</v>
      </c>
      <c r="M183" s="37"/>
      <c r="N183" s="32"/>
      <c r="O183" s="32"/>
      <c r="P183" s="38" t="str">
        <f aca="true">IF($E183="","",IF($L183="Cancelada","Cancelada",IF(OR($K183&lt;&gt;"",$L183="Concluída"),IF(OR($J183="",$K183="",$K183&lt;=$J183),"Concluída","Concluída com atraso"),IF($J183="","Na carteira",IF($J183&lt;TODAY(),"VENCIDA",IF($L183="Em execução","Em execução",IF($J183=TODAY(),"Hoje","Programada")))))))</f>
        <v>Em execução</v>
      </c>
      <c r="Q183" s="31" t="str">
        <f aca="false">IF($E183="","",IF(ISNUMBER(SEARCH("(externo)",$G183)),"Terceirizada","Interna"))</f>
        <v>Terceirizada</v>
      </c>
      <c r="R183" s="36" t="n">
        <f aca="false">IF($J183="","",IF($M183="",$J183,$M183))</f>
        <v>46261</v>
      </c>
      <c r="S183" s="31" t="n">
        <f aca="false">IF($E183="","",IF(OR($K183="",$J183=""),0,IF($K183&lt;=$J183,1,0)))</f>
        <v>0</v>
      </c>
      <c r="T183" s="31" t="n">
        <f aca="false">IF($E183="","",IF(OR($K183="",$R183=""),0,IF($K183&lt;=$R183,1,0)))</f>
        <v>0</v>
      </c>
      <c r="U183" s="38" t="str">
        <f aca="false">IF(OR($K183="",$J183=""),"",MAX(0,$K183-$J183))</f>
        <v/>
      </c>
      <c r="V183" s="31" t="n">
        <f aca="false">IF($E183="","",IF(AND($M183&lt;&gt;"",$J183&lt;&gt;"",$M183&lt;&gt;$J183),1,0))</f>
        <v>0</v>
      </c>
      <c r="W183" s="39" t="n">
        <f aca="false">IF($E183="","",IF($L183="Cancelada",0,IF(OR($K183&lt;&gt;"",$L183="Concluída"),1,0)))</f>
        <v>0</v>
      </c>
    </row>
    <row r="184" customFormat="false" ht="15" hidden="false" customHeight="true" outlineLevel="0" collapsed="false">
      <c r="A184" s="31" t="n">
        <f aca="false">IF($E184="","",COUNTA($E$5:$E184))</f>
        <v>180</v>
      </c>
      <c r="B184" s="32" t="s">
        <v>365</v>
      </c>
      <c r="C184" s="32" t="s">
        <v>145</v>
      </c>
      <c r="D184" s="32" t="s">
        <v>366</v>
      </c>
      <c r="E184" s="32" t="s">
        <v>380</v>
      </c>
      <c r="F184" s="33" t="s">
        <v>62</v>
      </c>
      <c r="G184" s="32" t="s">
        <v>99</v>
      </c>
      <c r="H184" s="34" t="n">
        <v>46258</v>
      </c>
      <c r="I184" s="35" t="s">
        <v>82</v>
      </c>
      <c r="J184" s="36" t="n">
        <f aca="false">IF(OR($H184="",$I184=""),"",$H184+MATCH($I184,Listas!$F$5:$F$11,0)-1)</f>
        <v>46261</v>
      </c>
      <c r="K184" s="37"/>
      <c r="L184" s="33" t="s">
        <v>69</v>
      </c>
      <c r="M184" s="37"/>
      <c r="N184" s="32"/>
      <c r="O184" s="32"/>
      <c r="P184" s="38" t="str">
        <f aca="true">IF($E184="","",IF($L184="Cancelada","Cancelada",IF(OR($K184&lt;&gt;"",$L184="Concluída"),IF(OR($J184="",$K184="",$K184&lt;=$J184),"Concluída","Concluída com atraso"),IF($J184="","Na carteira",IF($J184&lt;TODAY(),"VENCIDA",IF($L184="Em execução","Em execução",IF($J184=TODAY(),"Hoje","Programada")))))))</f>
        <v>Em execução</v>
      </c>
      <c r="Q184" s="31" t="str">
        <f aca="false">IF($E184="","",IF(ISNUMBER(SEARCH("(externo)",$G184)),"Terceirizada","Interna"))</f>
        <v>Terceirizada</v>
      </c>
      <c r="R184" s="36" t="n">
        <f aca="false">IF($J184="","",IF($M184="",$J184,$M184))</f>
        <v>46261</v>
      </c>
      <c r="S184" s="31" t="n">
        <f aca="false">IF($E184="","",IF(OR($K184="",$J184=""),0,IF($K184&lt;=$J184,1,0)))</f>
        <v>0</v>
      </c>
      <c r="T184" s="31" t="n">
        <f aca="false">IF($E184="","",IF(OR($K184="",$R184=""),0,IF($K184&lt;=$R184,1,0)))</f>
        <v>0</v>
      </c>
      <c r="U184" s="38" t="str">
        <f aca="false">IF(OR($K184="",$J184=""),"",MAX(0,$K184-$J184))</f>
        <v/>
      </c>
      <c r="V184" s="31" t="n">
        <f aca="false">IF($E184="","",IF(AND($M184&lt;&gt;"",$J184&lt;&gt;"",$M184&lt;&gt;$J184),1,0))</f>
        <v>0</v>
      </c>
      <c r="W184" s="39" t="n">
        <f aca="false">IF($E184="","",IF($L184="Cancelada",0,IF(OR($K184&lt;&gt;"",$L184="Concluída"),1,0)))</f>
        <v>0</v>
      </c>
    </row>
    <row r="185" customFormat="false" ht="15" hidden="false" customHeight="true" outlineLevel="0" collapsed="false">
      <c r="A185" s="31" t="n">
        <f aca="false">IF($E185="","",COUNTA($E$5:$E185))</f>
        <v>181</v>
      </c>
      <c r="B185" s="32" t="s">
        <v>365</v>
      </c>
      <c r="C185" s="32" t="s">
        <v>145</v>
      </c>
      <c r="D185" s="32" t="s">
        <v>366</v>
      </c>
      <c r="E185" s="32" t="s">
        <v>381</v>
      </c>
      <c r="F185" s="33" t="s">
        <v>62</v>
      </c>
      <c r="G185" s="32" t="s">
        <v>99</v>
      </c>
      <c r="H185" s="34" t="n">
        <v>46258</v>
      </c>
      <c r="I185" s="35" t="s">
        <v>82</v>
      </c>
      <c r="J185" s="36" t="n">
        <f aca="false">IF(OR($H185="",$I185=""),"",$H185+MATCH($I185,Listas!$F$5:$F$11,0)-1)</f>
        <v>46261</v>
      </c>
      <c r="K185" s="37"/>
      <c r="L185" s="33" t="s">
        <v>69</v>
      </c>
      <c r="M185" s="37"/>
      <c r="N185" s="32"/>
      <c r="O185" s="32"/>
      <c r="P185" s="38" t="str">
        <f aca="true">IF($E185="","",IF($L185="Cancelada","Cancelada",IF(OR($K185&lt;&gt;"",$L185="Concluída"),IF(OR($J185="",$K185="",$K185&lt;=$J185),"Concluída","Concluída com atraso"),IF($J185="","Na carteira",IF($J185&lt;TODAY(),"VENCIDA",IF($L185="Em execução","Em execução",IF($J185=TODAY(),"Hoje","Programada")))))))</f>
        <v>Em execução</v>
      </c>
      <c r="Q185" s="31" t="str">
        <f aca="false">IF($E185="","",IF(ISNUMBER(SEARCH("(externo)",$G185)),"Terceirizada","Interna"))</f>
        <v>Terceirizada</v>
      </c>
      <c r="R185" s="36" t="n">
        <f aca="false">IF($J185="","",IF($M185="",$J185,$M185))</f>
        <v>46261</v>
      </c>
      <c r="S185" s="31" t="n">
        <f aca="false">IF($E185="","",IF(OR($K185="",$J185=""),0,IF($K185&lt;=$J185,1,0)))</f>
        <v>0</v>
      </c>
      <c r="T185" s="31" t="n">
        <f aca="false">IF($E185="","",IF(OR($K185="",$R185=""),0,IF($K185&lt;=$R185,1,0)))</f>
        <v>0</v>
      </c>
      <c r="U185" s="38" t="str">
        <f aca="false">IF(OR($K185="",$J185=""),"",MAX(0,$K185-$J185))</f>
        <v/>
      </c>
      <c r="V185" s="31" t="n">
        <f aca="false">IF($E185="","",IF(AND($M185&lt;&gt;"",$J185&lt;&gt;"",$M185&lt;&gt;$J185),1,0))</f>
        <v>0</v>
      </c>
      <c r="W185" s="39" t="n">
        <f aca="false">IF($E185="","",IF($L185="Cancelada",0,IF(OR($K185&lt;&gt;"",$L185="Concluída"),1,0)))</f>
        <v>0</v>
      </c>
    </row>
    <row r="186" customFormat="false" ht="15" hidden="false" customHeight="true" outlineLevel="0" collapsed="false">
      <c r="A186" s="31" t="n">
        <f aca="false">IF($E186="","",COUNTA($E$5:$E186))</f>
        <v>182</v>
      </c>
      <c r="B186" s="32" t="s">
        <v>365</v>
      </c>
      <c r="C186" s="32" t="s">
        <v>145</v>
      </c>
      <c r="D186" s="32" t="s">
        <v>366</v>
      </c>
      <c r="E186" s="32" t="s">
        <v>382</v>
      </c>
      <c r="F186" s="33" t="s">
        <v>62</v>
      </c>
      <c r="G186" s="32" t="s">
        <v>99</v>
      </c>
      <c r="H186" s="34" t="n">
        <v>46258</v>
      </c>
      <c r="I186" s="35" t="s">
        <v>82</v>
      </c>
      <c r="J186" s="36" t="n">
        <f aca="false">IF(OR($H186="",$I186=""),"",$H186+MATCH($I186,Listas!$F$5:$F$11,0)-1)</f>
        <v>46261</v>
      </c>
      <c r="K186" s="37"/>
      <c r="L186" s="33" t="s">
        <v>69</v>
      </c>
      <c r="M186" s="37"/>
      <c r="N186" s="32"/>
      <c r="O186" s="32"/>
      <c r="P186" s="38" t="str">
        <f aca="true">IF($E186="","",IF($L186="Cancelada","Cancelada",IF(OR($K186&lt;&gt;"",$L186="Concluída"),IF(OR($J186="",$K186="",$K186&lt;=$J186),"Concluída","Concluída com atraso"),IF($J186="","Na carteira",IF($J186&lt;TODAY(),"VENCIDA",IF($L186="Em execução","Em execução",IF($J186=TODAY(),"Hoje","Programada")))))))</f>
        <v>Em execução</v>
      </c>
      <c r="Q186" s="31" t="str">
        <f aca="false">IF($E186="","",IF(ISNUMBER(SEARCH("(externo)",$G186)),"Terceirizada","Interna"))</f>
        <v>Terceirizada</v>
      </c>
      <c r="R186" s="36" t="n">
        <f aca="false">IF($J186="","",IF($M186="",$J186,$M186))</f>
        <v>46261</v>
      </c>
      <c r="S186" s="31" t="n">
        <f aca="false">IF($E186="","",IF(OR($K186="",$J186=""),0,IF($K186&lt;=$J186,1,0)))</f>
        <v>0</v>
      </c>
      <c r="T186" s="31" t="n">
        <f aca="false">IF($E186="","",IF(OR($K186="",$R186=""),0,IF($K186&lt;=$R186,1,0)))</f>
        <v>0</v>
      </c>
      <c r="U186" s="38" t="str">
        <f aca="false">IF(OR($K186="",$J186=""),"",MAX(0,$K186-$J186))</f>
        <v/>
      </c>
      <c r="V186" s="31" t="n">
        <f aca="false">IF($E186="","",IF(AND($M186&lt;&gt;"",$J186&lt;&gt;"",$M186&lt;&gt;$J186),1,0))</f>
        <v>0</v>
      </c>
      <c r="W186" s="39" t="n">
        <f aca="false">IF($E186="","",IF($L186="Cancelada",0,IF(OR($K186&lt;&gt;"",$L186="Concluída"),1,0)))</f>
        <v>0</v>
      </c>
    </row>
    <row r="187" customFormat="false" ht="15" hidden="false" customHeight="true" outlineLevel="0" collapsed="false">
      <c r="A187" s="31" t="n">
        <f aca="false">IF($E187="","",COUNTA($E$5:$E187))</f>
        <v>183</v>
      </c>
      <c r="B187" s="32" t="s">
        <v>365</v>
      </c>
      <c r="C187" s="32" t="s">
        <v>145</v>
      </c>
      <c r="D187" s="32" t="s">
        <v>366</v>
      </c>
      <c r="E187" s="32" t="s">
        <v>383</v>
      </c>
      <c r="F187" s="33" t="s">
        <v>62</v>
      </c>
      <c r="G187" s="32" t="s">
        <v>99</v>
      </c>
      <c r="H187" s="34" t="n">
        <v>46258</v>
      </c>
      <c r="I187" s="35" t="s">
        <v>82</v>
      </c>
      <c r="J187" s="36" t="n">
        <f aca="false">IF(OR($H187="",$I187=""),"",$H187+MATCH($I187,Listas!$F$5:$F$11,0)-1)</f>
        <v>46261</v>
      </c>
      <c r="K187" s="37"/>
      <c r="L187" s="33" t="s">
        <v>69</v>
      </c>
      <c r="M187" s="37"/>
      <c r="N187" s="32"/>
      <c r="O187" s="32"/>
      <c r="P187" s="38" t="str">
        <f aca="true">IF($E187="","",IF($L187="Cancelada","Cancelada",IF(OR($K187&lt;&gt;"",$L187="Concluída"),IF(OR($J187="",$K187="",$K187&lt;=$J187),"Concluída","Concluída com atraso"),IF($J187="","Na carteira",IF($J187&lt;TODAY(),"VENCIDA",IF($L187="Em execução","Em execução",IF($J187=TODAY(),"Hoje","Programada")))))))</f>
        <v>Em execução</v>
      </c>
      <c r="Q187" s="31" t="str">
        <f aca="false">IF($E187="","",IF(ISNUMBER(SEARCH("(externo)",$G187)),"Terceirizada","Interna"))</f>
        <v>Terceirizada</v>
      </c>
      <c r="R187" s="36" t="n">
        <f aca="false">IF($J187="","",IF($M187="",$J187,$M187))</f>
        <v>46261</v>
      </c>
      <c r="S187" s="31" t="n">
        <f aca="false">IF($E187="","",IF(OR($K187="",$J187=""),0,IF($K187&lt;=$J187,1,0)))</f>
        <v>0</v>
      </c>
      <c r="T187" s="31" t="n">
        <f aca="false">IF($E187="","",IF(OR($K187="",$R187=""),0,IF($K187&lt;=$R187,1,0)))</f>
        <v>0</v>
      </c>
      <c r="U187" s="38" t="str">
        <f aca="false">IF(OR($K187="",$J187=""),"",MAX(0,$K187-$J187))</f>
        <v/>
      </c>
      <c r="V187" s="31" t="n">
        <f aca="false">IF($E187="","",IF(AND($M187&lt;&gt;"",$J187&lt;&gt;"",$M187&lt;&gt;$J187),1,0))</f>
        <v>0</v>
      </c>
      <c r="W187" s="39" t="n">
        <f aca="false">IF($E187="","",IF($L187="Cancelada",0,IF(OR($K187&lt;&gt;"",$L187="Concluída"),1,0)))</f>
        <v>0</v>
      </c>
    </row>
    <row r="188" customFormat="false" ht="15" hidden="false" customHeight="true" outlineLevel="0" collapsed="false">
      <c r="A188" s="31" t="n">
        <f aca="false">IF($E188="","",COUNTA($E$5:$E188))</f>
        <v>184</v>
      </c>
      <c r="B188" s="32" t="s">
        <v>365</v>
      </c>
      <c r="C188" s="32" t="s">
        <v>145</v>
      </c>
      <c r="D188" s="32" t="s">
        <v>366</v>
      </c>
      <c r="E188" s="32" t="s">
        <v>384</v>
      </c>
      <c r="F188" s="33" t="s">
        <v>62</v>
      </c>
      <c r="G188" s="32" t="s">
        <v>99</v>
      </c>
      <c r="H188" s="34" t="n">
        <v>46258</v>
      </c>
      <c r="I188" s="35" t="s">
        <v>82</v>
      </c>
      <c r="J188" s="36" t="n">
        <f aca="false">IF(OR($H188="",$I188=""),"",$H188+MATCH($I188,Listas!$F$5:$F$11,0)-1)</f>
        <v>46261</v>
      </c>
      <c r="K188" s="37"/>
      <c r="L188" s="33" t="s">
        <v>69</v>
      </c>
      <c r="M188" s="37"/>
      <c r="N188" s="32"/>
      <c r="O188" s="32"/>
      <c r="P188" s="38" t="str">
        <f aca="true">IF($E188="","",IF($L188="Cancelada","Cancelada",IF(OR($K188&lt;&gt;"",$L188="Concluída"),IF(OR($J188="",$K188="",$K188&lt;=$J188),"Concluída","Concluída com atraso"),IF($J188="","Na carteira",IF($J188&lt;TODAY(),"VENCIDA",IF($L188="Em execução","Em execução",IF($J188=TODAY(),"Hoje","Programada")))))))</f>
        <v>Em execução</v>
      </c>
      <c r="Q188" s="31" t="str">
        <f aca="false">IF($E188="","",IF(ISNUMBER(SEARCH("(externo)",$G188)),"Terceirizada","Interna"))</f>
        <v>Terceirizada</v>
      </c>
      <c r="R188" s="36" t="n">
        <f aca="false">IF($J188="","",IF($M188="",$J188,$M188))</f>
        <v>46261</v>
      </c>
      <c r="S188" s="31" t="n">
        <f aca="false">IF($E188="","",IF(OR($K188="",$J188=""),0,IF($K188&lt;=$J188,1,0)))</f>
        <v>0</v>
      </c>
      <c r="T188" s="31" t="n">
        <f aca="false">IF($E188="","",IF(OR($K188="",$R188=""),0,IF($K188&lt;=$R188,1,0)))</f>
        <v>0</v>
      </c>
      <c r="U188" s="38" t="str">
        <f aca="false">IF(OR($K188="",$J188=""),"",MAX(0,$K188-$J188))</f>
        <v/>
      </c>
      <c r="V188" s="31" t="n">
        <f aca="false">IF($E188="","",IF(AND($M188&lt;&gt;"",$J188&lt;&gt;"",$M188&lt;&gt;$J188),1,0))</f>
        <v>0</v>
      </c>
      <c r="W188" s="39" t="n">
        <f aca="false">IF($E188="","",IF($L188="Cancelada",0,IF(OR($K188&lt;&gt;"",$L188="Concluída"),1,0)))</f>
        <v>0</v>
      </c>
    </row>
    <row r="189" customFormat="false" ht="15" hidden="false" customHeight="true" outlineLevel="0" collapsed="false">
      <c r="A189" s="31" t="n">
        <f aca="false">IF($E189="","",COUNTA($E$5:$E189))</f>
        <v>185</v>
      </c>
      <c r="B189" s="32" t="s">
        <v>365</v>
      </c>
      <c r="C189" s="32" t="s">
        <v>145</v>
      </c>
      <c r="D189" s="32" t="s">
        <v>366</v>
      </c>
      <c r="E189" s="32" t="s">
        <v>385</v>
      </c>
      <c r="F189" s="33" t="s">
        <v>62</v>
      </c>
      <c r="G189" s="32" t="s">
        <v>99</v>
      </c>
      <c r="H189" s="34" t="n">
        <v>46258</v>
      </c>
      <c r="I189" s="35" t="s">
        <v>82</v>
      </c>
      <c r="J189" s="36" t="n">
        <f aca="false">IF(OR($H189="",$I189=""),"",$H189+MATCH($I189,Listas!$F$5:$F$11,0)-1)</f>
        <v>46261</v>
      </c>
      <c r="K189" s="37"/>
      <c r="L189" s="33" t="s">
        <v>69</v>
      </c>
      <c r="M189" s="37"/>
      <c r="N189" s="32"/>
      <c r="O189" s="32"/>
      <c r="P189" s="38" t="str">
        <f aca="true">IF($E189="","",IF($L189="Cancelada","Cancelada",IF(OR($K189&lt;&gt;"",$L189="Concluída"),IF(OR($J189="",$K189="",$K189&lt;=$J189),"Concluída","Concluída com atraso"),IF($J189="","Na carteira",IF($J189&lt;TODAY(),"VENCIDA",IF($L189="Em execução","Em execução",IF($J189=TODAY(),"Hoje","Programada")))))))</f>
        <v>Em execução</v>
      </c>
      <c r="Q189" s="31" t="str">
        <f aca="false">IF($E189="","",IF(ISNUMBER(SEARCH("(externo)",$G189)),"Terceirizada","Interna"))</f>
        <v>Terceirizada</v>
      </c>
      <c r="R189" s="36" t="n">
        <f aca="false">IF($J189="","",IF($M189="",$J189,$M189))</f>
        <v>46261</v>
      </c>
      <c r="S189" s="31" t="n">
        <f aca="false">IF($E189="","",IF(OR($K189="",$J189=""),0,IF($K189&lt;=$J189,1,0)))</f>
        <v>0</v>
      </c>
      <c r="T189" s="31" t="n">
        <f aca="false">IF($E189="","",IF(OR($K189="",$R189=""),0,IF($K189&lt;=$R189,1,0)))</f>
        <v>0</v>
      </c>
      <c r="U189" s="38" t="str">
        <f aca="false">IF(OR($K189="",$J189=""),"",MAX(0,$K189-$J189))</f>
        <v/>
      </c>
      <c r="V189" s="31" t="n">
        <f aca="false">IF($E189="","",IF(AND($M189&lt;&gt;"",$J189&lt;&gt;"",$M189&lt;&gt;$J189),1,0))</f>
        <v>0</v>
      </c>
      <c r="W189" s="39" t="n">
        <f aca="false">IF($E189="","",IF($L189="Cancelada",0,IF(OR($K189&lt;&gt;"",$L189="Concluída"),1,0)))</f>
        <v>0</v>
      </c>
    </row>
    <row r="190" customFormat="false" ht="15" hidden="false" customHeight="true" outlineLevel="0" collapsed="false">
      <c r="A190" s="31" t="n">
        <f aca="false">IF($E190="","",COUNTA($E$5:$E190))</f>
        <v>186</v>
      </c>
      <c r="B190" s="32" t="s">
        <v>365</v>
      </c>
      <c r="C190" s="32" t="s">
        <v>145</v>
      </c>
      <c r="D190" s="32" t="s">
        <v>366</v>
      </c>
      <c r="E190" s="32" t="s">
        <v>386</v>
      </c>
      <c r="F190" s="33" t="s">
        <v>62</v>
      </c>
      <c r="G190" s="32" t="s">
        <v>99</v>
      </c>
      <c r="H190" s="34" t="n">
        <v>46258</v>
      </c>
      <c r="I190" s="35" t="s">
        <v>82</v>
      </c>
      <c r="J190" s="36" t="n">
        <f aca="false">IF(OR($H190="",$I190=""),"",$H190+MATCH($I190,Listas!$F$5:$F$11,0)-1)</f>
        <v>46261</v>
      </c>
      <c r="K190" s="37"/>
      <c r="L190" s="33" t="s">
        <v>69</v>
      </c>
      <c r="M190" s="37"/>
      <c r="N190" s="32"/>
      <c r="O190" s="32"/>
      <c r="P190" s="38" t="str">
        <f aca="true">IF($E190="","",IF($L190="Cancelada","Cancelada",IF(OR($K190&lt;&gt;"",$L190="Concluída"),IF(OR($J190="",$K190="",$K190&lt;=$J190),"Concluída","Concluída com atraso"),IF($J190="","Na carteira",IF($J190&lt;TODAY(),"VENCIDA",IF($L190="Em execução","Em execução",IF($J190=TODAY(),"Hoje","Programada")))))))</f>
        <v>Em execução</v>
      </c>
      <c r="Q190" s="31" t="str">
        <f aca="false">IF($E190="","",IF(ISNUMBER(SEARCH("(externo)",$G190)),"Terceirizada","Interna"))</f>
        <v>Terceirizada</v>
      </c>
      <c r="R190" s="36" t="n">
        <f aca="false">IF($J190="","",IF($M190="",$J190,$M190))</f>
        <v>46261</v>
      </c>
      <c r="S190" s="31" t="n">
        <f aca="false">IF($E190="","",IF(OR($K190="",$J190=""),0,IF($K190&lt;=$J190,1,0)))</f>
        <v>0</v>
      </c>
      <c r="T190" s="31" t="n">
        <f aca="false">IF($E190="","",IF(OR($K190="",$R190=""),0,IF($K190&lt;=$R190,1,0)))</f>
        <v>0</v>
      </c>
      <c r="U190" s="38" t="str">
        <f aca="false">IF(OR($K190="",$J190=""),"",MAX(0,$K190-$J190))</f>
        <v/>
      </c>
      <c r="V190" s="31" t="n">
        <f aca="false">IF($E190="","",IF(AND($M190&lt;&gt;"",$J190&lt;&gt;"",$M190&lt;&gt;$J190),1,0))</f>
        <v>0</v>
      </c>
      <c r="W190" s="39" t="n">
        <f aca="false">IF($E190="","",IF($L190="Cancelada",0,IF(OR($K190&lt;&gt;"",$L190="Concluída"),1,0)))</f>
        <v>0</v>
      </c>
    </row>
    <row r="191" customFormat="false" ht="15" hidden="false" customHeight="true" outlineLevel="0" collapsed="false">
      <c r="A191" s="31" t="n">
        <f aca="false">IF($E191="","",COUNTA($E$5:$E191))</f>
        <v>187</v>
      </c>
      <c r="B191" s="32" t="s">
        <v>365</v>
      </c>
      <c r="C191" s="32" t="s">
        <v>145</v>
      </c>
      <c r="D191" s="32" t="s">
        <v>366</v>
      </c>
      <c r="E191" s="32" t="s">
        <v>387</v>
      </c>
      <c r="F191" s="33" t="s">
        <v>62</v>
      </c>
      <c r="G191" s="32" t="s">
        <v>99</v>
      </c>
      <c r="H191" s="34" t="n">
        <v>46258</v>
      </c>
      <c r="I191" s="35" t="s">
        <v>82</v>
      </c>
      <c r="J191" s="36" t="n">
        <f aca="false">IF(OR($H191="",$I191=""),"",$H191+MATCH($I191,Listas!$F$5:$F$11,0)-1)</f>
        <v>46261</v>
      </c>
      <c r="K191" s="37"/>
      <c r="L191" s="33" t="s">
        <v>69</v>
      </c>
      <c r="M191" s="37"/>
      <c r="N191" s="32"/>
      <c r="O191" s="32"/>
      <c r="P191" s="38" t="str">
        <f aca="true">IF($E191="","",IF($L191="Cancelada","Cancelada",IF(OR($K191&lt;&gt;"",$L191="Concluída"),IF(OR($J191="",$K191="",$K191&lt;=$J191),"Concluída","Concluída com atraso"),IF($J191="","Na carteira",IF($J191&lt;TODAY(),"VENCIDA",IF($L191="Em execução","Em execução",IF($J191=TODAY(),"Hoje","Programada")))))))</f>
        <v>Em execução</v>
      </c>
      <c r="Q191" s="31" t="str">
        <f aca="false">IF($E191="","",IF(ISNUMBER(SEARCH("(externo)",$G191)),"Terceirizada","Interna"))</f>
        <v>Terceirizada</v>
      </c>
      <c r="R191" s="36" t="n">
        <f aca="false">IF($J191="","",IF($M191="",$J191,$M191))</f>
        <v>46261</v>
      </c>
      <c r="S191" s="31" t="n">
        <f aca="false">IF($E191="","",IF(OR($K191="",$J191=""),0,IF($K191&lt;=$J191,1,0)))</f>
        <v>0</v>
      </c>
      <c r="T191" s="31" t="n">
        <f aca="false">IF($E191="","",IF(OR($K191="",$R191=""),0,IF($K191&lt;=$R191,1,0)))</f>
        <v>0</v>
      </c>
      <c r="U191" s="38" t="str">
        <f aca="false">IF(OR($K191="",$J191=""),"",MAX(0,$K191-$J191))</f>
        <v/>
      </c>
      <c r="V191" s="31" t="n">
        <f aca="false">IF($E191="","",IF(AND($M191&lt;&gt;"",$J191&lt;&gt;"",$M191&lt;&gt;$J191),1,0))</f>
        <v>0</v>
      </c>
      <c r="W191" s="39" t="n">
        <f aca="false">IF($E191="","",IF($L191="Cancelada",0,IF(OR($K191&lt;&gt;"",$L191="Concluída"),1,0)))</f>
        <v>0</v>
      </c>
    </row>
    <row r="192" customFormat="false" ht="15" hidden="false" customHeight="true" outlineLevel="0" collapsed="false">
      <c r="A192" s="31" t="n">
        <f aca="false">IF($E192="","",COUNTA($E$5:$E192))</f>
        <v>188</v>
      </c>
      <c r="B192" s="32" t="s">
        <v>365</v>
      </c>
      <c r="C192" s="32" t="s">
        <v>145</v>
      </c>
      <c r="D192" s="32" t="s">
        <v>366</v>
      </c>
      <c r="E192" s="32" t="s">
        <v>388</v>
      </c>
      <c r="F192" s="33" t="s">
        <v>62</v>
      </c>
      <c r="G192" s="32" t="s">
        <v>99</v>
      </c>
      <c r="H192" s="34" t="n">
        <v>46258</v>
      </c>
      <c r="I192" s="35" t="s">
        <v>82</v>
      </c>
      <c r="J192" s="36" t="n">
        <f aca="false">IF(OR($H192="",$I192=""),"",$H192+MATCH($I192,Listas!$F$5:$F$11,0)-1)</f>
        <v>46261</v>
      </c>
      <c r="K192" s="37"/>
      <c r="L192" s="33" t="s">
        <v>69</v>
      </c>
      <c r="M192" s="37"/>
      <c r="N192" s="32"/>
      <c r="O192" s="32"/>
      <c r="P192" s="38" t="str">
        <f aca="true">IF($E192="","",IF($L192="Cancelada","Cancelada",IF(OR($K192&lt;&gt;"",$L192="Concluída"),IF(OR($J192="",$K192="",$K192&lt;=$J192),"Concluída","Concluída com atraso"),IF($J192="","Na carteira",IF($J192&lt;TODAY(),"VENCIDA",IF($L192="Em execução","Em execução",IF($J192=TODAY(),"Hoje","Programada")))))))</f>
        <v>Em execução</v>
      </c>
      <c r="Q192" s="31" t="str">
        <f aca="false">IF($E192="","",IF(ISNUMBER(SEARCH("(externo)",$G192)),"Terceirizada","Interna"))</f>
        <v>Terceirizada</v>
      </c>
      <c r="R192" s="36" t="n">
        <f aca="false">IF($J192="","",IF($M192="",$J192,$M192))</f>
        <v>46261</v>
      </c>
      <c r="S192" s="31" t="n">
        <f aca="false">IF($E192="","",IF(OR($K192="",$J192=""),0,IF($K192&lt;=$J192,1,0)))</f>
        <v>0</v>
      </c>
      <c r="T192" s="31" t="n">
        <f aca="false">IF($E192="","",IF(OR($K192="",$R192=""),0,IF($K192&lt;=$R192,1,0)))</f>
        <v>0</v>
      </c>
      <c r="U192" s="38" t="str">
        <f aca="false">IF(OR($K192="",$J192=""),"",MAX(0,$K192-$J192))</f>
        <v/>
      </c>
      <c r="V192" s="31" t="n">
        <f aca="false">IF($E192="","",IF(AND($M192&lt;&gt;"",$J192&lt;&gt;"",$M192&lt;&gt;$J192),1,0))</f>
        <v>0</v>
      </c>
      <c r="W192" s="39" t="n">
        <f aca="false">IF($E192="","",IF($L192="Cancelada",0,IF(OR($K192&lt;&gt;"",$L192="Concluída"),1,0)))</f>
        <v>0</v>
      </c>
    </row>
    <row r="193" customFormat="false" ht="15" hidden="false" customHeight="true" outlineLevel="0" collapsed="false">
      <c r="A193" s="31" t="n">
        <f aca="false">IF($E193="","",COUNTA($E$5:$E193))</f>
        <v>189</v>
      </c>
      <c r="B193" s="32" t="s">
        <v>365</v>
      </c>
      <c r="C193" s="32" t="s">
        <v>145</v>
      </c>
      <c r="D193" s="32" t="s">
        <v>366</v>
      </c>
      <c r="E193" s="32" t="s">
        <v>389</v>
      </c>
      <c r="F193" s="33" t="s">
        <v>62</v>
      </c>
      <c r="G193" s="32" t="s">
        <v>99</v>
      </c>
      <c r="H193" s="34" t="n">
        <v>46258</v>
      </c>
      <c r="I193" s="35" t="s">
        <v>82</v>
      </c>
      <c r="J193" s="36" t="n">
        <f aca="false">IF(OR($H193="",$I193=""),"",$H193+MATCH($I193,Listas!$F$5:$F$11,0)-1)</f>
        <v>46261</v>
      </c>
      <c r="K193" s="37"/>
      <c r="L193" s="33" t="s">
        <v>69</v>
      </c>
      <c r="M193" s="37"/>
      <c r="N193" s="32"/>
      <c r="O193" s="32"/>
      <c r="P193" s="38" t="str">
        <f aca="true">IF($E193="","",IF($L193="Cancelada","Cancelada",IF(OR($K193&lt;&gt;"",$L193="Concluída"),IF(OR($J193="",$K193="",$K193&lt;=$J193),"Concluída","Concluída com atraso"),IF($J193="","Na carteira",IF($J193&lt;TODAY(),"VENCIDA",IF($L193="Em execução","Em execução",IF($J193=TODAY(),"Hoje","Programada")))))))</f>
        <v>Em execução</v>
      </c>
      <c r="Q193" s="31" t="str">
        <f aca="false">IF($E193="","",IF(ISNUMBER(SEARCH("(externo)",$G193)),"Terceirizada","Interna"))</f>
        <v>Terceirizada</v>
      </c>
      <c r="R193" s="36" t="n">
        <f aca="false">IF($J193="","",IF($M193="",$J193,$M193))</f>
        <v>46261</v>
      </c>
      <c r="S193" s="31" t="n">
        <f aca="false">IF($E193="","",IF(OR($K193="",$J193=""),0,IF($K193&lt;=$J193,1,0)))</f>
        <v>0</v>
      </c>
      <c r="T193" s="31" t="n">
        <f aca="false">IF($E193="","",IF(OR($K193="",$R193=""),0,IF($K193&lt;=$R193,1,0)))</f>
        <v>0</v>
      </c>
      <c r="U193" s="38" t="str">
        <f aca="false">IF(OR($K193="",$J193=""),"",MAX(0,$K193-$J193))</f>
        <v/>
      </c>
      <c r="V193" s="31" t="n">
        <f aca="false">IF($E193="","",IF(AND($M193&lt;&gt;"",$J193&lt;&gt;"",$M193&lt;&gt;$J193),1,0))</f>
        <v>0</v>
      </c>
      <c r="W193" s="39" t="n">
        <f aca="false">IF($E193="","",IF($L193="Cancelada",0,IF(OR($K193&lt;&gt;"",$L193="Concluída"),1,0)))</f>
        <v>0</v>
      </c>
    </row>
    <row r="194" customFormat="false" ht="15" hidden="false" customHeight="true" outlineLevel="0" collapsed="false">
      <c r="A194" s="31" t="n">
        <f aca="false">IF($E194="","",COUNTA($E$5:$E194))</f>
        <v>190</v>
      </c>
      <c r="B194" s="32" t="s">
        <v>365</v>
      </c>
      <c r="C194" s="32" t="s">
        <v>145</v>
      </c>
      <c r="D194" s="32" t="s">
        <v>366</v>
      </c>
      <c r="E194" s="32" t="s">
        <v>390</v>
      </c>
      <c r="F194" s="33" t="s">
        <v>62</v>
      </c>
      <c r="G194" s="32" t="s">
        <v>99</v>
      </c>
      <c r="H194" s="34" t="n">
        <v>46258</v>
      </c>
      <c r="I194" s="35" t="s">
        <v>87</v>
      </c>
      <c r="J194" s="36" t="n">
        <f aca="false">IF(OR($H194="",$I194=""),"",$H194+MATCH($I194,Listas!$F$5:$F$11,0)-1)</f>
        <v>46262</v>
      </c>
      <c r="K194" s="37"/>
      <c r="L194" s="33" t="s">
        <v>69</v>
      </c>
      <c r="M194" s="37"/>
      <c r="N194" s="32"/>
      <c r="O194" s="32"/>
      <c r="P194" s="38" t="str">
        <f aca="true">IF($E194="","",IF($L194="Cancelada","Cancelada",IF(OR($K194&lt;&gt;"",$L194="Concluída"),IF(OR($J194="",$K194="",$K194&lt;=$J194),"Concluída","Concluída com atraso"),IF($J194="","Na carteira",IF($J194&lt;TODAY(),"VENCIDA",IF($L194="Em execução","Em execução",IF($J194=TODAY(),"Hoje","Programada")))))))</f>
        <v>Em execução</v>
      </c>
      <c r="Q194" s="31" t="str">
        <f aca="false">IF($E194="","",IF(ISNUMBER(SEARCH("(externo)",$G194)),"Terceirizada","Interna"))</f>
        <v>Terceirizada</v>
      </c>
      <c r="R194" s="36" t="n">
        <f aca="false">IF($J194="","",IF($M194="",$J194,$M194))</f>
        <v>46262</v>
      </c>
      <c r="S194" s="31" t="n">
        <f aca="false">IF($E194="","",IF(OR($K194="",$J194=""),0,IF($K194&lt;=$J194,1,0)))</f>
        <v>0</v>
      </c>
      <c r="T194" s="31" t="n">
        <f aca="false">IF($E194="","",IF(OR($K194="",$R194=""),0,IF($K194&lt;=$R194,1,0)))</f>
        <v>0</v>
      </c>
      <c r="U194" s="38" t="str">
        <f aca="false">IF(OR($K194="",$J194=""),"",MAX(0,$K194-$J194))</f>
        <v/>
      </c>
      <c r="V194" s="31" t="n">
        <f aca="false">IF($E194="","",IF(AND($M194&lt;&gt;"",$J194&lt;&gt;"",$M194&lt;&gt;$J194),1,0))</f>
        <v>0</v>
      </c>
      <c r="W194" s="39" t="n">
        <f aca="false">IF($E194="","",IF($L194="Cancelada",0,IF(OR($K194&lt;&gt;"",$L194="Concluída"),1,0)))</f>
        <v>0</v>
      </c>
    </row>
    <row r="195" customFormat="false" ht="15" hidden="false" customHeight="true" outlineLevel="0" collapsed="false">
      <c r="A195" s="31" t="n">
        <f aca="false">IF($E195="","",COUNTA($E$5:$E195))</f>
        <v>191</v>
      </c>
      <c r="B195" s="32" t="s">
        <v>365</v>
      </c>
      <c r="C195" s="32" t="s">
        <v>145</v>
      </c>
      <c r="D195" s="32" t="s">
        <v>366</v>
      </c>
      <c r="E195" s="32" t="s">
        <v>391</v>
      </c>
      <c r="F195" s="33" t="s">
        <v>62</v>
      </c>
      <c r="G195" s="32" t="s">
        <v>99</v>
      </c>
      <c r="H195" s="34" t="n">
        <v>46258</v>
      </c>
      <c r="I195" s="35" t="s">
        <v>87</v>
      </c>
      <c r="J195" s="36" t="n">
        <f aca="false">IF(OR($H195="",$I195=""),"",$H195+MATCH($I195,Listas!$F$5:$F$11,0)-1)</f>
        <v>46262</v>
      </c>
      <c r="K195" s="37"/>
      <c r="L195" s="33" t="s">
        <v>69</v>
      </c>
      <c r="M195" s="37"/>
      <c r="N195" s="32"/>
      <c r="O195" s="32"/>
      <c r="P195" s="38" t="str">
        <f aca="true">IF($E195="","",IF($L195="Cancelada","Cancelada",IF(OR($K195&lt;&gt;"",$L195="Concluída"),IF(OR($J195="",$K195="",$K195&lt;=$J195),"Concluída","Concluída com atraso"),IF($J195="","Na carteira",IF($J195&lt;TODAY(),"VENCIDA",IF($L195="Em execução","Em execução",IF($J195=TODAY(),"Hoje","Programada")))))))</f>
        <v>Em execução</v>
      </c>
      <c r="Q195" s="31" t="str">
        <f aca="false">IF($E195="","",IF(ISNUMBER(SEARCH("(externo)",$G195)),"Terceirizada","Interna"))</f>
        <v>Terceirizada</v>
      </c>
      <c r="R195" s="36" t="n">
        <f aca="false">IF($J195="","",IF($M195="",$J195,$M195))</f>
        <v>46262</v>
      </c>
      <c r="S195" s="31" t="n">
        <f aca="false">IF($E195="","",IF(OR($K195="",$J195=""),0,IF($K195&lt;=$J195,1,0)))</f>
        <v>0</v>
      </c>
      <c r="T195" s="31" t="n">
        <f aca="false">IF($E195="","",IF(OR($K195="",$R195=""),0,IF($K195&lt;=$R195,1,0)))</f>
        <v>0</v>
      </c>
      <c r="U195" s="38" t="str">
        <f aca="false">IF(OR($K195="",$J195=""),"",MAX(0,$K195-$J195))</f>
        <v/>
      </c>
      <c r="V195" s="31" t="n">
        <f aca="false">IF($E195="","",IF(AND($M195&lt;&gt;"",$J195&lt;&gt;"",$M195&lt;&gt;$J195),1,0))</f>
        <v>0</v>
      </c>
      <c r="W195" s="39" t="n">
        <f aca="false">IF($E195="","",IF($L195="Cancelada",0,IF(OR($K195&lt;&gt;"",$L195="Concluída"),1,0)))</f>
        <v>0</v>
      </c>
    </row>
    <row r="196" customFormat="false" ht="15" hidden="false" customHeight="true" outlineLevel="0" collapsed="false">
      <c r="A196" s="31" t="n">
        <f aca="false">IF($E196="","",COUNTA($E$5:$E196))</f>
        <v>192</v>
      </c>
      <c r="B196" s="32" t="s">
        <v>365</v>
      </c>
      <c r="C196" s="32" t="s">
        <v>145</v>
      </c>
      <c r="D196" s="32" t="s">
        <v>366</v>
      </c>
      <c r="E196" s="32" t="s">
        <v>392</v>
      </c>
      <c r="F196" s="33" t="s">
        <v>62</v>
      </c>
      <c r="G196" s="32" t="s">
        <v>99</v>
      </c>
      <c r="H196" s="34" t="n">
        <v>46258</v>
      </c>
      <c r="I196" s="35" t="s">
        <v>87</v>
      </c>
      <c r="J196" s="36" t="n">
        <f aca="false">IF(OR($H196="",$I196=""),"",$H196+MATCH($I196,Listas!$F$5:$F$11,0)-1)</f>
        <v>46262</v>
      </c>
      <c r="K196" s="37"/>
      <c r="L196" s="33" t="s">
        <v>69</v>
      </c>
      <c r="M196" s="37"/>
      <c r="N196" s="32"/>
      <c r="O196" s="32"/>
      <c r="P196" s="38" t="str">
        <f aca="true">IF($E196="","",IF($L196="Cancelada","Cancelada",IF(OR($K196&lt;&gt;"",$L196="Concluída"),IF(OR($J196="",$K196="",$K196&lt;=$J196),"Concluída","Concluída com atraso"),IF($J196="","Na carteira",IF($J196&lt;TODAY(),"VENCIDA",IF($L196="Em execução","Em execução",IF($J196=TODAY(),"Hoje","Programada")))))))</f>
        <v>Em execução</v>
      </c>
      <c r="Q196" s="31" t="str">
        <f aca="false">IF($E196="","",IF(ISNUMBER(SEARCH("(externo)",$G196)),"Terceirizada","Interna"))</f>
        <v>Terceirizada</v>
      </c>
      <c r="R196" s="36" t="n">
        <f aca="false">IF($J196="","",IF($M196="",$J196,$M196))</f>
        <v>46262</v>
      </c>
      <c r="S196" s="31" t="n">
        <f aca="false">IF($E196="","",IF(OR($K196="",$J196=""),0,IF($K196&lt;=$J196,1,0)))</f>
        <v>0</v>
      </c>
      <c r="T196" s="31" t="n">
        <f aca="false">IF($E196="","",IF(OR($K196="",$R196=""),0,IF($K196&lt;=$R196,1,0)))</f>
        <v>0</v>
      </c>
      <c r="U196" s="38" t="str">
        <f aca="false">IF(OR($K196="",$J196=""),"",MAX(0,$K196-$J196))</f>
        <v/>
      </c>
      <c r="V196" s="31" t="n">
        <f aca="false">IF($E196="","",IF(AND($M196&lt;&gt;"",$J196&lt;&gt;"",$M196&lt;&gt;$J196),1,0))</f>
        <v>0</v>
      </c>
      <c r="W196" s="39" t="n">
        <f aca="false">IF($E196="","",IF($L196="Cancelada",0,IF(OR($K196&lt;&gt;"",$L196="Concluída"),1,0)))</f>
        <v>0</v>
      </c>
    </row>
    <row r="197" customFormat="false" ht="15" hidden="false" customHeight="true" outlineLevel="0" collapsed="false">
      <c r="A197" s="31" t="n">
        <f aca="false">IF($E197="","",COUNTA($E$5:$E197))</f>
        <v>193</v>
      </c>
      <c r="B197" s="32" t="s">
        <v>365</v>
      </c>
      <c r="C197" s="32" t="s">
        <v>145</v>
      </c>
      <c r="D197" s="32" t="s">
        <v>366</v>
      </c>
      <c r="E197" s="32" t="s">
        <v>393</v>
      </c>
      <c r="F197" s="33" t="s">
        <v>62</v>
      </c>
      <c r="G197" s="32" t="s">
        <v>99</v>
      </c>
      <c r="H197" s="34" t="n">
        <v>46258</v>
      </c>
      <c r="I197" s="35" t="s">
        <v>87</v>
      </c>
      <c r="J197" s="36" t="n">
        <f aca="false">IF(OR($H197="",$I197=""),"",$H197+MATCH($I197,Listas!$F$5:$F$11,0)-1)</f>
        <v>46262</v>
      </c>
      <c r="K197" s="37"/>
      <c r="L197" s="33" t="s">
        <v>69</v>
      </c>
      <c r="M197" s="37"/>
      <c r="N197" s="32"/>
      <c r="O197" s="32"/>
      <c r="P197" s="38" t="str">
        <f aca="true">IF($E197="","",IF($L197="Cancelada","Cancelada",IF(OR($K197&lt;&gt;"",$L197="Concluída"),IF(OR($J197="",$K197="",$K197&lt;=$J197),"Concluída","Concluída com atraso"),IF($J197="","Na carteira",IF($J197&lt;TODAY(),"VENCIDA",IF($L197="Em execução","Em execução",IF($J197=TODAY(),"Hoje","Programada")))))))</f>
        <v>Em execução</v>
      </c>
      <c r="Q197" s="31" t="str">
        <f aca="false">IF($E197="","",IF(ISNUMBER(SEARCH("(externo)",$G197)),"Terceirizada","Interna"))</f>
        <v>Terceirizada</v>
      </c>
      <c r="R197" s="36" t="n">
        <f aca="false">IF($J197="","",IF($M197="",$J197,$M197))</f>
        <v>46262</v>
      </c>
      <c r="S197" s="31" t="n">
        <f aca="false">IF($E197="","",IF(OR($K197="",$J197=""),0,IF($K197&lt;=$J197,1,0)))</f>
        <v>0</v>
      </c>
      <c r="T197" s="31" t="n">
        <f aca="false">IF($E197="","",IF(OR($K197="",$R197=""),0,IF($K197&lt;=$R197,1,0)))</f>
        <v>0</v>
      </c>
      <c r="U197" s="38" t="str">
        <f aca="false">IF(OR($K197="",$J197=""),"",MAX(0,$K197-$J197))</f>
        <v/>
      </c>
      <c r="V197" s="31" t="n">
        <f aca="false">IF($E197="","",IF(AND($M197&lt;&gt;"",$J197&lt;&gt;"",$M197&lt;&gt;$J197),1,0))</f>
        <v>0</v>
      </c>
      <c r="W197" s="39" t="n">
        <f aca="false">IF($E197="","",IF($L197="Cancelada",0,IF(OR($K197&lt;&gt;"",$L197="Concluída"),1,0)))</f>
        <v>0</v>
      </c>
    </row>
    <row r="198" customFormat="false" ht="15" hidden="false" customHeight="true" outlineLevel="0" collapsed="false">
      <c r="A198" s="31" t="n">
        <f aca="false">IF($E198="","",COUNTA($E$5:$E198))</f>
        <v>194</v>
      </c>
      <c r="B198" s="32" t="s">
        <v>365</v>
      </c>
      <c r="C198" s="32" t="s">
        <v>145</v>
      </c>
      <c r="D198" s="32" t="s">
        <v>366</v>
      </c>
      <c r="E198" s="32" t="s">
        <v>394</v>
      </c>
      <c r="F198" s="33" t="s">
        <v>62</v>
      </c>
      <c r="G198" s="32" t="s">
        <v>99</v>
      </c>
      <c r="H198" s="34" t="n">
        <v>46258</v>
      </c>
      <c r="I198" s="35" t="s">
        <v>87</v>
      </c>
      <c r="J198" s="36" t="n">
        <f aca="false">IF(OR($H198="",$I198=""),"",$H198+MATCH($I198,Listas!$F$5:$F$11,0)-1)</f>
        <v>46262</v>
      </c>
      <c r="K198" s="37"/>
      <c r="L198" s="33" t="s">
        <v>69</v>
      </c>
      <c r="M198" s="37"/>
      <c r="N198" s="32"/>
      <c r="O198" s="32"/>
      <c r="P198" s="38" t="str">
        <f aca="true">IF($E198="","",IF($L198="Cancelada","Cancelada",IF(OR($K198&lt;&gt;"",$L198="Concluída"),IF(OR($J198="",$K198="",$K198&lt;=$J198),"Concluída","Concluída com atraso"),IF($J198="","Na carteira",IF($J198&lt;TODAY(),"VENCIDA",IF($L198="Em execução","Em execução",IF($J198=TODAY(),"Hoje","Programada")))))))</f>
        <v>Em execução</v>
      </c>
      <c r="Q198" s="31" t="str">
        <f aca="false">IF($E198="","",IF(ISNUMBER(SEARCH("(externo)",$G198)),"Terceirizada","Interna"))</f>
        <v>Terceirizada</v>
      </c>
      <c r="R198" s="36" t="n">
        <f aca="false">IF($J198="","",IF($M198="",$J198,$M198))</f>
        <v>46262</v>
      </c>
      <c r="S198" s="31" t="n">
        <f aca="false">IF($E198="","",IF(OR($K198="",$J198=""),0,IF($K198&lt;=$J198,1,0)))</f>
        <v>0</v>
      </c>
      <c r="T198" s="31" t="n">
        <f aca="false">IF($E198="","",IF(OR($K198="",$R198=""),0,IF($K198&lt;=$R198,1,0)))</f>
        <v>0</v>
      </c>
      <c r="U198" s="38" t="str">
        <f aca="false">IF(OR($K198="",$J198=""),"",MAX(0,$K198-$J198))</f>
        <v/>
      </c>
      <c r="V198" s="31" t="n">
        <f aca="false">IF($E198="","",IF(AND($M198&lt;&gt;"",$J198&lt;&gt;"",$M198&lt;&gt;$J198),1,0))</f>
        <v>0</v>
      </c>
      <c r="W198" s="39" t="n">
        <f aca="false">IF($E198="","",IF($L198="Cancelada",0,IF(OR($K198&lt;&gt;"",$L198="Concluída"),1,0)))</f>
        <v>0</v>
      </c>
    </row>
    <row r="199" customFormat="false" ht="15" hidden="false" customHeight="true" outlineLevel="0" collapsed="false">
      <c r="A199" s="31" t="n">
        <f aca="false">IF($E199="","",COUNTA($E$5:$E199))</f>
        <v>195</v>
      </c>
      <c r="B199" s="32" t="s">
        <v>365</v>
      </c>
      <c r="C199" s="32" t="s">
        <v>145</v>
      </c>
      <c r="D199" s="32" t="s">
        <v>366</v>
      </c>
      <c r="E199" s="32" t="s">
        <v>395</v>
      </c>
      <c r="F199" s="33" t="s">
        <v>62</v>
      </c>
      <c r="G199" s="32" t="s">
        <v>99</v>
      </c>
      <c r="H199" s="34" t="n">
        <v>46258</v>
      </c>
      <c r="I199" s="35" t="s">
        <v>87</v>
      </c>
      <c r="J199" s="36" t="n">
        <f aca="false">IF(OR($H199="",$I199=""),"",$H199+MATCH($I199,Listas!$F$5:$F$11,0)-1)</f>
        <v>46262</v>
      </c>
      <c r="K199" s="37"/>
      <c r="L199" s="33" t="s">
        <v>69</v>
      </c>
      <c r="M199" s="37"/>
      <c r="N199" s="32"/>
      <c r="O199" s="32"/>
      <c r="P199" s="38" t="str">
        <f aca="true">IF($E199="","",IF($L199="Cancelada","Cancelada",IF(OR($K199&lt;&gt;"",$L199="Concluída"),IF(OR($J199="",$K199="",$K199&lt;=$J199),"Concluída","Concluída com atraso"),IF($J199="","Na carteira",IF($J199&lt;TODAY(),"VENCIDA",IF($L199="Em execução","Em execução",IF($J199=TODAY(),"Hoje","Programada")))))))</f>
        <v>Em execução</v>
      </c>
      <c r="Q199" s="31" t="str">
        <f aca="false">IF($E199="","",IF(ISNUMBER(SEARCH("(externo)",$G199)),"Terceirizada","Interna"))</f>
        <v>Terceirizada</v>
      </c>
      <c r="R199" s="36" t="n">
        <f aca="false">IF($J199="","",IF($M199="",$J199,$M199))</f>
        <v>46262</v>
      </c>
      <c r="S199" s="31" t="n">
        <f aca="false">IF($E199="","",IF(OR($K199="",$J199=""),0,IF($K199&lt;=$J199,1,0)))</f>
        <v>0</v>
      </c>
      <c r="T199" s="31" t="n">
        <f aca="false">IF($E199="","",IF(OR($K199="",$R199=""),0,IF($K199&lt;=$R199,1,0)))</f>
        <v>0</v>
      </c>
      <c r="U199" s="38" t="str">
        <f aca="false">IF(OR($K199="",$J199=""),"",MAX(0,$K199-$J199))</f>
        <v/>
      </c>
      <c r="V199" s="31" t="n">
        <f aca="false">IF($E199="","",IF(AND($M199&lt;&gt;"",$J199&lt;&gt;"",$M199&lt;&gt;$J199),1,0))</f>
        <v>0</v>
      </c>
      <c r="W199" s="39" t="n">
        <f aca="false">IF($E199="","",IF($L199="Cancelada",0,IF(OR($K199&lt;&gt;"",$L199="Concluída"),1,0)))</f>
        <v>0</v>
      </c>
    </row>
    <row r="200" customFormat="false" ht="15" hidden="false" customHeight="true" outlineLevel="0" collapsed="false">
      <c r="A200" s="31" t="n">
        <f aca="false">IF($E200="","",COUNTA($E$5:$E200))</f>
        <v>196</v>
      </c>
      <c r="B200" s="32" t="s">
        <v>365</v>
      </c>
      <c r="C200" s="32" t="s">
        <v>145</v>
      </c>
      <c r="D200" s="32" t="s">
        <v>366</v>
      </c>
      <c r="E200" s="32" t="s">
        <v>396</v>
      </c>
      <c r="F200" s="33" t="s">
        <v>62</v>
      </c>
      <c r="G200" s="32" t="s">
        <v>99</v>
      </c>
      <c r="H200" s="34" t="n">
        <v>46258</v>
      </c>
      <c r="I200" s="35" t="s">
        <v>87</v>
      </c>
      <c r="J200" s="36" t="n">
        <f aca="false">IF(OR($H200="",$I200=""),"",$H200+MATCH($I200,Listas!$F$5:$F$11,0)-1)</f>
        <v>46262</v>
      </c>
      <c r="K200" s="37"/>
      <c r="L200" s="33" t="s">
        <v>69</v>
      </c>
      <c r="M200" s="37"/>
      <c r="N200" s="32"/>
      <c r="O200" s="32"/>
      <c r="P200" s="38" t="str">
        <f aca="true">IF($E200="","",IF($L200="Cancelada","Cancelada",IF(OR($K200&lt;&gt;"",$L200="Concluída"),IF(OR($J200="",$K200="",$K200&lt;=$J200),"Concluída","Concluída com atraso"),IF($J200="","Na carteira",IF($J200&lt;TODAY(),"VENCIDA",IF($L200="Em execução","Em execução",IF($J200=TODAY(),"Hoje","Programada")))))))</f>
        <v>Em execução</v>
      </c>
      <c r="Q200" s="31" t="str">
        <f aca="false">IF($E200="","",IF(ISNUMBER(SEARCH("(externo)",$G200)),"Terceirizada","Interna"))</f>
        <v>Terceirizada</v>
      </c>
      <c r="R200" s="36" t="n">
        <f aca="false">IF($J200="","",IF($M200="",$J200,$M200))</f>
        <v>46262</v>
      </c>
      <c r="S200" s="31" t="n">
        <f aca="false">IF($E200="","",IF(OR($K200="",$J200=""),0,IF($K200&lt;=$J200,1,0)))</f>
        <v>0</v>
      </c>
      <c r="T200" s="31" t="n">
        <f aca="false">IF($E200="","",IF(OR($K200="",$R200=""),0,IF($K200&lt;=$R200,1,0)))</f>
        <v>0</v>
      </c>
      <c r="U200" s="38" t="str">
        <f aca="false">IF(OR($K200="",$J200=""),"",MAX(0,$K200-$J200))</f>
        <v/>
      </c>
      <c r="V200" s="31" t="n">
        <f aca="false">IF($E200="","",IF(AND($M200&lt;&gt;"",$J200&lt;&gt;"",$M200&lt;&gt;$J200),1,0))</f>
        <v>0</v>
      </c>
      <c r="W200" s="39" t="n">
        <f aca="false">IF($E200="","",IF($L200="Cancelada",0,IF(OR($K200&lt;&gt;"",$L200="Concluída"),1,0)))</f>
        <v>0</v>
      </c>
    </row>
    <row r="201" customFormat="false" ht="15" hidden="false" customHeight="true" outlineLevel="0" collapsed="false">
      <c r="A201" s="31" t="n">
        <f aca="false">IF($E201="","",COUNTA($E$5:$E201))</f>
        <v>197</v>
      </c>
      <c r="B201" s="32" t="s">
        <v>365</v>
      </c>
      <c r="C201" s="32" t="s">
        <v>145</v>
      </c>
      <c r="D201" s="32" t="s">
        <v>366</v>
      </c>
      <c r="E201" s="32" t="s">
        <v>397</v>
      </c>
      <c r="F201" s="33" t="s">
        <v>62</v>
      </c>
      <c r="G201" s="32" t="s">
        <v>99</v>
      </c>
      <c r="H201" s="34" t="n">
        <v>46258</v>
      </c>
      <c r="I201" s="35" t="s">
        <v>87</v>
      </c>
      <c r="J201" s="36" t="n">
        <f aca="false">IF(OR($H201="",$I201=""),"",$H201+MATCH($I201,Listas!$F$5:$F$11,0)-1)</f>
        <v>46262</v>
      </c>
      <c r="K201" s="37"/>
      <c r="L201" s="33" t="s">
        <v>69</v>
      </c>
      <c r="M201" s="37"/>
      <c r="N201" s="32"/>
      <c r="O201" s="32"/>
      <c r="P201" s="38" t="str">
        <f aca="true">IF($E201="","",IF($L201="Cancelada","Cancelada",IF(OR($K201&lt;&gt;"",$L201="Concluída"),IF(OR($J201="",$K201="",$K201&lt;=$J201),"Concluída","Concluída com atraso"),IF($J201="","Na carteira",IF($J201&lt;TODAY(),"VENCIDA",IF($L201="Em execução","Em execução",IF($J201=TODAY(),"Hoje","Programada")))))))</f>
        <v>Em execução</v>
      </c>
      <c r="Q201" s="31" t="str">
        <f aca="false">IF($E201="","",IF(ISNUMBER(SEARCH("(externo)",$G201)),"Terceirizada","Interna"))</f>
        <v>Terceirizada</v>
      </c>
      <c r="R201" s="36" t="n">
        <f aca="false">IF($J201="","",IF($M201="",$J201,$M201))</f>
        <v>46262</v>
      </c>
      <c r="S201" s="31" t="n">
        <f aca="false">IF($E201="","",IF(OR($K201="",$J201=""),0,IF($K201&lt;=$J201,1,0)))</f>
        <v>0</v>
      </c>
      <c r="T201" s="31" t="n">
        <f aca="false">IF($E201="","",IF(OR($K201="",$R201=""),0,IF($K201&lt;=$R201,1,0)))</f>
        <v>0</v>
      </c>
      <c r="U201" s="38" t="str">
        <f aca="false">IF(OR($K201="",$J201=""),"",MAX(0,$K201-$J201))</f>
        <v/>
      </c>
      <c r="V201" s="31" t="n">
        <f aca="false">IF($E201="","",IF(AND($M201&lt;&gt;"",$J201&lt;&gt;"",$M201&lt;&gt;$J201),1,0))</f>
        <v>0</v>
      </c>
      <c r="W201" s="39" t="n">
        <f aca="false">IF($E201="","",IF($L201="Cancelada",0,IF(OR($K201&lt;&gt;"",$L201="Concluída"),1,0)))</f>
        <v>0</v>
      </c>
    </row>
    <row r="202" customFormat="false" ht="15" hidden="false" customHeight="true" outlineLevel="0" collapsed="false">
      <c r="A202" s="31" t="n">
        <f aca="false">IF($E202="","",COUNTA($E$5:$E202))</f>
        <v>198</v>
      </c>
      <c r="B202" s="32" t="s">
        <v>365</v>
      </c>
      <c r="C202" s="32" t="s">
        <v>145</v>
      </c>
      <c r="D202" s="32" t="s">
        <v>366</v>
      </c>
      <c r="E202" s="32" t="s">
        <v>398</v>
      </c>
      <c r="F202" s="33" t="s">
        <v>62</v>
      </c>
      <c r="G202" s="32" t="s">
        <v>99</v>
      </c>
      <c r="H202" s="34" t="n">
        <v>46258</v>
      </c>
      <c r="I202" s="35" t="s">
        <v>87</v>
      </c>
      <c r="J202" s="36" t="n">
        <f aca="false">IF(OR($H202="",$I202=""),"",$H202+MATCH($I202,Listas!$F$5:$F$11,0)-1)</f>
        <v>46262</v>
      </c>
      <c r="K202" s="37"/>
      <c r="L202" s="33" t="s">
        <v>69</v>
      </c>
      <c r="M202" s="37"/>
      <c r="N202" s="32"/>
      <c r="O202" s="32"/>
      <c r="P202" s="38" t="str">
        <f aca="true">IF($E202="","",IF($L202="Cancelada","Cancelada",IF(OR($K202&lt;&gt;"",$L202="Concluída"),IF(OR($J202="",$K202="",$K202&lt;=$J202),"Concluída","Concluída com atraso"),IF($J202="","Na carteira",IF($J202&lt;TODAY(),"VENCIDA",IF($L202="Em execução","Em execução",IF($J202=TODAY(),"Hoje","Programada")))))))</f>
        <v>Em execução</v>
      </c>
      <c r="Q202" s="31" t="str">
        <f aca="false">IF($E202="","",IF(ISNUMBER(SEARCH("(externo)",$G202)),"Terceirizada","Interna"))</f>
        <v>Terceirizada</v>
      </c>
      <c r="R202" s="36" t="n">
        <f aca="false">IF($J202="","",IF($M202="",$J202,$M202))</f>
        <v>46262</v>
      </c>
      <c r="S202" s="31" t="n">
        <f aca="false">IF($E202="","",IF(OR($K202="",$J202=""),0,IF($K202&lt;=$J202,1,0)))</f>
        <v>0</v>
      </c>
      <c r="T202" s="31" t="n">
        <f aca="false">IF($E202="","",IF(OR($K202="",$R202=""),0,IF($K202&lt;=$R202,1,0)))</f>
        <v>0</v>
      </c>
      <c r="U202" s="38" t="str">
        <f aca="false">IF(OR($K202="",$J202=""),"",MAX(0,$K202-$J202))</f>
        <v/>
      </c>
      <c r="V202" s="31" t="n">
        <f aca="false">IF($E202="","",IF(AND($M202&lt;&gt;"",$J202&lt;&gt;"",$M202&lt;&gt;$J202),1,0))</f>
        <v>0</v>
      </c>
      <c r="W202" s="39" t="n">
        <f aca="false">IF($E202="","",IF($L202="Cancelada",0,IF(OR($K202&lt;&gt;"",$L202="Concluída"),1,0)))</f>
        <v>0</v>
      </c>
    </row>
    <row r="203" customFormat="false" ht="15" hidden="false" customHeight="true" outlineLevel="0" collapsed="false">
      <c r="A203" s="31" t="n">
        <f aca="false">IF($E203="","",COUNTA($E$5:$E203))</f>
        <v>199</v>
      </c>
      <c r="B203" s="32" t="s">
        <v>365</v>
      </c>
      <c r="C203" s="32" t="s">
        <v>145</v>
      </c>
      <c r="D203" s="32" t="s">
        <v>366</v>
      </c>
      <c r="E203" s="32" t="s">
        <v>399</v>
      </c>
      <c r="F203" s="33" t="s">
        <v>62</v>
      </c>
      <c r="G203" s="32" t="s">
        <v>99</v>
      </c>
      <c r="H203" s="34" t="n">
        <v>46258</v>
      </c>
      <c r="I203" s="35" t="s">
        <v>87</v>
      </c>
      <c r="J203" s="36" t="n">
        <f aca="false">IF(OR($H203="",$I203=""),"",$H203+MATCH($I203,Listas!$F$5:$F$11,0)-1)</f>
        <v>46262</v>
      </c>
      <c r="K203" s="37"/>
      <c r="L203" s="33" t="s">
        <v>69</v>
      </c>
      <c r="M203" s="37"/>
      <c r="N203" s="32"/>
      <c r="O203" s="32"/>
      <c r="P203" s="38" t="str">
        <f aca="true">IF($E203="","",IF($L203="Cancelada","Cancelada",IF(OR($K203&lt;&gt;"",$L203="Concluída"),IF(OR($J203="",$K203="",$K203&lt;=$J203),"Concluída","Concluída com atraso"),IF($J203="","Na carteira",IF($J203&lt;TODAY(),"VENCIDA",IF($L203="Em execução","Em execução",IF($J203=TODAY(),"Hoje","Programada")))))))</f>
        <v>Em execução</v>
      </c>
      <c r="Q203" s="31" t="str">
        <f aca="false">IF($E203="","",IF(ISNUMBER(SEARCH("(externo)",$G203)),"Terceirizada","Interna"))</f>
        <v>Terceirizada</v>
      </c>
      <c r="R203" s="36" t="n">
        <f aca="false">IF($J203="","",IF($M203="",$J203,$M203))</f>
        <v>46262</v>
      </c>
      <c r="S203" s="31" t="n">
        <f aca="false">IF($E203="","",IF(OR($K203="",$J203=""),0,IF($K203&lt;=$J203,1,0)))</f>
        <v>0</v>
      </c>
      <c r="T203" s="31" t="n">
        <f aca="false">IF($E203="","",IF(OR($K203="",$R203=""),0,IF($K203&lt;=$R203,1,0)))</f>
        <v>0</v>
      </c>
      <c r="U203" s="38" t="str">
        <f aca="false">IF(OR($K203="",$J203=""),"",MAX(0,$K203-$J203))</f>
        <v/>
      </c>
      <c r="V203" s="31" t="n">
        <f aca="false">IF($E203="","",IF(AND($M203&lt;&gt;"",$J203&lt;&gt;"",$M203&lt;&gt;$J203),1,0))</f>
        <v>0</v>
      </c>
      <c r="W203" s="39" t="n">
        <f aca="false">IF($E203="","",IF($L203="Cancelada",0,IF(OR($K203&lt;&gt;"",$L203="Concluída"),1,0)))</f>
        <v>0</v>
      </c>
    </row>
    <row r="204" customFormat="false" ht="15" hidden="false" customHeight="true" outlineLevel="0" collapsed="false">
      <c r="A204" s="31" t="n">
        <f aca="false">IF($E204="","",COUNTA($E$5:$E204))</f>
        <v>200</v>
      </c>
      <c r="B204" s="32" t="s">
        <v>365</v>
      </c>
      <c r="C204" s="32" t="s">
        <v>145</v>
      </c>
      <c r="D204" s="32" t="s">
        <v>366</v>
      </c>
      <c r="E204" s="32" t="s">
        <v>400</v>
      </c>
      <c r="F204" s="33" t="s">
        <v>62</v>
      </c>
      <c r="G204" s="32" t="s">
        <v>99</v>
      </c>
      <c r="H204" s="34" t="n">
        <v>46258</v>
      </c>
      <c r="I204" s="35" t="s">
        <v>87</v>
      </c>
      <c r="J204" s="36" t="n">
        <f aca="false">IF(OR($H204="",$I204=""),"",$H204+MATCH($I204,Listas!$F$5:$F$11,0)-1)</f>
        <v>46262</v>
      </c>
      <c r="K204" s="37"/>
      <c r="L204" s="33" t="s">
        <v>69</v>
      </c>
      <c r="M204" s="37"/>
      <c r="N204" s="32"/>
      <c r="O204" s="32"/>
      <c r="P204" s="38" t="str">
        <f aca="true">IF($E204="","",IF($L204="Cancelada","Cancelada",IF(OR($K204&lt;&gt;"",$L204="Concluída"),IF(OR($J204="",$K204="",$K204&lt;=$J204),"Concluída","Concluída com atraso"),IF($J204="","Na carteira",IF($J204&lt;TODAY(),"VENCIDA",IF($L204="Em execução","Em execução",IF($J204=TODAY(),"Hoje","Programada")))))))</f>
        <v>Em execução</v>
      </c>
      <c r="Q204" s="31" t="str">
        <f aca="false">IF($E204="","",IF(ISNUMBER(SEARCH("(externo)",$G204)),"Terceirizada","Interna"))</f>
        <v>Terceirizada</v>
      </c>
      <c r="R204" s="36" t="n">
        <f aca="false">IF($J204="","",IF($M204="",$J204,$M204))</f>
        <v>46262</v>
      </c>
      <c r="S204" s="31" t="n">
        <f aca="false">IF($E204="","",IF(OR($K204="",$J204=""),0,IF($K204&lt;=$J204,1,0)))</f>
        <v>0</v>
      </c>
      <c r="T204" s="31" t="n">
        <f aca="false">IF($E204="","",IF(OR($K204="",$R204=""),0,IF($K204&lt;=$R204,1,0)))</f>
        <v>0</v>
      </c>
      <c r="U204" s="38" t="str">
        <f aca="false">IF(OR($K204="",$J204=""),"",MAX(0,$K204-$J204))</f>
        <v/>
      </c>
      <c r="V204" s="31" t="n">
        <f aca="false">IF($E204="","",IF(AND($M204&lt;&gt;"",$J204&lt;&gt;"",$M204&lt;&gt;$J204),1,0))</f>
        <v>0</v>
      </c>
      <c r="W204" s="39" t="n">
        <f aca="false">IF($E204="","",IF($L204="Cancelada",0,IF(OR($K204&lt;&gt;"",$L204="Concluída"),1,0)))</f>
        <v>0</v>
      </c>
    </row>
    <row r="205" customFormat="false" ht="15" hidden="false" customHeight="true" outlineLevel="0" collapsed="false">
      <c r="A205" s="31" t="n">
        <f aca="false">IF($E205="","",COUNTA($E$5:$E205))</f>
        <v>201</v>
      </c>
      <c r="B205" s="32" t="s">
        <v>401</v>
      </c>
      <c r="C205" s="32" t="s">
        <v>146</v>
      </c>
      <c r="D205" s="32" t="s">
        <v>402</v>
      </c>
      <c r="E205" s="32" t="s">
        <v>403</v>
      </c>
      <c r="F205" s="33" t="s">
        <v>62</v>
      </c>
      <c r="G205" s="32" t="s">
        <v>404</v>
      </c>
      <c r="H205" s="34" t="n">
        <v>46251</v>
      </c>
      <c r="I205" s="35" t="s">
        <v>82</v>
      </c>
      <c r="J205" s="36" t="n">
        <f aca="false">IF(OR($H205="",$I205=""),"",$H205+MATCH($I205,Listas!$F$5:$F$11,0)-1)</f>
        <v>46254</v>
      </c>
      <c r="K205" s="37"/>
      <c r="L205" s="33" t="s">
        <v>69</v>
      </c>
      <c r="M205" s="37" t="n">
        <v>46259</v>
      </c>
      <c r="N205" s="32" t="s">
        <v>405</v>
      </c>
      <c r="O205" s="32" t="s">
        <v>406</v>
      </c>
      <c r="P205" s="38" t="str">
        <f aca="true">IF($E205="","",IF($L205="Cancelada","Cancelada",IF(OR($K205&lt;&gt;"",$L205="Concluída"),IF(OR($J205="",$K205="",$K205&lt;=$J205),"Concluída","Concluída com atraso"),IF($J205="","Na carteira",IF($J205&lt;TODAY(),"VENCIDA",IF($L205="Em execução","Em execução",IF($J205=TODAY(),"Hoje","Programada")))))))</f>
        <v>VENCIDA</v>
      </c>
      <c r="Q205" s="31" t="str">
        <f aca="false">IF($E205="","",IF(ISNUMBER(SEARCH("(externo)",$G205)),"Terceirizada","Interna"))</f>
        <v>Interna</v>
      </c>
      <c r="R205" s="36" t="n">
        <f aca="false">IF($J205="","",IF($M205="",$J205,$M205))</f>
        <v>46259</v>
      </c>
      <c r="S205" s="31" t="n">
        <f aca="false">IF($E205="","",IF(OR($K205="",$J205=""),0,IF($K205&lt;=$J205,1,0)))</f>
        <v>0</v>
      </c>
      <c r="T205" s="31" t="n">
        <f aca="false">IF($E205="","",IF(OR($K205="",$R205=""),0,IF($K205&lt;=$R205,1,0)))</f>
        <v>0</v>
      </c>
      <c r="U205" s="38" t="str">
        <f aca="false">IF(OR($K205="",$J205=""),"",MAX(0,$K205-$J205))</f>
        <v/>
      </c>
      <c r="V205" s="31" t="n">
        <f aca="false">IF($E205="","",IF(AND($M205&lt;&gt;"",$J205&lt;&gt;"",$M205&lt;&gt;$J205),1,0))</f>
        <v>1</v>
      </c>
      <c r="W205" s="39" t="n">
        <f aca="false">IF($E205="","",IF($L205="Cancelada",0,IF(OR($K205&lt;&gt;"",$L205="Concluída"),1,0)))</f>
        <v>0</v>
      </c>
    </row>
    <row r="206" customFormat="false" ht="15" hidden="false" customHeight="true" outlineLevel="0" collapsed="false">
      <c r="A206" s="31" t="n">
        <f aca="false">IF($E206="","",COUNTA($E$5:$E206))</f>
        <v>202</v>
      </c>
      <c r="B206" s="32" t="s">
        <v>401</v>
      </c>
      <c r="C206" s="32" t="s">
        <v>146</v>
      </c>
      <c r="D206" s="32" t="s">
        <v>402</v>
      </c>
      <c r="E206" s="32" t="s">
        <v>407</v>
      </c>
      <c r="F206" s="33" t="s">
        <v>62</v>
      </c>
      <c r="G206" s="32" t="s">
        <v>404</v>
      </c>
      <c r="H206" s="34" t="n">
        <v>46251</v>
      </c>
      <c r="I206" s="35" t="s">
        <v>82</v>
      </c>
      <c r="J206" s="36" t="n">
        <f aca="false">IF(OR($H206="",$I206=""),"",$H206+MATCH($I206,Listas!$F$5:$F$11,0)-1)</f>
        <v>46254</v>
      </c>
      <c r="K206" s="37"/>
      <c r="L206" s="33" t="s">
        <v>69</v>
      </c>
      <c r="M206" s="37" t="n">
        <v>46259</v>
      </c>
      <c r="N206" s="32" t="s">
        <v>405</v>
      </c>
      <c r="O206" s="32" t="s">
        <v>406</v>
      </c>
      <c r="P206" s="38" t="str">
        <f aca="true">IF($E206="","",IF($L206="Cancelada","Cancelada",IF(OR($K206&lt;&gt;"",$L206="Concluída"),IF(OR($J206="",$K206="",$K206&lt;=$J206),"Concluída","Concluída com atraso"),IF($J206="","Na carteira",IF($J206&lt;TODAY(),"VENCIDA",IF($L206="Em execução","Em execução",IF($J206=TODAY(),"Hoje","Programada")))))))</f>
        <v>VENCIDA</v>
      </c>
      <c r="Q206" s="31" t="str">
        <f aca="false">IF($E206="","",IF(ISNUMBER(SEARCH("(externo)",$G206)),"Terceirizada","Interna"))</f>
        <v>Interna</v>
      </c>
      <c r="R206" s="36" t="n">
        <f aca="false">IF($J206="","",IF($M206="",$J206,$M206))</f>
        <v>46259</v>
      </c>
      <c r="S206" s="31" t="n">
        <f aca="false">IF($E206="","",IF(OR($K206="",$J206=""),0,IF($K206&lt;=$J206,1,0)))</f>
        <v>0</v>
      </c>
      <c r="T206" s="31" t="n">
        <f aca="false">IF($E206="","",IF(OR($K206="",$R206=""),0,IF($K206&lt;=$R206,1,0)))</f>
        <v>0</v>
      </c>
      <c r="U206" s="38" t="str">
        <f aca="false">IF(OR($K206="",$J206=""),"",MAX(0,$K206-$J206))</f>
        <v/>
      </c>
      <c r="V206" s="31" t="n">
        <f aca="false">IF($E206="","",IF(AND($M206&lt;&gt;"",$J206&lt;&gt;"",$M206&lt;&gt;$J206),1,0))</f>
        <v>1</v>
      </c>
      <c r="W206" s="39" t="n">
        <f aca="false">IF($E206="","",IF($L206="Cancelada",0,IF(OR($K206&lt;&gt;"",$L206="Concluída"),1,0)))</f>
        <v>0</v>
      </c>
    </row>
    <row r="207" customFormat="false" ht="15" hidden="false" customHeight="true" outlineLevel="0" collapsed="false">
      <c r="A207" s="31" t="n">
        <f aca="false">IF($E207="","",COUNTA($E$5:$E207))</f>
        <v>203</v>
      </c>
      <c r="B207" s="32" t="s">
        <v>401</v>
      </c>
      <c r="C207" s="32" t="s">
        <v>146</v>
      </c>
      <c r="D207" s="32" t="s">
        <v>402</v>
      </c>
      <c r="E207" s="32" t="s">
        <v>408</v>
      </c>
      <c r="F207" s="33" t="s">
        <v>62</v>
      </c>
      <c r="G207" s="32" t="s">
        <v>404</v>
      </c>
      <c r="H207" s="34" t="n">
        <v>46251</v>
      </c>
      <c r="I207" s="35" t="s">
        <v>82</v>
      </c>
      <c r="J207" s="36" t="n">
        <f aca="false">IF(OR($H207="",$I207=""),"",$H207+MATCH($I207,Listas!$F$5:$F$11,0)-1)</f>
        <v>46254</v>
      </c>
      <c r="K207" s="37"/>
      <c r="L207" s="33" t="s">
        <v>69</v>
      </c>
      <c r="M207" s="37" t="n">
        <v>46259</v>
      </c>
      <c r="N207" s="32" t="s">
        <v>405</v>
      </c>
      <c r="O207" s="32" t="s">
        <v>406</v>
      </c>
      <c r="P207" s="38" t="str">
        <f aca="true">IF($E207="","",IF($L207="Cancelada","Cancelada",IF(OR($K207&lt;&gt;"",$L207="Concluída"),IF(OR($J207="",$K207="",$K207&lt;=$J207),"Concluída","Concluída com atraso"),IF($J207="","Na carteira",IF($J207&lt;TODAY(),"VENCIDA",IF($L207="Em execução","Em execução",IF($J207=TODAY(),"Hoje","Programada")))))))</f>
        <v>VENCIDA</v>
      </c>
      <c r="Q207" s="31" t="str">
        <f aca="false">IF($E207="","",IF(ISNUMBER(SEARCH("(externo)",$G207)),"Terceirizada","Interna"))</f>
        <v>Interna</v>
      </c>
      <c r="R207" s="36" t="n">
        <f aca="false">IF($J207="","",IF($M207="",$J207,$M207))</f>
        <v>46259</v>
      </c>
      <c r="S207" s="31" t="n">
        <f aca="false">IF($E207="","",IF(OR($K207="",$J207=""),0,IF($K207&lt;=$J207,1,0)))</f>
        <v>0</v>
      </c>
      <c r="T207" s="31" t="n">
        <f aca="false">IF($E207="","",IF(OR($K207="",$R207=""),0,IF($K207&lt;=$R207,1,0)))</f>
        <v>0</v>
      </c>
      <c r="U207" s="38" t="str">
        <f aca="false">IF(OR($K207="",$J207=""),"",MAX(0,$K207-$J207))</f>
        <v/>
      </c>
      <c r="V207" s="31" t="n">
        <f aca="false">IF($E207="","",IF(AND($M207&lt;&gt;"",$J207&lt;&gt;"",$M207&lt;&gt;$J207),1,0))</f>
        <v>1</v>
      </c>
      <c r="W207" s="39" t="n">
        <f aca="false">IF($E207="","",IF($L207="Cancelada",0,IF(OR($K207&lt;&gt;"",$L207="Concluída"),1,0)))</f>
        <v>0</v>
      </c>
    </row>
    <row r="208" customFormat="false" ht="15" hidden="false" customHeight="true" outlineLevel="0" collapsed="false">
      <c r="A208" s="31" t="n">
        <f aca="false">IF($E208="","",COUNTA($E$5:$E208))</f>
        <v>204</v>
      </c>
      <c r="B208" s="32" t="s">
        <v>401</v>
      </c>
      <c r="C208" s="32" t="s">
        <v>146</v>
      </c>
      <c r="D208" s="32" t="s">
        <v>402</v>
      </c>
      <c r="E208" s="32" t="s">
        <v>409</v>
      </c>
      <c r="F208" s="33" t="s">
        <v>62</v>
      </c>
      <c r="G208" s="32" t="s">
        <v>404</v>
      </c>
      <c r="H208" s="34" t="n">
        <v>46251</v>
      </c>
      <c r="I208" s="35" t="s">
        <v>87</v>
      </c>
      <c r="J208" s="36" t="n">
        <f aca="false">IF(OR($H208="",$I208=""),"",$H208+MATCH($I208,Listas!$F$5:$F$11,0)-1)</f>
        <v>46255</v>
      </c>
      <c r="K208" s="37"/>
      <c r="L208" s="33" t="s">
        <v>69</v>
      </c>
      <c r="M208" s="37" t="n">
        <v>46259</v>
      </c>
      <c r="N208" s="32" t="s">
        <v>405</v>
      </c>
      <c r="O208" s="32" t="s">
        <v>406</v>
      </c>
      <c r="P208" s="38" t="str">
        <f aca="true">IF($E208="","",IF($L208="Cancelada","Cancelada",IF(OR($K208&lt;&gt;"",$L208="Concluída"),IF(OR($J208="",$K208="",$K208&lt;=$J208),"Concluída","Concluída com atraso"),IF($J208="","Na carteira",IF($J208&lt;TODAY(),"VENCIDA",IF($L208="Em execução","Em execução",IF($J208=TODAY(),"Hoje","Programada")))))))</f>
        <v>VENCIDA</v>
      </c>
      <c r="Q208" s="31" t="str">
        <f aca="false">IF($E208="","",IF(ISNUMBER(SEARCH("(externo)",$G208)),"Terceirizada","Interna"))</f>
        <v>Interna</v>
      </c>
      <c r="R208" s="36" t="n">
        <f aca="false">IF($J208="","",IF($M208="",$J208,$M208))</f>
        <v>46259</v>
      </c>
      <c r="S208" s="31" t="n">
        <f aca="false">IF($E208="","",IF(OR($K208="",$J208=""),0,IF($K208&lt;=$J208,1,0)))</f>
        <v>0</v>
      </c>
      <c r="T208" s="31" t="n">
        <f aca="false">IF($E208="","",IF(OR($K208="",$R208=""),0,IF($K208&lt;=$R208,1,0)))</f>
        <v>0</v>
      </c>
      <c r="U208" s="38" t="str">
        <f aca="false">IF(OR($K208="",$J208=""),"",MAX(0,$K208-$J208))</f>
        <v/>
      </c>
      <c r="V208" s="31" t="n">
        <f aca="false">IF($E208="","",IF(AND($M208&lt;&gt;"",$J208&lt;&gt;"",$M208&lt;&gt;$J208),1,0))</f>
        <v>1</v>
      </c>
      <c r="W208" s="39" t="n">
        <f aca="false">IF($E208="","",IF($L208="Cancelada",0,IF(OR($K208&lt;&gt;"",$L208="Concluída"),1,0)))</f>
        <v>0</v>
      </c>
    </row>
    <row r="209" customFormat="false" ht="15" hidden="false" customHeight="true" outlineLevel="0" collapsed="false">
      <c r="A209" s="31" t="n">
        <f aca="false">IF($E209="","",COUNTA($E$5:$E209))</f>
        <v>205</v>
      </c>
      <c r="B209" s="32" t="s">
        <v>401</v>
      </c>
      <c r="C209" s="32" t="s">
        <v>146</v>
      </c>
      <c r="D209" s="32" t="s">
        <v>402</v>
      </c>
      <c r="E209" s="32" t="s">
        <v>410</v>
      </c>
      <c r="F209" s="33" t="s">
        <v>62</v>
      </c>
      <c r="G209" s="32" t="s">
        <v>404</v>
      </c>
      <c r="H209" s="34" t="n">
        <v>46251</v>
      </c>
      <c r="I209" s="35" t="s">
        <v>87</v>
      </c>
      <c r="J209" s="36" t="n">
        <f aca="false">IF(OR($H209="",$I209=""),"",$H209+MATCH($I209,Listas!$F$5:$F$11,0)-1)</f>
        <v>46255</v>
      </c>
      <c r="K209" s="37"/>
      <c r="L209" s="33" t="s">
        <v>69</v>
      </c>
      <c r="M209" s="37" t="n">
        <v>46259</v>
      </c>
      <c r="N209" s="32" t="s">
        <v>405</v>
      </c>
      <c r="O209" s="32" t="s">
        <v>406</v>
      </c>
      <c r="P209" s="38" t="str">
        <f aca="true">IF($E209="","",IF($L209="Cancelada","Cancelada",IF(OR($K209&lt;&gt;"",$L209="Concluída"),IF(OR($J209="",$K209="",$K209&lt;=$J209),"Concluída","Concluída com atraso"),IF($J209="","Na carteira",IF($J209&lt;TODAY(),"VENCIDA",IF($L209="Em execução","Em execução",IF($J209=TODAY(),"Hoje","Programada")))))))</f>
        <v>VENCIDA</v>
      </c>
      <c r="Q209" s="31" t="str">
        <f aca="false">IF($E209="","",IF(ISNUMBER(SEARCH("(externo)",$G209)),"Terceirizada","Interna"))</f>
        <v>Interna</v>
      </c>
      <c r="R209" s="36" t="n">
        <f aca="false">IF($J209="","",IF($M209="",$J209,$M209))</f>
        <v>46259</v>
      </c>
      <c r="S209" s="31" t="n">
        <f aca="false">IF($E209="","",IF(OR($K209="",$J209=""),0,IF($K209&lt;=$J209,1,0)))</f>
        <v>0</v>
      </c>
      <c r="T209" s="31" t="n">
        <f aca="false">IF($E209="","",IF(OR($K209="",$R209=""),0,IF($K209&lt;=$R209,1,0)))</f>
        <v>0</v>
      </c>
      <c r="U209" s="38" t="str">
        <f aca="false">IF(OR($K209="",$J209=""),"",MAX(0,$K209-$J209))</f>
        <v/>
      </c>
      <c r="V209" s="31" t="n">
        <f aca="false">IF($E209="","",IF(AND($M209&lt;&gt;"",$J209&lt;&gt;"",$M209&lt;&gt;$J209),1,0))</f>
        <v>1</v>
      </c>
      <c r="W209" s="39" t="n">
        <f aca="false">IF($E209="","",IF($L209="Cancelada",0,IF(OR($K209&lt;&gt;"",$L209="Concluída"),1,0)))</f>
        <v>0</v>
      </c>
    </row>
    <row r="210" customFormat="false" ht="15" hidden="false" customHeight="true" outlineLevel="0" collapsed="false">
      <c r="A210" s="31" t="n">
        <f aca="false">IF($E210="","",COUNTA($E$5:$E210))</f>
        <v>206</v>
      </c>
      <c r="B210" s="32" t="s">
        <v>401</v>
      </c>
      <c r="C210" s="32" t="s">
        <v>146</v>
      </c>
      <c r="D210" s="32" t="s">
        <v>402</v>
      </c>
      <c r="E210" s="32" t="s">
        <v>411</v>
      </c>
      <c r="F210" s="33" t="s">
        <v>62</v>
      </c>
      <c r="G210" s="32" t="s">
        <v>404</v>
      </c>
      <c r="H210" s="34" t="n">
        <v>46251</v>
      </c>
      <c r="I210" s="35" t="s">
        <v>87</v>
      </c>
      <c r="J210" s="36" t="n">
        <f aca="false">IF(OR($H210="",$I210=""),"",$H210+MATCH($I210,Listas!$F$5:$F$11,0)-1)</f>
        <v>46255</v>
      </c>
      <c r="K210" s="37"/>
      <c r="L210" s="33" t="s">
        <v>69</v>
      </c>
      <c r="M210" s="37" t="n">
        <v>46259</v>
      </c>
      <c r="N210" s="32" t="s">
        <v>405</v>
      </c>
      <c r="O210" s="32" t="s">
        <v>406</v>
      </c>
      <c r="P210" s="38" t="str">
        <f aca="true">IF($E210="","",IF($L210="Cancelada","Cancelada",IF(OR($K210&lt;&gt;"",$L210="Concluída"),IF(OR($J210="",$K210="",$K210&lt;=$J210),"Concluída","Concluída com atraso"),IF($J210="","Na carteira",IF($J210&lt;TODAY(),"VENCIDA",IF($L210="Em execução","Em execução",IF($J210=TODAY(),"Hoje","Programada")))))))</f>
        <v>VENCIDA</v>
      </c>
      <c r="Q210" s="31" t="str">
        <f aca="false">IF($E210="","",IF(ISNUMBER(SEARCH("(externo)",$G210)),"Terceirizada","Interna"))</f>
        <v>Interna</v>
      </c>
      <c r="R210" s="36" t="n">
        <f aca="false">IF($J210="","",IF($M210="",$J210,$M210))</f>
        <v>46259</v>
      </c>
      <c r="S210" s="31" t="n">
        <f aca="false">IF($E210="","",IF(OR($K210="",$J210=""),0,IF($K210&lt;=$J210,1,0)))</f>
        <v>0</v>
      </c>
      <c r="T210" s="31" t="n">
        <f aca="false">IF($E210="","",IF(OR($K210="",$R210=""),0,IF($K210&lt;=$R210,1,0)))</f>
        <v>0</v>
      </c>
      <c r="U210" s="38" t="str">
        <f aca="false">IF(OR($K210="",$J210=""),"",MAX(0,$K210-$J210))</f>
        <v/>
      </c>
      <c r="V210" s="31" t="n">
        <f aca="false">IF($E210="","",IF(AND($M210&lt;&gt;"",$J210&lt;&gt;"",$M210&lt;&gt;$J210),1,0))</f>
        <v>1</v>
      </c>
      <c r="W210" s="39" t="n">
        <f aca="false">IF($E210="","",IF($L210="Cancelada",0,IF(OR($K210&lt;&gt;"",$L210="Concluída"),1,0)))</f>
        <v>0</v>
      </c>
    </row>
    <row r="211" customFormat="false" ht="15" hidden="false" customHeight="true" outlineLevel="0" collapsed="false">
      <c r="A211" s="31" t="n">
        <f aca="false">IF($E211="","",COUNTA($E$5:$E211))</f>
        <v>207</v>
      </c>
      <c r="B211" s="32" t="s">
        <v>401</v>
      </c>
      <c r="C211" s="32" t="s">
        <v>146</v>
      </c>
      <c r="D211" s="32" t="s">
        <v>402</v>
      </c>
      <c r="E211" s="32" t="s">
        <v>412</v>
      </c>
      <c r="F211" s="33" t="s">
        <v>62</v>
      </c>
      <c r="G211" s="32" t="s">
        <v>404</v>
      </c>
      <c r="H211" s="34" t="n">
        <v>46251</v>
      </c>
      <c r="I211" s="35" t="s">
        <v>91</v>
      </c>
      <c r="J211" s="36" t="n">
        <f aca="false">IF(OR($H211="",$I211=""),"",$H211+MATCH($I211,Listas!$F$5:$F$11,0)-1)</f>
        <v>46256</v>
      </c>
      <c r="K211" s="37"/>
      <c r="L211" s="33" t="s">
        <v>69</v>
      </c>
      <c r="M211" s="37" t="n">
        <v>46259</v>
      </c>
      <c r="N211" s="32" t="s">
        <v>405</v>
      </c>
      <c r="O211" s="32" t="s">
        <v>406</v>
      </c>
      <c r="P211" s="38" t="str">
        <f aca="true">IF($E211="","",IF($L211="Cancelada","Cancelada",IF(OR($K211&lt;&gt;"",$L211="Concluída"),IF(OR($J211="",$K211="",$K211&lt;=$J211),"Concluída","Concluída com atraso"),IF($J211="","Na carteira",IF($J211&lt;TODAY(),"VENCIDA",IF($L211="Em execução","Em execução",IF($J211=TODAY(),"Hoje","Programada")))))))</f>
        <v>VENCIDA</v>
      </c>
      <c r="Q211" s="31" t="str">
        <f aca="false">IF($E211="","",IF(ISNUMBER(SEARCH("(externo)",$G211)),"Terceirizada","Interna"))</f>
        <v>Interna</v>
      </c>
      <c r="R211" s="36" t="n">
        <f aca="false">IF($J211="","",IF($M211="",$J211,$M211))</f>
        <v>46259</v>
      </c>
      <c r="S211" s="31" t="n">
        <f aca="false">IF($E211="","",IF(OR($K211="",$J211=""),0,IF($K211&lt;=$J211,1,0)))</f>
        <v>0</v>
      </c>
      <c r="T211" s="31" t="n">
        <f aca="false">IF($E211="","",IF(OR($K211="",$R211=""),0,IF($K211&lt;=$R211,1,0)))</f>
        <v>0</v>
      </c>
      <c r="U211" s="38" t="str">
        <f aca="false">IF(OR($K211="",$J211=""),"",MAX(0,$K211-$J211))</f>
        <v/>
      </c>
      <c r="V211" s="31" t="n">
        <f aca="false">IF($E211="","",IF(AND($M211&lt;&gt;"",$J211&lt;&gt;"",$M211&lt;&gt;$J211),1,0))</f>
        <v>1</v>
      </c>
      <c r="W211" s="39" t="n">
        <f aca="false">IF($E211="","",IF($L211="Cancelada",0,IF(OR($K211&lt;&gt;"",$L211="Concluída"),1,0)))</f>
        <v>0</v>
      </c>
    </row>
    <row r="212" customFormat="false" ht="15" hidden="false" customHeight="true" outlineLevel="0" collapsed="false">
      <c r="A212" s="31" t="n">
        <f aca="false">IF($E212="","",COUNTA($E$5:$E212))</f>
        <v>208</v>
      </c>
      <c r="B212" s="32" t="s">
        <v>401</v>
      </c>
      <c r="C212" s="32" t="s">
        <v>146</v>
      </c>
      <c r="D212" s="32" t="s">
        <v>402</v>
      </c>
      <c r="E212" s="32" t="s">
        <v>413</v>
      </c>
      <c r="F212" s="33" t="s">
        <v>62</v>
      </c>
      <c r="G212" s="32" t="s">
        <v>404</v>
      </c>
      <c r="H212" s="34" t="n">
        <v>46251</v>
      </c>
      <c r="I212" s="35" t="s">
        <v>91</v>
      </c>
      <c r="J212" s="36" t="n">
        <f aca="false">IF(OR($H212="",$I212=""),"",$H212+MATCH($I212,Listas!$F$5:$F$11,0)-1)</f>
        <v>46256</v>
      </c>
      <c r="K212" s="37"/>
      <c r="L212" s="33" t="s">
        <v>69</v>
      </c>
      <c r="M212" s="37" t="n">
        <v>46259</v>
      </c>
      <c r="N212" s="32" t="s">
        <v>405</v>
      </c>
      <c r="O212" s="32" t="s">
        <v>406</v>
      </c>
      <c r="P212" s="38" t="str">
        <f aca="true">IF($E212="","",IF($L212="Cancelada","Cancelada",IF(OR($K212&lt;&gt;"",$L212="Concluída"),IF(OR($J212="",$K212="",$K212&lt;=$J212),"Concluída","Concluída com atraso"),IF($J212="","Na carteira",IF($J212&lt;TODAY(),"VENCIDA",IF($L212="Em execução","Em execução",IF($J212=TODAY(),"Hoje","Programada")))))))</f>
        <v>VENCIDA</v>
      </c>
      <c r="Q212" s="31" t="str">
        <f aca="false">IF($E212="","",IF(ISNUMBER(SEARCH("(externo)",$G212)),"Terceirizada","Interna"))</f>
        <v>Interna</v>
      </c>
      <c r="R212" s="36" t="n">
        <f aca="false">IF($J212="","",IF($M212="",$J212,$M212))</f>
        <v>46259</v>
      </c>
      <c r="S212" s="31" t="n">
        <f aca="false">IF($E212="","",IF(OR($K212="",$J212=""),0,IF($K212&lt;=$J212,1,0)))</f>
        <v>0</v>
      </c>
      <c r="T212" s="31" t="n">
        <f aca="false">IF($E212="","",IF(OR($K212="",$R212=""),0,IF($K212&lt;=$R212,1,0)))</f>
        <v>0</v>
      </c>
      <c r="U212" s="38" t="str">
        <f aca="false">IF(OR($K212="",$J212=""),"",MAX(0,$K212-$J212))</f>
        <v/>
      </c>
      <c r="V212" s="31" t="n">
        <f aca="false">IF($E212="","",IF(AND($M212&lt;&gt;"",$J212&lt;&gt;"",$M212&lt;&gt;$J212),1,0))</f>
        <v>1</v>
      </c>
      <c r="W212" s="39" t="n">
        <f aca="false">IF($E212="","",IF($L212="Cancelada",0,IF(OR($K212&lt;&gt;"",$L212="Concluída"),1,0)))</f>
        <v>0</v>
      </c>
    </row>
    <row r="213" customFormat="false" ht="15" hidden="false" customHeight="true" outlineLevel="0" collapsed="false">
      <c r="A213" s="31" t="n">
        <f aca="false">IF($E213="","",COUNTA($E$5:$E213))</f>
        <v>209</v>
      </c>
      <c r="B213" s="32" t="s">
        <v>401</v>
      </c>
      <c r="C213" s="32" t="s">
        <v>146</v>
      </c>
      <c r="D213" s="32" t="s">
        <v>402</v>
      </c>
      <c r="E213" s="32" t="s">
        <v>414</v>
      </c>
      <c r="F213" s="33" t="s">
        <v>62</v>
      </c>
      <c r="G213" s="32" t="s">
        <v>404</v>
      </c>
      <c r="H213" s="34" t="n">
        <v>46251</v>
      </c>
      <c r="I213" s="35" t="s">
        <v>91</v>
      </c>
      <c r="J213" s="36" t="n">
        <f aca="false">IF(OR($H213="",$I213=""),"",$H213+MATCH($I213,Listas!$F$5:$F$11,0)-1)</f>
        <v>46256</v>
      </c>
      <c r="K213" s="37"/>
      <c r="L213" s="33" t="s">
        <v>69</v>
      </c>
      <c r="M213" s="37" t="n">
        <v>46259</v>
      </c>
      <c r="N213" s="32" t="s">
        <v>405</v>
      </c>
      <c r="O213" s="32" t="s">
        <v>406</v>
      </c>
      <c r="P213" s="38" t="str">
        <f aca="true">IF($E213="","",IF($L213="Cancelada","Cancelada",IF(OR($K213&lt;&gt;"",$L213="Concluída"),IF(OR($J213="",$K213="",$K213&lt;=$J213),"Concluída","Concluída com atraso"),IF($J213="","Na carteira",IF($J213&lt;TODAY(),"VENCIDA",IF($L213="Em execução","Em execução",IF($J213=TODAY(),"Hoje","Programada")))))))</f>
        <v>VENCIDA</v>
      </c>
      <c r="Q213" s="31" t="str">
        <f aca="false">IF($E213="","",IF(ISNUMBER(SEARCH("(externo)",$G213)),"Terceirizada","Interna"))</f>
        <v>Interna</v>
      </c>
      <c r="R213" s="36" t="n">
        <f aca="false">IF($J213="","",IF($M213="",$J213,$M213))</f>
        <v>46259</v>
      </c>
      <c r="S213" s="31" t="n">
        <f aca="false">IF($E213="","",IF(OR($K213="",$J213=""),0,IF($K213&lt;=$J213,1,0)))</f>
        <v>0</v>
      </c>
      <c r="T213" s="31" t="n">
        <f aca="false">IF($E213="","",IF(OR($K213="",$R213=""),0,IF($K213&lt;=$R213,1,0)))</f>
        <v>0</v>
      </c>
      <c r="U213" s="38" t="str">
        <f aca="false">IF(OR($K213="",$J213=""),"",MAX(0,$K213-$J213))</f>
        <v/>
      </c>
      <c r="V213" s="31" t="n">
        <f aca="false">IF($E213="","",IF(AND($M213&lt;&gt;"",$J213&lt;&gt;"",$M213&lt;&gt;$J213),1,0))</f>
        <v>1</v>
      </c>
      <c r="W213" s="39" t="n">
        <f aca="false">IF($E213="","",IF($L213="Cancelada",0,IF(OR($K213&lt;&gt;"",$L213="Concluída"),1,0)))</f>
        <v>0</v>
      </c>
    </row>
    <row r="214" customFormat="false" ht="15" hidden="false" customHeight="true" outlineLevel="0" collapsed="false">
      <c r="A214" s="31" t="n">
        <f aca="false">IF($E214="","",COUNTA($E$5:$E214))</f>
        <v>210</v>
      </c>
      <c r="B214" s="32" t="s">
        <v>401</v>
      </c>
      <c r="C214" s="32" t="s">
        <v>146</v>
      </c>
      <c r="D214" s="32" t="s">
        <v>402</v>
      </c>
      <c r="E214" s="32" t="s">
        <v>415</v>
      </c>
      <c r="F214" s="33" t="s">
        <v>62</v>
      </c>
      <c r="G214" s="32" t="s">
        <v>404</v>
      </c>
      <c r="H214" s="34" t="n">
        <v>46251</v>
      </c>
      <c r="I214" s="35" t="s">
        <v>95</v>
      </c>
      <c r="J214" s="36" t="n">
        <f aca="false">IF(OR($H214="",$I214=""),"",$H214+MATCH($I214,Listas!$F$5:$F$11,0)-1)</f>
        <v>46257</v>
      </c>
      <c r="K214" s="37"/>
      <c r="L214" s="33" t="s">
        <v>63</v>
      </c>
      <c r="M214" s="37" t="n">
        <v>46259</v>
      </c>
      <c r="N214" s="32" t="s">
        <v>405</v>
      </c>
      <c r="O214" s="32" t="s">
        <v>406</v>
      </c>
      <c r="P214" s="38" t="str">
        <f aca="true">IF($E214="","",IF($L214="Cancelada","Cancelada",IF(OR($K214&lt;&gt;"",$L214="Concluída"),IF(OR($J214="",$K214="",$K214&lt;=$J214),"Concluída","Concluída com atraso"),IF($J214="","Na carteira",IF($J214&lt;TODAY(),"VENCIDA",IF($L214="Em execução","Em execução",IF($J214=TODAY(),"Hoje","Programada")))))))</f>
        <v>Concluída</v>
      </c>
      <c r="Q214" s="31" t="str">
        <f aca="false">IF($E214="","",IF(ISNUMBER(SEARCH("(externo)",$G214)),"Terceirizada","Interna"))</f>
        <v>Interna</v>
      </c>
      <c r="R214" s="36" t="n">
        <f aca="false">IF($J214="","",IF($M214="",$J214,$M214))</f>
        <v>46259</v>
      </c>
      <c r="S214" s="31" t="n">
        <f aca="false">IF($E214="","",IF(OR($K214="",$J214=""),0,IF($K214&lt;=$J214,1,0)))</f>
        <v>0</v>
      </c>
      <c r="T214" s="31" t="n">
        <f aca="false">IF($E214="","",IF(OR($K214="",$R214=""),0,IF($K214&lt;=$R214,1,0)))</f>
        <v>0</v>
      </c>
      <c r="U214" s="38" t="str">
        <f aca="false">IF(OR($K214="",$J214=""),"",MAX(0,$K214-$J214))</f>
        <v/>
      </c>
      <c r="V214" s="31" t="n">
        <f aca="false">IF($E214="","",IF(AND($M214&lt;&gt;"",$J214&lt;&gt;"",$M214&lt;&gt;$J214),1,0))</f>
        <v>1</v>
      </c>
      <c r="W214" s="39" t="n">
        <f aca="false">IF($E214="","",IF($L214="Cancelada",0,IF(OR($K214&lt;&gt;"",$L214="Concluída"),1,0)))</f>
        <v>1</v>
      </c>
    </row>
    <row r="215" customFormat="false" ht="15" hidden="false" customHeight="true" outlineLevel="0" collapsed="false">
      <c r="A215" s="31" t="n">
        <f aca="false">IF($E215="","",COUNTA($E$5:$E215))</f>
        <v>211</v>
      </c>
      <c r="B215" s="32" t="s">
        <v>401</v>
      </c>
      <c r="C215" s="32" t="s">
        <v>146</v>
      </c>
      <c r="D215" s="32" t="s">
        <v>402</v>
      </c>
      <c r="E215" s="32" t="s">
        <v>416</v>
      </c>
      <c r="F215" s="33" t="s">
        <v>62</v>
      </c>
      <c r="G215" s="32" t="s">
        <v>404</v>
      </c>
      <c r="H215" s="34" t="n">
        <v>46251</v>
      </c>
      <c r="I215" s="35" t="s">
        <v>95</v>
      </c>
      <c r="J215" s="36" t="n">
        <f aca="false">IF(OR($H215="",$I215=""),"",$H215+MATCH($I215,Listas!$F$5:$F$11,0)-1)</f>
        <v>46257</v>
      </c>
      <c r="K215" s="37"/>
      <c r="L215" s="33" t="s">
        <v>63</v>
      </c>
      <c r="M215" s="37" t="n">
        <v>46259</v>
      </c>
      <c r="N215" s="32" t="s">
        <v>405</v>
      </c>
      <c r="O215" s="32" t="s">
        <v>406</v>
      </c>
      <c r="P215" s="38" t="str">
        <f aca="true">IF($E215="","",IF($L215="Cancelada","Cancelada",IF(OR($K215&lt;&gt;"",$L215="Concluída"),IF(OR($J215="",$K215="",$K215&lt;=$J215),"Concluída","Concluída com atraso"),IF($J215="","Na carteira",IF($J215&lt;TODAY(),"VENCIDA",IF($L215="Em execução","Em execução",IF($J215=TODAY(),"Hoje","Programada")))))))</f>
        <v>Concluída</v>
      </c>
      <c r="Q215" s="31" t="str">
        <f aca="false">IF($E215="","",IF(ISNUMBER(SEARCH("(externo)",$G215)),"Terceirizada","Interna"))</f>
        <v>Interna</v>
      </c>
      <c r="R215" s="36" t="n">
        <f aca="false">IF($J215="","",IF($M215="",$J215,$M215))</f>
        <v>46259</v>
      </c>
      <c r="S215" s="31" t="n">
        <f aca="false">IF($E215="","",IF(OR($K215="",$J215=""),0,IF($K215&lt;=$J215,1,0)))</f>
        <v>0</v>
      </c>
      <c r="T215" s="31" t="n">
        <f aca="false">IF($E215="","",IF(OR($K215="",$R215=""),0,IF($K215&lt;=$R215,1,0)))</f>
        <v>0</v>
      </c>
      <c r="U215" s="38" t="str">
        <f aca="false">IF(OR($K215="",$J215=""),"",MAX(0,$K215-$J215))</f>
        <v/>
      </c>
      <c r="V215" s="31" t="n">
        <f aca="false">IF($E215="","",IF(AND($M215&lt;&gt;"",$J215&lt;&gt;"",$M215&lt;&gt;$J215),1,0))</f>
        <v>1</v>
      </c>
      <c r="W215" s="39" t="n">
        <f aca="false">IF($E215="","",IF($L215="Cancelada",0,IF(OR($K215&lt;&gt;"",$L215="Concluída"),1,0)))</f>
        <v>1</v>
      </c>
    </row>
    <row r="216" customFormat="false" ht="15" hidden="false" customHeight="true" outlineLevel="0" collapsed="false">
      <c r="A216" s="31" t="n">
        <f aca="false">IF($E216="","",COUNTA($E$5:$E216))</f>
        <v>212</v>
      </c>
      <c r="B216" s="32" t="s">
        <v>401</v>
      </c>
      <c r="C216" s="32" t="s">
        <v>146</v>
      </c>
      <c r="D216" s="32" t="s">
        <v>402</v>
      </c>
      <c r="E216" s="32" t="s">
        <v>417</v>
      </c>
      <c r="F216" s="33" t="s">
        <v>62</v>
      </c>
      <c r="G216" s="32" t="s">
        <v>404</v>
      </c>
      <c r="H216" s="34" t="n">
        <v>46258</v>
      </c>
      <c r="I216" s="35" t="s">
        <v>65</v>
      </c>
      <c r="J216" s="36" t="n">
        <f aca="false">IF(OR($H216="",$I216=""),"",$H216+MATCH($I216,Listas!$F$5:$F$11,0)-1)</f>
        <v>46258</v>
      </c>
      <c r="K216" s="37"/>
      <c r="L216" s="33" t="s">
        <v>63</v>
      </c>
      <c r="M216" s="37" t="n">
        <v>46259</v>
      </c>
      <c r="N216" s="32" t="s">
        <v>405</v>
      </c>
      <c r="O216" s="32" t="s">
        <v>406</v>
      </c>
      <c r="P216" s="38" t="str">
        <f aca="true">IF($E216="","",IF($L216="Cancelada","Cancelada",IF(OR($K216&lt;&gt;"",$L216="Concluída"),IF(OR($J216="",$K216="",$K216&lt;=$J216),"Concluída","Concluída com atraso"),IF($J216="","Na carteira",IF($J216&lt;TODAY(),"VENCIDA",IF($L216="Em execução","Em execução",IF($J216=TODAY(),"Hoje","Programada")))))))</f>
        <v>Concluída</v>
      </c>
      <c r="Q216" s="31" t="str">
        <f aca="false">IF($E216="","",IF(ISNUMBER(SEARCH("(externo)",$G216)),"Terceirizada","Interna"))</f>
        <v>Interna</v>
      </c>
      <c r="R216" s="36" t="n">
        <f aca="false">IF($J216="","",IF($M216="",$J216,$M216))</f>
        <v>46259</v>
      </c>
      <c r="S216" s="31" t="n">
        <f aca="false">IF($E216="","",IF(OR($K216="",$J216=""),0,IF($K216&lt;=$J216,1,0)))</f>
        <v>0</v>
      </c>
      <c r="T216" s="31" t="n">
        <f aca="false">IF($E216="","",IF(OR($K216="",$R216=""),0,IF($K216&lt;=$R216,1,0)))</f>
        <v>0</v>
      </c>
      <c r="U216" s="38" t="str">
        <f aca="false">IF(OR($K216="",$J216=""),"",MAX(0,$K216-$J216))</f>
        <v/>
      </c>
      <c r="V216" s="31" t="n">
        <f aca="false">IF($E216="","",IF(AND($M216&lt;&gt;"",$J216&lt;&gt;"",$M216&lt;&gt;$J216),1,0))</f>
        <v>1</v>
      </c>
      <c r="W216" s="39" t="n">
        <f aca="false">IF($E216="","",IF($L216="Cancelada",0,IF(OR($K216&lt;&gt;"",$L216="Concluída"),1,0)))</f>
        <v>1</v>
      </c>
    </row>
    <row r="217" customFormat="false" ht="15" hidden="false" customHeight="true" outlineLevel="0" collapsed="false">
      <c r="A217" s="31" t="n">
        <f aca="false">IF($E217="","",COUNTA($E$5:$E217))</f>
        <v>213</v>
      </c>
      <c r="B217" s="32" t="s">
        <v>401</v>
      </c>
      <c r="C217" s="32" t="s">
        <v>146</v>
      </c>
      <c r="D217" s="32" t="s">
        <v>402</v>
      </c>
      <c r="E217" s="32" t="s">
        <v>418</v>
      </c>
      <c r="F217" s="33" t="s">
        <v>62</v>
      </c>
      <c r="G217" s="32" t="s">
        <v>404</v>
      </c>
      <c r="H217" s="34" t="n">
        <v>46258</v>
      </c>
      <c r="I217" s="35" t="s">
        <v>65</v>
      </c>
      <c r="J217" s="36" t="n">
        <f aca="false">IF(OR($H217="",$I217=""),"",$H217+MATCH($I217,Listas!$F$5:$F$11,0)-1)</f>
        <v>46258</v>
      </c>
      <c r="K217" s="37"/>
      <c r="L217" s="33" t="s">
        <v>63</v>
      </c>
      <c r="M217" s="37" t="n">
        <v>46259</v>
      </c>
      <c r="N217" s="32" t="s">
        <v>405</v>
      </c>
      <c r="O217" s="32" t="s">
        <v>406</v>
      </c>
      <c r="P217" s="38" t="str">
        <f aca="true">IF($E217="","",IF($L217="Cancelada","Cancelada",IF(OR($K217&lt;&gt;"",$L217="Concluída"),IF(OR($J217="",$K217="",$K217&lt;=$J217),"Concluída","Concluída com atraso"),IF($J217="","Na carteira",IF($J217&lt;TODAY(),"VENCIDA",IF($L217="Em execução","Em execução",IF($J217=TODAY(),"Hoje","Programada")))))))</f>
        <v>Concluída</v>
      </c>
      <c r="Q217" s="31" t="str">
        <f aca="false">IF($E217="","",IF(ISNUMBER(SEARCH("(externo)",$G217)),"Terceirizada","Interna"))</f>
        <v>Interna</v>
      </c>
      <c r="R217" s="36" t="n">
        <f aca="false">IF($J217="","",IF($M217="",$J217,$M217))</f>
        <v>46259</v>
      </c>
      <c r="S217" s="31" t="n">
        <f aca="false">IF($E217="","",IF(OR($K217="",$J217=""),0,IF($K217&lt;=$J217,1,0)))</f>
        <v>0</v>
      </c>
      <c r="T217" s="31" t="n">
        <f aca="false">IF($E217="","",IF(OR($K217="",$R217=""),0,IF($K217&lt;=$R217,1,0)))</f>
        <v>0</v>
      </c>
      <c r="U217" s="38" t="str">
        <f aca="false">IF(OR($K217="",$J217=""),"",MAX(0,$K217-$J217))</f>
        <v/>
      </c>
      <c r="V217" s="31" t="n">
        <f aca="false">IF($E217="","",IF(AND($M217&lt;&gt;"",$J217&lt;&gt;"",$M217&lt;&gt;$J217),1,0))</f>
        <v>1</v>
      </c>
      <c r="W217" s="39" t="n">
        <f aca="false">IF($E217="","",IF($L217="Cancelada",0,IF(OR($K217&lt;&gt;"",$L217="Concluída"),1,0)))</f>
        <v>1</v>
      </c>
    </row>
    <row r="218" customFormat="false" ht="15" hidden="false" customHeight="true" outlineLevel="0" collapsed="false">
      <c r="A218" s="31" t="n">
        <f aca="false">IF($E218="","",COUNTA($E$5:$E218))</f>
        <v>214</v>
      </c>
      <c r="B218" s="32" t="s">
        <v>401</v>
      </c>
      <c r="C218" s="32" t="s">
        <v>146</v>
      </c>
      <c r="D218" s="32" t="s">
        <v>402</v>
      </c>
      <c r="E218" s="32" t="s">
        <v>419</v>
      </c>
      <c r="F218" s="33" t="s">
        <v>62</v>
      </c>
      <c r="G218" s="32" t="s">
        <v>404</v>
      </c>
      <c r="H218" s="34" t="n">
        <v>46258</v>
      </c>
      <c r="I218" s="35" t="s">
        <v>65</v>
      </c>
      <c r="J218" s="36" t="n">
        <f aca="false">IF(OR($H218="",$I218=""),"",$H218+MATCH($I218,Listas!$F$5:$F$11,0)-1)</f>
        <v>46258</v>
      </c>
      <c r="K218" s="37"/>
      <c r="L218" s="33" t="s">
        <v>63</v>
      </c>
      <c r="M218" s="37" t="n">
        <v>46259</v>
      </c>
      <c r="N218" s="32" t="s">
        <v>405</v>
      </c>
      <c r="O218" s="32" t="s">
        <v>406</v>
      </c>
      <c r="P218" s="38" t="str">
        <f aca="true">IF($E218="","",IF($L218="Cancelada","Cancelada",IF(OR($K218&lt;&gt;"",$L218="Concluída"),IF(OR($J218="",$K218="",$K218&lt;=$J218),"Concluída","Concluída com atraso"),IF($J218="","Na carteira",IF($J218&lt;TODAY(),"VENCIDA",IF($L218="Em execução","Em execução",IF($J218=TODAY(),"Hoje","Programada")))))))</f>
        <v>Concluída</v>
      </c>
      <c r="Q218" s="31" t="str">
        <f aca="false">IF($E218="","",IF(ISNUMBER(SEARCH("(externo)",$G218)),"Terceirizada","Interna"))</f>
        <v>Interna</v>
      </c>
      <c r="R218" s="36" t="n">
        <f aca="false">IF($J218="","",IF($M218="",$J218,$M218))</f>
        <v>46259</v>
      </c>
      <c r="S218" s="31" t="n">
        <f aca="false">IF($E218="","",IF(OR($K218="",$J218=""),0,IF($K218&lt;=$J218,1,0)))</f>
        <v>0</v>
      </c>
      <c r="T218" s="31" t="n">
        <f aca="false">IF($E218="","",IF(OR($K218="",$R218=""),0,IF($K218&lt;=$R218,1,0)))</f>
        <v>0</v>
      </c>
      <c r="U218" s="38" t="str">
        <f aca="false">IF(OR($K218="",$J218=""),"",MAX(0,$K218-$J218))</f>
        <v/>
      </c>
      <c r="V218" s="31" t="n">
        <f aca="false">IF($E218="","",IF(AND($M218&lt;&gt;"",$J218&lt;&gt;"",$M218&lt;&gt;$J218),1,0))</f>
        <v>1</v>
      </c>
      <c r="W218" s="39" t="n">
        <f aca="false">IF($E218="","",IF($L218="Cancelada",0,IF(OR($K218&lt;&gt;"",$L218="Concluída"),1,0)))</f>
        <v>1</v>
      </c>
    </row>
    <row r="219" customFormat="false" ht="15" hidden="false" customHeight="true" outlineLevel="0" collapsed="false">
      <c r="A219" s="31" t="n">
        <f aca="false">IF($E219="","",COUNTA($E$5:$E219))</f>
        <v>215</v>
      </c>
      <c r="B219" s="32" t="s">
        <v>401</v>
      </c>
      <c r="C219" s="32" t="s">
        <v>146</v>
      </c>
      <c r="D219" s="32" t="s">
        <v>402</v>
      </c>
      <c r="E219" s="32" t="s">
        <v>420</v>
      </c>
      <c r="F219" s="33" t="s">
        <v>62</v>
      </c>
      <c r="G219" s="32" t="s">
        <v>404</v>
      </c>
      <c r="H219" s="34" t="n">
        <v>46258</v>
      </c>
      <c r="I219" s="35" t="s">
        <v>71</v>
      </c>
      <c r="J219" s="36" t="n">
        <f aca="false">IF(OR($H219="",$I219=""),"",$H219+MATCH($I219,Listas!$F$5:$F$11,0)-1)</f>
        <v>46259</v>
      </c>
      <c r="K219" s="37"/>
      <c r="L219" s="33" t="s">
        <v>63</v>
      </c>
      <c r="M219" s="37" t="n">
        <v>46259</v>
      </c>
      <c r="N219" s="32" t="s">
        <v>405</v>
      </c>
      <c r="O219" s="32" t="s">
        <v>406</v>
      </c>
      <c r="P219" s="38" t="str">
        <f aca="true">IF($E219="","",IF($L219="Cancelada","Cancelada",IF(OR($K219&lt;&gt;"",$L219="Concluída"),IF(OR($J219="",$K219="",$K219&lt;=$J219),"Concluída","Concluída com atraso"),IF($J219="","Na carteira",IF($J219&lt;TODAY(),"VENCIDA",IF($L219="Em execução","Em execução",IF($J219=TODAY(),"Hoje","Programada")))))))</f>
        <v>Concluída</v>
      </c>
      <c r="Q219" s="31" t="str">
        <f aca="false">IF($E219="","",IF(ISNUMBER(SEARCH("(externo)",$G219)),"Terceirizada","Interna"))</f>
        <v>Interna</v>
      </c>
      <c r="R219" s="36" t="n">
        <f aca="false">IF($J219="","",IF($M219="",$J219,$M219))</f>
        <v>46259</v>
      </c>
      <c r="S219" s="31" t="n">
        <f aca="false">IF($E219="","",IF(OR($K219="",$J219=""),0,IF($K219&lt;=$J219,1,0)))</f>
        <v>0</v>
      </c>
      <c r="T219" s="31" t="n">
        <f aca="false">IF($E219="","",IF(OR($K219="",$R219=""),0,IF($K219&lt;=$R219,1,0)))</f>
        <v>0</v>
      </c>
      <c r="U219" s="38" t="str">
        <f aca="false">IF(OR($K219="",$J219=""),"",MAX(0,$K219-$J219))</f>
        <v/>
      </c>
      <c r="V219" s="31" t="n">
        <f aca="false">IF($E219="","",IF(AND($M219&lt;&gt;"",$J219&lt;&gt;"",$M219&lt;&gt;$J219),1,0))</f>
        <v>0</v>
      </c>
      <c r="W219" s="39" t="n">
        <f aca="false">IF($E219="","",IF($L219="Cancelada",0,IF(OR($K219&lt;&gt;"",$L219="Concluída"),1,0)))</f>
        <v>1</v>
      </c>
    </row>
    <row r="220" customFormat="false" ht="15" hidden="false" customHeight="true" outlineLevel="0" collapsed="false">
      <c r="A220" s="31" t="n">
        <f aca="false">IF($E220="","",COUNTA($E$5:$E220))</f>
        <v>216</v>
      </c>
      <c r="B220" s="32" t="s">
        <v>401</v>
      </c>
      <c r="C220" s="32" t="s">
        <v>146</v>
      </c>
      <c r="D220" s="32" t="s">
        <v>402</v>
      </c>
      <c r="E220" s="32" t="s">
        <v>421</v>
      </c>
      <c r="F220" s="33" t="s">
        <v>62</v>
      </c>
      <c r="G220" s="32" t="s">
        <v>404</v>
      </c>
      <c r="H220" s="34" t="n">
        <v>46258</v>
      </c>
      <c r="I220" s="35" t="s">
        <v>71</v>
      </c>
      <c r="J220" s="36" t="n">
        <f aca="false">IF(OR($H220="",$I220=""),"",$H220+MATCH($I220,Listas!$F$5:$F$11,0)-1)</f>
        <v>46259</v>
      </c>
      <c r="K220" s="37"/>
      <c r="L220" s="33" t="s">
        <v>63</v>
      </c>
      <c r="M220" s="37" t="n">
        <v>46259</v>
      </c>
      <c r="N220" s="32" t="s">
        <v>405</v>
      </c>
      <c r="O220" s="32" t="s">
        <v>406</v>
      </c>
      <c r="P220" s="38" t="str">
        <f aca="true">IF($E220="","",IF($L220="Cancelada","Cancelada",IF(OR($K220&lt;&gt;"",$L220="Concluída"),IF(OR($J220="",$K220="",$K220&lt;=$J220),"Concluída","Concluída com atraso"),IF($J220="","Na carteira",IF($J220&lt;TODAY(),"VENCIDA",IF($L220="Em execução","Em execução",IF($J220=TODAY(),"Hoje","Programada")))))))</f>
        <v>Concluída</v>
      </c>
      <c r="Q220" s="31" t="str">
        <f aca="false">IF($E220="","",IF(ISNUMBER(SEARCH("(externo)",$G220)),"Terceirizada","Interna"))</f>
        <v>Interna</v>
      </c>
      <c r="R220" s="36" t="n">
        <f aca="false">IF($J220="","",IF($M220="",$J220,$M220))</f>
        <v>46259</v>
      </c>
      <c r="S220" s="31" t="n">
        <f aca="false">IF($E220="","",IF(OR($K220="",$J220=""),0,IF($K220&lt;=$J220,1,0)))</f>
        <v>0</v>
      </c>
      <c r="T220" s="31" t="n">
        <f aca="false">IF($E220="","",IF(OR($K220="",$R220=""),0,IF($K220&lt;=$R220,1,0)))</f>
        <v>0</v>
      </c>
      <c r="U220" s="38" t="str">
        <f aca="false">IF(OR($K220="",$J220=""),"",MAX(0,$K220-$J220))</f>
        <v/>
      </c>
      <c r="V220" s="31" t="n">
        <f aca="false">IF($E220="","",IF(AND($M220&lt;&gt;"",$J220&lt;&gt;"",$M220&lt;&gt;$J220),1,0))</f>
        <v>0</v>
      </c>
      <c r="W220" s="39" t="n">
        <f aca="false">IF($E220="","",IF($L220="Cancelada",0,IF(OR($K220&lt;&gt;"",$L220="Concluída"),1,0)))</f>
        <v>1</v>
      </c>
    </row>
    <row r="221" customFormat="false" ht="15" hidden="false" customHeight="true" outlineLevel="0" collapsed="false">
      <c r="A221" s="31" t="n">
        <f aca="false">IF($E221="","",COUNTA($E$5:$E221))</f>
        <v>217</v>
      </c>
      <c r="B221" s="32" t="s">
        <v>401</v>
      </c>
      <c r="C221" s="32" t="s">
        <v>146</v>
      </c>
      <c r="D221" s="32" t="s">
        <v>402</v>
      </c>
      <c r="E221" s="32" t="s">
        <v>422</v>
      </c>
      <c r="F221" s="33" t="s">
        <v>62</v>
      </c>
      <c r="G221" s="32" t="s">
        <v>404</v>
      </c>
      <c r="H221" s="34" t="n">
        <v>46258</v>
      </c>
      <c r="I221" s="35" t="s">
        <v>71</v>
      </c>
      <c r="J221" s="36" t="n">
        <f aca="false">IF(OR($H221="",$I221=""),"",$H221+MATCH($I221,Listas!$F$5:$F$11,0)-1)</f>
        <v>46259</v>
      </c>
      <c r="K221" s="37"/>
      <c r="L221" s="33" t="s">
        <v>63</v>
      </c>
      <c r="M221" s="37" t="n">
        <v>46259</v>
      </c>
      <c r="N221" s="32" t="s">
        <v>405</v>
      </c>
      <c r="O221" s="32" t="s">
        <v>406</v>
      </c>
      <c r="P221" s="38" t="str">
        <f aca="true">IF($E221="","",IF($L221="Cancelada","Cancelada",IF(OR($K221&lt;&gt;"",$L221="Concluída"),IF(OR($J221="",$K221="",$K221&lt;=$J221),"Concluída","Concluída com atraso"),IF($J221="","Na carteira",IF($J221&lt;TODAY(),"VENCIDA",IF($L221="Em execução","Em execução",IF($J221=TODAY(),"Hoje","Programada")))))))</f>
        <v>Concluída</v>
      </c>
      <c r="Q221" s="31" t="str">
        <f aca="false">IF($E221="","",IF(ISNUMBER(SEARCH("(externo)",$G221)),"Terceirizada","Interna"))</f>
        <v>Interna</v>
      </c>
      <c r="R221" s="36" t="n">
        <f aca="false">IF($J221="","",IF($M221="",$J221,$M221))</f>
        <v>46259</v>
      </c>
      <c r="S221" s="31" t="n">
        <f aca="false">IF($E221="","",IF(OR($K221="",$J221=""),0,IF($K221&lt;=$J221,1,0)))</f>
        <v>0</v>
      </c>
      <c r="T221" s="31" t="n">
        <f aca="false">IF($E221="","",IF(OR($K221="",$R221=""),0,IF($K221&lt;=$R221,1,0)))</f>
        <v>0</v>
      </c>
      <c r="U221" s="38" t="str">
        <f aca="false">IF(OR($K221="",$J221=""),"",MAX(0,$K221-$J221))</f>
        <v/>
      </c>
      <c r="V221" s="31" t="n">
        <f aca="false">IF($E221="","",IF(AND($M221&lt;&gt;"",$J221&lt;&gt;"",$M221&lt;&gt;$J221),1,0))</f>
        <v>0</v>
      </c>
      <c r="W221" s="39" t="n">
        <f aca="false">IF($E221="","",IF($L221="Cancelada",0,IF(OR($K221&lt;&gt;"",$L221="Concluída"),1,0)))</f>
        <v>1</v>
      </c>
    </row>
    <row r="222" customFormat="false" ht="15" hidden="false" customHeight="true" outlineLevel="0" collapsed="false">
      <c r="A222" s="31" t="n">
        <f aca="false">IF($E222="","",COUNTA($E$5:$E222))</f>
        <v>218</v>
      </c>
      <c r="B222" s="32" t="s">
        <v>401</v>
      </c>
      <c r="C222" s="32" t="s">
        <v>146</v>
      </c>
      <c r="D222" s="32" t="s">
        <v>402</v>
      </c>
      <c r="E222" s="32" t="s">
        <v>423</v>
      </c>
      <c r="F222" s="33" t="s">
        <v>62</v>
      </c>
      <c r="G222" s="32" t="s">
        <v>404</v>
      </c>
      <c r="H222" s="34" t="n">
        <v>46258</v>
      </c>
      <c r="I222" s="35" t="s">
        <v>77</v>
      </c>
      <c r="J222" s="36" t="n">
        <f aca="false">IF(OR($H222="",$I222=""),"",$H222+MATCH($I222,Listas!$F$5:$F$11,0)-1)</f>
        <v>46260</v>
      </c>
      <c r="K222" s="37"/>
      <c r="L222" s="33" t="s">
        <v>63</v>
      </c>
      <c r="M222" s="37" t="n">
        <v>46259</v>
      </c>
      <c r="N222" s="32" t="s">
        <v>405</v>
      </c>
      <c r="O222" s="32" t="s">
        <v>406</v>
      </c>
      <c r="P222" s="38" t="str">
        <f aca="true">IF($E222="","",IF($L222="Cancelada","Cancelada",IF(OR($K222&lt;&gt;"",$L222="Concluída"),IF(OR($J222="",$K222="",$K222&lt;=$J222),"Concluída","Concluída com atraso"),IF($J222="","Na carteira",IF($J222&lt;TODAY(),"VENCIDA",IF($L222="Em execução","Em execução",IF($J222=TODAY(),"Hoje","Programada")))))))</f>
        <v>Concluída</v>
      </c>
      <c r="Q222" s="31" t="str">
        <f aca="false">IF($E222="","",IF(ISNUMBER(SEARCH("(externo)",$G222)),"Terceirizada","Interna"))</f>
        <v>Interna</v>
      </c>
      <c r="R222" s="36" t="n">
        <f aca="false">IF($J222="","",IF($M222="",$J222,$M222))</f>
        <v>46259</v>
      </c>
      <c r="S222" s="31" t="n">
        <f aca="false">IF($E222="","",IF(OR($K222="",$J222=""),0,IF($K222&lt;=$J222,1,0)))</f>
        <v>0</v>
      </c>
      <c r="T222" s="31" t="n">
        <f aca="false">IF($E222="","",IF(OR($K222="",$R222=""),0,IF($K222&lt;=$R222,1,0)))</f>
        <v>0</v>
      </c>
      <c r="U222" s="38" t="str">
        <f aca="false">IF(OR($K222="",$J222=""),"",MAX(0,$K222-$J222))</f>
        <v/>
      </c>
      <c r="V222" s="31" t="n">
        <f aca="false">IF($E222="","",IF(AND($M222&lt;&gt;"",$J222&lt;&gt;"",$M222&lt;&gt;$J222),1,0))</f>
        <v>1</v>
      </c>
      <c r="W222" s="39" t="n">
        <f aca="false">IF($E222="","",IF($L222="Cancelada",0,IF(OR($K222&lt;&gt;"",$L222="Concluída"),1,0)))</f>
        <v>1</v>
      </c>
    </row>
    <row r="223" customFormat="false" ht="15" hidden="false" customHeight="true" outlineLevel="0" collapsed="false">
      <c r="A223" s="31" t="n">
        <f aca="false">IF($E223="","",COUNTA($E$5:$E223))</f>
        <v>219</v>
      </c>
      <c r="B223" s="32" t="s">
        <v>401</v>
      </c>
      <c r="C223" s="32" t="s">
        <v>146</v>
      </c>
      <c r="D223" s="32" t="s">
        <v>402</v>
      </c>
      <c r="E223" s="32" t="s">
        <v>424</v>
      </c>
      <c r="F223" s="33" t="s">
        <v>62</v>
      </c>
      <c r="G223" s="32" t="s">
        <v>404</v>
      </c>
      <c r="H223" s="34" t="n">
        <v>46258</v>
      </c>
      <c r="I223" s="35" t="s">
        <v>77</v>
      </c>
      <c r="J223" s="36" t="n">
        <f aca="false">IF(OR($H223="",$I223=""),"",$H223+MATCH($I223,Listas!$F$5:$F$11,0)-1)</f>
        <v>46260</v>
      </c>
      <c r="K223" s="37"/>
      <c r="L223" s="33" t="s">
        <v>63</v>
      </c>
      <c r="M223" s="37" t="n">
        <v>46259</v>
      </c>
      <c r="N223" s="32" t="s">
        <v>405</v>
      </c>
      <c r="O223" s="32" t="s">
        <v>406</v>
      </c>
      <c r="P223" s="38" t="str">
        <f aca="true">IF($E223="","",IF($L223="Cancelada","Cancelada",IF(OR($K223&lt;&gt;"",$L223="Concluída"),IF(OR($J223="",$K223="",$K223&lt;=$J223),"Concluída","Concluída com atraso"),IF($J223="","Na carteira",IF($J223&lt;TODAY(),"VENCIDA",IF($L223="Em execução","Em execução",IF($J223=TODAY(),"Hoje","Programada")))))))</f>
        <v>Concluída</v>
      </c>
      <c r="Q223" s="31" t="str">
        <f aca="false">IF($E223="","",IF(ISNUMBER(SEARCH("(externo)",$G223)),"Terceirizada","Interna"))</f>
        <v>Interna</v>
      </c>
      <c r="R223" s="36" t="n">
        <f aca="false">IF($J223="","",IF($M223="",$J223,$M223))</f>
        <v>46259</v>
      </c>
      <c r="S223" s="31" t="n">
        <f aca="false">IF($E223="","",IF(OR($K223="",$J223=""),0,IF($K223&lt;=$J223,1,0)))</f>
        <v>0</v>
      </c>
      <c r="T223" s="31" t="n">
        <f aca="false">IF($E223="","",IF(OR($K223="",$R223=""),0,IF($K223&lt;=$R223,1,0)))</f>
        <v>0</v>
      </c>
      <c r="U223" s="38" t="str">
        <f aca="false">IF(OR($K223="",$J223=""),"",MAX(0,$K223-$J223))</f>
        <v/>
      </c>
      <c r="V223" s="31" t="n">
        <f aca="false">IF($E223="","",IF(AND($M223&lt;&gt;"",$J223&lt;&gt;"",$M223&lt;&gt;$J223),1,0))</f>
        <v>1</v>
      </c>
      <c r="W223" s="39" t="n">
        <f aca="false">IF($E223="","",IF($L223="Cancelada",0,IF(OR($K223&lt;&gt;"",$L223="Concluída"),1,0)))</f>
        <v>1</v>
      </c>
    </row>
    <row r="224" customFormat="false" ht="15" hidden="false" customHeight="true" outlineLevel="0" collapsed="false">
      <c r="A224" s="31" t="n">
        <f aca="false">IF($E224="","",COUNTA($E$5:$E224))</f>
        <v>220</v>
      </c>
      <c r="B224" s="32"/>
      <c r="C224" s="32" t="s">
        <v>84</v>
      </c>
      <c r="D224" s="32" t="s">
        <v>179</v>
      </c>
      <c r="E224" s="32" t="s">
        <v>425</v>
      </c>
      <c r="F224" s="33" t="s">
        <v>62</v>
      </c>
      <c r="G224" s="32" t="s">
        <v>181</v>
      </c>
      <c r="H224" s="34" t="n">
        <v>46258</v>
      </c>
      <c r="I224" s="35" t="s">
        <v>77</v>
      </c>
      <c r="J224" s="36" t="n">
        <f aca="false">IF(OR($H224="",$I224=""),"",$H224+MATCH($I224,Listas!$F$5:$F$11,0)-1)</f>
        <v>46260</v>
      </c>
      <c r="K224" s="37"/>
      <c r="L224" s="33"/>
      <c r="M224" s="37"/>
      <c r="N224" s="32"/>
      <c r="O224" s="32"/>
      <c r="P224" s="38" t="str">
        <f aca="true">IF($E224="","",IF($L224="Cancelada","Cancelada",IF(OR($K224&lt;&gt;"",$L224="Concluída"),IF(OR($J224="",$K224="",$K224&lt;=$J224),"Concluída","Concluída com atraso"),IF($J224="","Na carteira",IF($J224&lt;TODAY(),"VENCIDA",IF($L224="Em execução","Em execução",IF($J224=TODAY(),"Hoje","Programada")))))))</f>
        <v>Hoje</v>
      </c>
      <c r="Q224" s="31" t="str">
        <f aca="false">IF($E224="","",IF(ISNUMBER(SEARCH("(externo)",$G224)),"Terceirizada","Interna"))</f>
        <v>Interna</v>
      </c>
      <c r="R224" s="36" t="n">
        <f aca="false">IF($J224="","",IF($M224="",$J224,$M224))</f>
        <v>46260</v>
      </c>
      <c r="S224" s="31" t="n">
        <f aca="false">IF($E224="","",IF(OR($K224="",$J224=""),0,IF($K224&lt;=$J224,1,0)))</f>
        <v>0</v>
      </c>
      <c r="T224" s="31" t="n">
        <f aca="false">IF($E224="","",IF(OR($K224="",$R224=""),0,IF($K224&lt;=$R224,1,0)))</f>
        <v>0</v>
      </c>
      <c r="U224" s="38" t="str">
        <f aca="false">IF(OR($K224="",$J224=""),"",MAX(0,$K224-$J224))</f>
        <v/>
      </c>
      <c r="V224" s="31" t="n">
        <f aca="false">IF($E224="","",IF(AND($M224&lt;&gt;"",$J224&lt;&gt;"",$M224&lt;&gt;$J224),1,0))</f>
        <v>0</v>
      </c>
      <c r="W224" s="39" t="n">
        <f aca="false">IF($E224="","",IF($L224="Cancelada",0,IF(OR($K224&lt;&gt;"",$L224="Concluída"),1,0)))</f>
        <v>0</v>
      </c>
    </row>
    <row r="225" customFormat="false" ht="15" hidden="false" customHeight="true" outlineLevel="0" collapsed="false">
      <c r="A225" s="31" t="n">
        <f aca="false">IF($E225="","",COUNTA($E$5:$E225))</f>
        <v>221</v>
      </c>
      <c r="B225" s="32"/>
      <c r="C225" s="32" t="s">
        <v>89</v>
      </c>
      <c r="D225" s="32" t="s">
        <v>179</v>
      </c>
      <c r="E225" s="32" t="s">
        <v>425</v>
      </c>
      <c r="F225" s="33" t="s">
        <v>62</v>
      </c>
      <c r="G225" s="32" t="s">
        <v>181</v>
      </c>
      <c r="H225" s="34" t="n">
        <v>46258</v>
      </c>
      <c r="I225" s="35" t="s">
        <v>77</v>
      </c>
      <c r="J225" s="36" t="n">
        <f aca="false">IF(OR($H225="",$I225=""),"",$H225+MATCH($I225,Listas!$F$5:$F$11,0)-1)</f>
        <v>46260</v>
      </c>
      <c r="K225" s="37"/>
      <c r="L225" s="33"/>
      <c r="M225" s="37"/>
      <c r="N225" s="32"/>
      <c r="O225" s="32"/>
      <c r="P225" s="38" t="str">
        <f aca="true">IF($E225="","",IF($L225="Cancelada","Cancelada",IF(OR($K225&lt;&gt;"",$L225="Concluída"),IF(OR($J225="",$K225="",$K225&lt;=$J225),"Concluída","Concluída com atraso"),IF($J225="","Na carteira",IF($J225&lt;TODAY(),"VENCIDA",IF($L225="Em execução","Em execução",IF($J225=TODAY(),"Hoje","Programada")))))))</f>
        <v>Hoje</v>
      </c>
      <c r="Q225" s="31" t="str">
        <f aca="false">IF($E225="","",IF(ISNUMBER(SEARCH("(externo)",$G225)),"Terceirizada","Interna"))</f>
        <v>Interna</v>
      </c>
      <c r="R225" s="36" t="n">
        <f aca="false">IF($J225="","",IF($M225="",$J225,$M225))</f>
        <v>46260</v>
      </c>
      <c r="S225" s="31" t="n">
        <f aca="false">IF($E225="","",IF(OR($K225="",$J225=""),0,IF($K225&lt;=$J225,1,0)))</f>
        <v>0</v>
      </c>
      <c r="T225" s="31" t="n">
        <f aca="false">IF($E225="","",IF(OR($K225="",$R225=""),0,IF($K225&lt;=$R225,1,0)))</f>
        <v>0</v>
      </c>
      <c r="U225" s="38" t="str">
        <f aca="false">IF(OR($K225="",$J225=""),"",MAX(0,$K225-$J225))</f>
        <v/>
      </c>
      <c r="V225" s="31" t="n">
        <f aca="false">IF($E225="","",IF(AND($M225&lt;&gt;"",$J225&lt;&gt;"",$M225&lt;&gt;$J225),1,0))</f>
        <v>0</v>
      </c>
      <c r="W225" s="39" t="n">
        <f aca="false">IF($E225="","",IF($L225="Cancelada",0,IF(OR($K225&lt;&gt;"",$L225="Concluída"),1,0)))</f>
        <v>0</v>
      </c>
    </row>
    <row r="226" customFormat="false" ht="15" hidden="false" customHeight="true" outlineLevel="0" collapsed="false">
      <c r="A226" s="31" t="n">
        <f aca="false">IF($E226="","",COUNTA($E$5:$E226))</f>
        <v>222</v>
      </c>
      <c r="B226" s="32"/>
      <c r="C226" s="32" t="s">
        <v>102</v>
      </c>
      <c r="D226" s="32" t="s">
        <v>426</v>
      </c>
      <c r="E226" s="32" t="s">
        <v>426</v>
      </c>
      <c r="F226" s="33" t="s">
        <v>62</v>
      </c>
      <c r="G226" s="32"/>
      <c r="H226" s="34"/>
      <c r="I226" s="35"/>
      <c r="J226" s="36" t="str">
        <f aca="false">IF(OR($H226="",$I226=""),"",$H226+MATCH($I226,Listas!$F$5:$F$11,0)-1)</f>
        <v/>
      </c>
      <c r="K226" s="37"/>
      <c r="L226" s="33"/>
      <c r="M226" s="37"/>
      <c r="N226" s="32"/>
      <c r="O226" s="32" t="s">
        <v>427</v>
      </c>
      <c r="P226" s="38" t="str">
        <f aca="true">IF($E226="","",IF($L226="Cancelada","Cancelada",IF(OR($K226&lt;&gt;"",$L226="Concluída"),IF(OR($J226="",$K226="",$K226&lt;=$J226),"Concluída","Concluída com atraso"),IF($J226="","Na carteira",IF($J226&lt;TODAY(),"VENCIDA",IF($L226="Em execução","Em execução",IF($J226=TODAY(),"Hoje","Programada")))))))</f>
        <v>Na carteira</v>
      </c>
      <c r="Q226" s="31" t="str">
        <f aca="false">IF($E226="","",IF(ISNUMBER(SEARCH("(externo)",$G226)),"Terceirizada","Interna"))</f>
        <v>Interna</v>
      </c>
      <c r="R226" s="36" t="str">
        <f aca="false">IF($J226="","",IF($M226="",$J226,$M226))</f>
        <v/>
      </c>
      <c r="S226" s="31" t="n">
        <f aca="false">IF($E226="","",IF(OR($K226="",$J226=""),0,IF($K226&lt;=$J226,1,0)))</f>
        <v>0</v>
      </c>
      <c r="T226" s="31" t="n">
        <f aca="false">IF($E226="","",IF(OR($K226="",$R226=""),0,IF($K226&lt;=$R226,1,0)))</f>
        <v>0</v>
      </c>
      <c r="U226" s="38" t="str">
        <f aca="false">IF(OR($K226="",$J226=""),"",MAX(0,$K226-$J226))</f>
        <v/>
      </c>
      <c r="V226" s="31" t="n">
        <f aca="false">IF($E226="","",IF(AND($M226&lt;&gt;"",$J226&lt;&gt;"",$M226&lt;&gt;$J226),1,0))</f>
        <v>0</v>
      </c>
      <c r="W226" s="39" t="n">
        <f aca="false">IF($E226="","",IF($L226="Cancelada",0,IF(OR($K226&lt;&gt;"",$L226="Concluída"),1,0)))</f>
        <v>0</v>
      </c>
    </row>
    <row r="227" customFormat="false" ht="15" hidden="false" customHeight="true" outlineLevel="0" collapsed="false">
      <c r="A227" s="31" t="n">
        <f aca="false">IF($E227="","",COUNTA($E$5:$E227))</f>
        <v>223</v>
      </c>
      <c r="B227" s="32"/>
      <c r="C227" s="32" t="s">
        <v>104</v>
      </c>
      <c r="D227" s="32" t="s">
        <v>428</v>
      </c>
      <c r="E227" s="32" t="s">
        <v>428</v>
      </c>
      <c r="F227" s="33" t="s">
        <v>62</v>
      </c>
      <c r="G227" s="32"/>
      <c r="H227" s="34"/>
      <c r="I227" s="35"/>
      <c r="J227" s="36" t="str">
        <f aca="false">IF(OR($H227="",$I227=""),"",$H227+MATCH($I227,Listas!$F$5:$F$11,0)-1)</f>
        <v/>
      </c>
      <c r="K227" s="37"/>
      <c r="L227" s="33"/>
      <c r="M227" s="37"/>
      <c r="N227" s="32"/>
      <c r="O227" s="32" t="s">
        <v>429</v>
      </c>
      <c r="P227" s="38" t="str">
        <f aca="true">IF($E227="","",IF($L227="Cancelada","Cancelada",IF(OR($K227&lt;&gt;"",$L227="Concluída"),IF(OR($J227="",$K227="",$K227&lt;=$J227),"Concluída","Concluída com atraso"),IF($J227="","Na carteira",IF($J227&lt;TODAY(),"VENCIDA",IF($L227="Em execução","Em execução",IF($J227=TODAY(),"Hoje","Programada")))))))</f>
        <v>Na carteira</v>
      </c>
      <c r="Q227" s="31" t="str">
        <f aca="false">IF($E227="","",IF(ISNUMBER(SEARCH("(externo)",$G227)),"Terceirizada","Interna"))</f>
        <v>Interna</v>
      </c>
      <c r="R227" s="36" t="str">
        <f aca="false">IF($J227="","",IF($M227="",$J227,$M227))</f>
        <v/>
      </c>
      <c r="S227" s="31" t="n">
        <f aca="false">IF($E227="","",IF(OR($K227="",$J227=""),0,IF($K227&lt;=$J227,1,0)))</f>
        <v>0</v>
      </c>
      <c r="T227" s="31" t="n">
        <f aca="false">IF($E227="","",IF(OR($K227="",$R227=""),0,IF($K227&lt;=$R227,1,0)))</f>
        <v>0</v>
      </c>
      <c r="U227" s="38" t="str">
        <f aca="false">IF(OR($K227="",$J227=""),"",MAX(0,$K227-$J227))</f>
        <v/>
      </c>
      <c r="V227" s="31" t="n">
        <f aca="false">IF($E227="","",IF(AND($M227&lt;&gt;"",$J227&lt;&gt;"",$M227&lt;&gt;$J227),1,0))</f>
        <v>0</v>
      </c>
      <c r="W227" s="39" t="n">
        <f aca="false">IF($E227="","",IF($L227="Cancelada",0,IF(OR($K227&lt;&gt;"",$L227="Concluída"),1,0)))</f>
        <v>0</v>
      </c>
    </row>
    <row r="228" customFormat="false" ht="15" hidden="false" customHeight="true" outlineLevel="0" collapsed="false">
      <c r="A228" s="31" t="n">
        <f aca="false">IF($E228="","",COUNTA($E$5:$E228))</f>
        <v>224</v>
      </c>
      <c r="B228" s="32"/>
      <c r="C228" s="32" t="s">
        <v>107</v>
      </c>
      <c r="D228" s="32" t="s">
        <v>430</v>
      </c>
      <c r="E228" s="32" t="s">
        <v>430</v>
      </c>
      <c r="F228" s="33" t="s">
        <v>62</v>
      </c>
      <c r="G228" s="32"/>
      <c r="H228" s="34"/>
      <c r="I228" s="35"/>
      <c r="J228" s="36" t="str">
        <f aca="false">IF(OR($H228="",$I228=""),"",$H228+MATCH($I228,Listas!$F$5:$F$11,0)-1)</f>
        <v/>
      </c>
      <c r="K228" s="37"/>
      <c r="L228" s="33"/>
      <c r="M228" s="37"/>
      <c r="N228" s="32"/>
      <c r="O228" s="32" t="s">
        <v>431</v>
      </c>
      <c r="P228" s="38" t="str">
        <f aca="true">IF($E228="","",IF($L228="Cancelada","Cancelada",IF(OR($K228&lt;&gt;"",$L228="Concluída"),IF(OR($J228="",$K228="",$K228&lt;=$J228),"Concluída","Concluída com atraso"),IF($J228="","Na carteira",IF($J228&lt;TODAY(),"VENCIDA",IF($L228="Em execução","Em execução",IF($J228=TODAY(),"Hoje","Programada")))))))</f>
        <v>Na carteira</v>
      </c>
      <c r="Q228" s="31" t="str">
        <f aca="false">IF($E228="","",IF(ISNUMBER(SEARCH("(externo)",$G228)),"Terceirizada","Interna"))</f>
        <v>Interna</v>
      </c>
      <c r="R228" s="36" t="str">
        <f aca="false">IF($J228="","",IF($M228="",$J228,$M228))</f>
        <v/>
      </c>
      <c r="S228" s="31" t="n">
        <f aca="false">IF($E228="","",IF(OR($K228="",$J228=""),0,IF($K228&lt;=$J228,1,0)))</f>
        <v>0</v>
      </c>
      <c r="T228" s="31" t="n">
        <f aca="false">IF($E228="","",IF(OR($K228="",$R228=""),0,IF($K228&lt;=$R228,1,0)))</f>
        <v>0</v>
      </c>
      <c r="U228" s="38" t="str">
        <f aca="false">IF(OR($K228="",$J228=""),"",MAX(0,$K228-$J228))</f>
        <v/>
      </c>
      <c r="V228" s="31" t="n">
        <f aca="false">IF($E228="","",IF(AND($M228&lt;&gt;"",$J228&lt;&gt;"",$M228&lt;&gt;$J228),1,0))</f>
        <v>0</v>
      </c>
      <c r="W228" s="39" t="n">
        <f aca="false">IF($E228="","",IF($L228="Cancelada",0,IF(OR($K228&lt;&gt;"",$L228="Concluída"),1,0)))</f>
        <v>0</v>
      </c>
    </row>
    <row r="229" customFormat="false" ht="15" hidden="false" customHeight="true" outlineLevel="0" collapsed="false">
      <c r="A229" s="31" t="n">
        <f aca="false">IF($E229="","",COUNTA($E$5:$E229))</f>
        <v>225</v>
      </c>
      <c r="B229" s="32"/>
      <c r="C229" s="32" t="s">
        <v>108</v>
      </c>
      <c r="D229" s="32" t="s">
        <v>432</v>
      </c>
      <c r="E229" s="32" t="s">
        <v>432</v>
      </c>
      <c r="F229" s="33" t="s">
        <v>62</v>
      </c>
      <c r="G229" s="32"/>
      <c r="H229" s="34"/>
      <c r="I229" s="35"/>
      <c r="J229" s="36" t="str">
        <f aca="false">IF(OR($H229="",$I229=""),"",$H229+MATCH($I229,Listas!$F$5:$F$11,0)-1)</f>
        <v/>
      </c>
      <c r="K229" s="37"/>
      <c r="L229" s="33"/>
      <c r="M229" s="37"/>
      <c r="N229" s="32"/>
      <c r="O229" s="32" t="s">
        <v>433</v>
      </c>
      <c r="P229" s="38" t="str">
        <f aca="true">IF($E229="","",IF($L229="Cancelada","Cancelada",IF(OR($K229&lt;&gt;"",$L229="Concluída"),IF(OR($J229="",$K229="",$K229&lt;=$J229),"Concluída","Concluída com atraso"),IF($J229="","Na carteira",IF($J229&lt;TODAY(),"VENCIDA",IF($L229="Em execução","Em execução",IF($J229=TODAY(),"Hoje","Programada")))))))</f>
        <v>Na carteira</v>
      </c>
      <c r="Q229" s="31" t="str">
        <f aca="false">IF($E229="","",IF(ISNUMBER(SEARCH("(externo)",$G229)),"Terceirizada","Interna"))</f>
        <v>Interna</v>
      </c>
      <c r="R229" s="36" t="str">
        <f aca="false">IF($J229="","",IF($M229="",$J229,$M229))</f>
        <v/>
      </c>
      <c r="S229" s="31" t="n">
        <f aca="false">IF($E229="","",IF(OR($K229="",$J229=""),0,IF($K229&lt;=$J229,1,0)))</f>
        <v>0</v>
      </c>
      <c r="T229" s="31" t="n">
        <f aca="false">IF($E229="","",IF(OR($K229="",$R229=""),0,IF($K229&lt;=$R229,1,0)))</f>
        <v>0</v>
      </c>
      <c r="U229" s="38" t="str">
        <f aca="false">IF(OR($K229="",$J229=""),"",MAX(0,$K229-$J229))</f>
        <v/>
      </c>
      <c r="V229" s="31" t="n">
        <f aca="false">IF($E229="","",IF(AND($M229&lt;&gt;"",$J229&lt;&gt;"",$M229&lt;&gt;$J229),1,0))</f>
        <v>0</v>
      </c>
      <c r="W229" s="39" t="n">
        <f aca="false">IF($E229="","",IF($L229="Cancelada",0,IF(OR($K229&lt;&gt;"",$L229="Concluída"),1,0)))</f>
        <v>0</v>
      </c>
    </row>
    <row r="230" customFormat="false" ht="15" hidden="false" customHeight="true" outlineLevel="0" collapsed="false">
      <c r="A230" s="31" t="n">
        <f aca="false">IF($E230="","",COUNTA($E$5:$E230))</f>
        <v>226</v>
      </c>
      <c r="B230" s="32"/>
      <c r="C230" s="32" t="s">
        <v>109</v>
      </c>
      <c r="D230" s="32" t="s">
        <v>434</v>
      </c>
      <c r="E230" s="32" t="s">
        <v>434</v>
      </c>
      <c r="F230" s="33" t="s">
        <v>62</v>
      </c>
      <c r="G230" s="32"/>
      <c r="H230" s="34"/>
      <c r="I230" s="35"/>
      <c r="J230" s="36" t="str">
        <f aca="false">IF(OR($H230="",$I230=""),"",$H230+MATCH($I230,Listas!$F$5:$F$11,0)-1)</f>
        <v/>
      </c>
      <c r="K230" s="37"/>
      <c r="L230" s="33"/>
      <c r="M230" s="37"/>
      <c r="N230" s="32"/>
      <c r="O230" s="32" t="s">
        <v>435</v>
      </c>
      <c r="P230" s="38" t="str">
        <f aca="true">IF($E230="","",IF($L230="Cancelada","Cancelada",IF(OR($K230&lt;&gt;"",$L230="Concluída"),IF(OR($J230="",$K230="",$K230&lt;=$J230),"Concluída","Concluída com atraso"),IF($J230="","Na carteira",IF($J230&lt;TODAY(),"VENCIDA",IF($L230="Em execução","Em execução",IF($J230=TODAY(),"Hoje","Programada")))))))</f>
        <v>Na carteira</v>
      </c>
      <c r="Q230" s="31" t="str">
        <f aca="false">IF($E230="","",IF(ISNUMBER(SEARCH("(externo)",$G230)),"Terceirizada","Interna"))</f>
        <v>Interna</v>
      </c>
      <c r="R230" s="36" t="str">
        <f aca="false">IF($J230="","",IF($M230="",$J230,$M230))</f>
        <v/>
      </c>
      <c r="S230" s="31" t="n">
        <f aca="false">IF($E230="","",IF(OR($K230="",$J230=""),0,IF($K230&lt;=$J230,1,0)))</f>
        <v>0</v>
      </c>
      <c r="T230" s="31" t="n">
        <f aca="false">IF($E230="","",IF(OR($K230="",$R230=""),0,IF($K230&lt;=$R230,1,0)))</f>
        <v>0</v>
      </c>
      <c r="U230" s="38" t="str">
        <f aca="false">IF(OR($K230="",$J230=""),"",MAX(0,$K230-$J230))</f>
        <v/>
      </c>
      <c r="V230" s="31" t="n">
        <f aca="false">IF($E230="","",IF(AND($M230&lt;&gt;"",$J230&lt;&gt;"",$M230&lt;&gt;$J230),1,0))</f>
        <v>0</v>
      </c>
      <c r="W230" s="39" t="n">
        <f aca="false">IF($E230="","",IF($L230="Cancelada",0,IF(OR($K230&lt;&gt;"",$L230="Concluída"),1,0)))</f>
        <v>0</v>
      </c>
    </row>
    <row r="231" customFormat="false" ht="15" hidden="false" customHeight="true" outlineLevel="0" collapsed="false">
      <c r="A231" s="31" t="n">
        <f aca="false">IF($E231="","",COUNTA($E$5:$E231))</f>
        <v>227</v>
      </c>
      <c r="B231" s="32"/>
      <c r="C231" s="32" t="s">
        <v>110</v>
      </c>
      <c r="D231" s="32" t="s">
        <v>436</v>
      </c>
      <c r="E231" s="32" t="s">
        <v>436</v>
      </c>
      <c r="F231" s="33" t="s">
        <v>62</v>
      </c>
      <c r="G231" s="32"/>
      <c r="H231" s="34"/>
      <c r="I231" s="35"/>
      <c r="J231" s="36" t="str">
        <f aca="false">IF(OR($H231="",$I231=""),"",$H231+MATCH($I231,Listas!$F$5:$F$11,0)-1)</f>
        <v/>
      </c>
      <c r="K231" s="37"/>
      <c r="L231" s="33"/>
      <c r="M231" s="37"/>
      <c r="N231" s="32"/>
      <c r="O231" s="32" t="s">
        <v>437</v>
      </c>
      <c r="P231" s="38" t="str">
        <f aca="true">IF($E231="","",IF($L231="Cancelada","Cancelada",IF(OR($K231&lt;&gt;"",$L231="Concluída"),IF(OR($J231="",$K231="",$K231&lt;=$J231),"Concluída","Concluída com atraso"),IF($J231="","Na carteira",IF($J231&lt;TODAY(),"VENCIDA",IF($L231="Em execução","Em execução",IF($J231=TODAY(),"Hoje","Programada")))))))</f>
        <v>Na carteira</v>
      </c>
      <c r="Q231" s="31" t="str">
        <f aca="false">IF($E231="","",IF(ISNUMBER(SEARCH("(externo)",$G231)),"Terceirizada","Interna"))</f>
        <v>Interna</v>
      </c>
      <c r="R231" s="36" t="str">
        <f aca="false">IF($J231="","",IF($M231="",$J231,$M231))</f>
        <v/>
      </c>
      <c r="S231" s="31" t="n">
        <f aca="false">IF($E231="","",IF(OR($K231="",$J231=""),0,IF($K231&lt;=$J231,1,0)))</f>
        <v>0</v>
      </c>
      <c r="T231" s="31" t="n">
        <f aca="false">IF($E231="","",IF(OR($K231="",$R231=""),0,IF($K231&lt;=$R231,1,0)))</f>
        <v>0</v>
      </c>
      <c r="U231" s="38" t="str">
        <f aca="false">IF(OR($K231="",$J231=""),"",MAX(0,$K231-$J231))</f>
        <v/>
      </c>
      <c r="V231" s="31" t="n">
        <f aca="false">IF($E231="","",IF(AND($M231&lt;&gt;"",$J231&lt;&gt;"",$M231&lt;&gt;$J231),1,0))</f>
        <v>0</v>
      </c>
      <c r="W231" s="39" t="n">
        <f aca="false">IF($E231="","",IF($L231="Cancelada",0,IF(OR($K231&lt;&gt;"",$L231="Concluída"),1,0)))</f>
        <v>0</v>
      </c>
    </row>
    <row r="232" customFormat="false" ht="15" hidden="false" customHeight="true" outlineLevel="0" collapsed="false">
      <c r="A232" s="31" t="n">
        <f aca="false">IF($E232="","",COUNTA($E$5:$E232))</f>
        <v>228</v>
      </c>
      <c r="B232" s="32"/>
      <c r="C232" s="32" t="s">
        <v>111</v>
      </c>
      <c r="D232" s="32" t="s">
        <v>438</v>
      </c>
      <c r="E232" s="32" t="s">
        <v>438</v>
      </c>
      <c r="F232" s="33" t="s">
        <v>62</v>
      </c>
      <c r="G232" s="32"/>
      <c r="H232" s="34"/>
      <c r="I232" s="35"/>
      <c r="J232" s="36" t="str">
        <f aca="false">IF(OR($H232="",$I232=""),"",$H232+MATCH($I232,Listas!$F$5:$F$11,0)-1)</f>
        <v/>
      </c>
      <c r="K232" s="37"/>
      <c r="L232" s="33"/>
      <c r="M232" s="37"/>
      <c r="N232" s="32"/>
      <c r="O232" s="32" t="s">
        <v>439</v>
      </c>
      <c r="P232" s="38" t="str">
        <f aca="true">IF($E232="","",IF($L232="Cancelada","Cancelada",IF(OR($K232&lt;&gt;"",$L232="Concluída"),IF(OR($J232="",$K232="",$K232&lt;=$J232),"Concluída","Concluída com atraso"),IF($J232="","Na carteira",IF($J232&lt;TODAY(),"VENCIDA",IF($L232="Em execução","Em execução",IF($J232=TODAY(),"Hoje","Programada")))))))</f>
        <v>Na carteira</v>
      </c>
      <c r="Q232" s="31" t="str">
        <f aca="false">IF($E232="","",IF(ISNUMBER(SEARCH("(externo)",$G232)),"Terceirizada","Interna"))</f>
        <v>Interna</v>
      </c>
      <c r="R232" s="36" t="str">
        <f aca="false">IF($J232="","",IF($M232="",$J232,$M232))</f>
        <v/>
      </c>
      <c r="S232" s="31" t="n">
        <f aca="false">IF($E232="","",IF(OR($K232="",$J232=""),0,IF($K232&lt;=$J232,1,0)))</f>
        <v>0</v>
      </c>
      <c r="T232" s="31" t="n">
        <f aca="false">IF($E232="","",IF(OR($K232="",$R232=""),0,IF($K232&lt;=$R232,1,0)))</f>
        <v>0</v>
      </c>
      <c r="U232" s="38" t="str">
        <f aca="false">IF(OR($K232="",$J232=""),"",MAX(0,$K232-$J232))</f>
        <v/>
      </c>
      <c r="V232" s="31" t="n">
        <f aca="false">IF($E232="","",IF(AND($M232&lt;&gt;"",$J232&lt;&gt;"",$M232&lt;&gt;$J232),1,0))</f>
        <v>0</v>
      </c>
      <c r="W232" s="39" t="n">
        <f aca="false">IF($E232="","",IF($L232="Cancelada",0,IF(OR($K232&lt;&gt;"",$L232="Concluída"),1,0)))</f>
        <v>0</v>
      </c>
    </row>
    <row r="233" customFormat="false" ht="15" hidden="false" customHeight="true" outlineLevel="0" collapsed="false">
      <c r="A233" s="31" t="n">
        <f aca="false">IF($E233="","",COUNTA($E$5:$E233))</f>
        <v>229</v>
      </c>
      <c r="B233" s="32"/>
      <c r="C233" s="32" t="s">
        <v>112</v>
      </c>
      <c r="D233" s="32" t="s">
        <v>440</v>
      </c>
      <c r="E233" s="32" t="s">
        <v>440</v>
      </c>
      <c r="F233" s="33" t="s">
        <v>62</v>
      </c>
      <c r="G233" s="32"/>
      <c r="H233" s="34"/>
      <c r="I233" s="35"/>
      <c r="J233" s="36" t="str">
        <f aca="false">IF(OR($H233="",$I233=""),"",$H233+MATCH($I233,Listas!$F$5:$F$11,0)-1)</f>
        <v/>
      </c>
      <c r="K233" s="37"/>
      <c r="L233" s="33"/>
      <c r="M233" s="37"/>
      <c r="N233" s="32"/>
      <c r="O233" s="32" t="s">
        <v>441</v>
      </c>
      <c r="P233" s="38" t="str">
        <f aca="true">IF($E233="","",IF($L233="Cancelada","Cancelada",IF(OR($K233&lt;&gt;"",$L233="Concluída"),IF(OR($J233="",$K233="",$K233&lt;=$J233),"Concluída","Concluída com atraso"),IF($J233="","Na carteira",IF($J233&lt;TODAY(),"VENCIDA",IF($L233="Em execução","Em execução",IF($J233=TODAY(),"Hoje","Programada")))))))</f>
        <v>Na carteira</v>
      </c>
      <c r="Q233" s="31" t="str">
        <f aca="false">IF($E233="","",IF(ISNUMBER(SEARCH("(externo)",$G233)),"Terceirizada","Interna"))</f>
        <v>Interna</v>
      </c>
      <c r="R233" s="36" t="str">
        <f aca="false">IF($J233="","",IF($M233="",$J233,$M233))</f>
        <v/>
      </c>
      <c r="S233" s="31" t="n">
        <f aca="false">IF($E233="","",IF(OR($K233="",$J233=""),0,IF($K233&lt;=$J233,1,0)))</f>
        <v>0</v>
      </c>
      <c r="T233" s="31" t="n">
        <f aca="false">IF($E233="","",IF(OR($K233="",$R233=""),0,IF($K233&lt;=$R233,1,0)))</f>
        <v>0</v>
      </c>
      <c r="U233" s="38" t="str">
        <f aca="false">IF(OR($K233="",$J233=""),"",MAX(0,$K233-$J233))</f>
        <v/>
      </c>
      <c r="V233" s="31" t="n">
        <f aca="false">IF($E233="","",IF(AND($M233&lt;&gt;"",$J233&lt;&gt;"",$M233&lt;&gt;$J233),1,0))</f>
        <v>0</v>
      </c>
      <c r="W233" s="39" t="n">
        <f aca="false">IF($E233="","",IF($L233="Cancelada",0,IF(OR($K233&lt;&gt;"",$L233="Concluída"),1,0)))</f>
        <v>0</v>
      </c>
    </row>
    <row r="234" customFormat="false" ht="15" hidden="false" customHeight="true" outlineLevel="0" collapsed="false">
      <c r="A234" s="31" t="n">
        <f aca="false">IF($E234="","",COUNTA($E$5:$E234))</f>
        <v>230</v>
      </c>
      <c r="B234" s="32"/>
      <c r="C234" s="32" t="s">
        <v>116</v>
      </c>
      <c r="D234" s="32" t="s">
        <v>442</v>
      </c>
      <c r="E234" s="32" t="s">
        <v>442</v>
      </c>
      <c r="F234" s="33" t="s">
        <v>62</v>
      </c>
      <c r="G234" s="32"/>
      <c r="H234" s="34"/>
      <c r="I234" s="35"/>
      <c r="J234" s="36" t="str">
        <f aca="false">IF(OR($H234="",$I234=""),"",$H234+MATCH($I234,Listas!$F$5:$F$11,0)-1)</f>
        <v/>
      </c>
      <c r="K234" s="37"/>
      <c r="L234" s="33"/>
      <c r="M234" s="37"/>
      <c r="N234" s="32"/>
      <c r="O234" s="32" t="s">
        <v>427</v>
      </c>
      <c r="P234" s="38" t="str">
        <f aca="true">IF($E234="","",IF($L234="Cancelada","Cancelada",IF(OR($K234&lt;&gt;"",$L234="Concluída"),IF(OR($J234="",$K234="",$K234&lt;=$J234),"Concluída","Concluída com atraso"),IF($J234="","Na carteira",IF($J234&lt;TODAY(),"VENCIDA",IF($L234="Em execução","Em execução",IF($J234=TODAY(),"Hoje","Programada")))))))</f>
        <v>Na carteira</v>
      </c>
      <c r="Q234" s="31" t="str">
        <f aca="false">IF($E234="","",IF(ISNUMBER(SEARCH("(externo)",$G234)),"Terceirizada","Interna"))</f>
        <v>Interna</v>
      </c>
      <c r="R234" s="36" t="str">
        <f aca="false">IF($J234="","",IF($M234="",$J234,$M234))</f>
        <v/>
      </c>
      <c r="S234" s="31" t="n">
        <f aca="false">IF($E234="","",IF(OR($K234="",$J234=""),0,IF($K234&lt;=$J234,1,0)))</f>
        <v>0</v>
      </c>
      <c r="T234" s="31" t="n">
        <f aca="false">IF($E234="","",IF(OR($K234="",$R234=""),0,IF($K234&lt;=$R234,1,0)))</f>
        <v>0</v>
      </c>
      <c r="U234" s="38" t="str">
        <f aca="false">IF(OR($K234="",$J234=""),"",MAX(0,$K234-$J234))</f>
        <v/>
      </c>
      <c r="V234" s="31" t="n">
        <f aca="false">IF($E234="","",IF(AND($M234&lt;&gt;"",$J234&lt;&gt;"",$M234&lt;&gt;$J234),1,0))</f>
        <v>0</v>
      </c>
      <c r="W234" s="39" t="n">
        <f aca="false">IF($E234="","",IF($L234="Cancelada",0,IF(OR($K234&lt;&gt;"",$L234="Concluída"),1,0)))</f>
        <v>0</v>
      </c>
    </row>
    <row r="235" customFormat="false" ht="15" hidden="false" customHeight="true" outlineLevel="0" collapsed="false">
      <c r="A235" s="31" t="n">
        <f aca="false">IF($E235="","",COUNTA($E$5:$E235))</f>
        <v>231</v>
      </c>
      <c r="B235" s="32"/>
      <c r="C235" s="32" t="s">
        <v>117</v>
      </c>
      <c r="D235" s="32" t="s">
        <v>443</v>
      </c>
      <c r="E235" s="32" t="s">
        <v>443</v>
      </c>
      <c r="F235" s="33" t="s">
        <v>62</v>
      </c>
      <c r="G235" s="32"/>
      <c r="H235" s="34"/>
      <c r="I235" s="35"/>
      <c r="J235" s="36" t="str">
        <f aca="false">IF(OR($H235="",$I235=""),"",$H235+MATCH($I235,Listas!$F$5:$F$11,0)-1)</f>
        <v/>
      </c>
      <c r="K235" s="37"/>
      <c r="L235" s="33"/>
      <c r="M235" s="37"/>
      <c r="N235" s="32"/>
      <c r="O235" s="32" t="s">
        <v>444</v>
      </c>
      <c r="P235" s="38" t="str">
        <f aca="true">IF($E235="","",IF($L235="Cancelada","Cancelada",IF(OR($K235&lt;&gt;"",$L235="Concluída"),IF(OR($J235="",$K235="",$K235&lt;=$J235),"Concluída","Concluída com atraso"),IF($J235="","Na carteira",IF($J235&lt;TODAY(),"VENCIDA",IF($L235="Em execução","Em execução",IF($J235=TODAY(),"Hoje","Programada")))))))</f>
        <v>Na carteira</v>
      </c>
      <c r="Q235" s="31" t="str">
        <f aca="false">IF($E235="","",IF(ISNUMBER(SEARCH("(externo)",$G235)),"Terceirizada","Interna"))</f>
        <v>Interna</v>
      </c>
      <c r="R235" s="36" t="str">
        <f aca="false">IF($J235="","",IF($M235="",$J235,$M235))</f>
        <v/>
      </c>
      <c r="S235" s="31" t="n">
        <f aca="false">IF($E235="","",IF(OR($K235="",$J235=""),0,IF($K235&lt;=$J235,1,0)))</f>
        <v>0</v>
      </c>
      <c r="T235" s="31" t="n">
        <f aca="false">IF($E235="","",IF(OR($K235="",$R235=""),0,IF($K235&lt;=$R235,1,0)))</f>
        <v>0</v>
      </c>
      <c r="U235" s="38" t="str">
        <f aca="false">IF(OR($K235="",$J235=""),"",MAX(0,$K235-$J235))</f>
        <v/>
      </c>
      <c r="V235" s="31" t="n">
        <f aca="false">IF($E235="","",IF(AND($M235&lt;&gt;"",$J235&lt;&gt;"",$M235&lt;&gt;$J235),1,0))</f>
        <v>0</v>
      </c>
      <c r="W235" s="39" t="n">
        <f aca="false">IF($E235="","",IF($L235="Cancelada",0,IF(OR($K235&lt;&gt;"",$L235="Concluída"),1,0)))</f>
        <v>0</v>
      </c>
    </row>
    <row r="236" customFormat="false" ht="15" hidden="false" customHeight="true" outlineLevel="0" collapsed="false">
      <c r="A236" s="31" t="n">
        <f aca="false">IF($E236="","",COUNTA($E$5:$E236))</f>
        <v>232</v>
      </c>
      <c r="B236" s="32"/>
      <c r="C236" s="32" t="s">
        <v>119</v>
      </c>
      <c r="D236" s="32" t="s">
        <v>445</v>
      </c>
      <c r="E236" s="32" t="s">
        <v>445</v>
      </c>
      <c r="F236" s="33" t="s">
        <v>62</v>
      </c>
      <c r="G236" s="32"/>
      <c r="H236" s="34"/>
      <c r="I236" s="35"/>
      <c r="J236" s="36" t="str">
        <f aca="false">IF(OR($H236="",$I236=""),"",$H236+MATCH($I236,Listas!$F$5:$F$11,0)-1)</f>
        <v/>
      </c>
      <c r="K236" s="37"/>
      <c r="L236" s="33"/>
      <c r="M236" s="37"/>
      <c r="N236" s="32"/>
      <c r="O236" s="32" t="s">
        <v>446</v>
      </c>
      <c r="P236" s="38" t="str">
        <f aca="true">IF($E236="","",IF($L236="Cancelada","Cancelada",IF(OR($K236&lt;&gt;"",$L236="Concluída"),IF(OR($J236="",$K236="",$K236&lt;=$J236),"Concluída","Concluída com atraso"),IF($J236="","Na carteira",IF($J236&lt;TODAY(),"VENCIDA",IF($L236="Em execução","Em execução",IF($J236=TODAY(),"Hoje","Programada")))))))</f>
        <v>Na carteira</v>
      </c>
      <c r="Q236" s="31" t="str">
        <f aca="false">IF($E236="","",IF(ISNUMBER(SEARCH("(externo)",$G236)),"Terceirizada","Interna"))</f>
        <v>Interna</v>
      </c>
      <c r="R236" s="36" t="str">
        <f aca="false">IF($J236="","",IF($M236="",$J236,$M236))</f>
        <v/>
      </c>
      <c r="S236" s="31" t="n">
        <f aca="false">IF($E236="","",IF(OR($K236="",$J236=""),0,IF($K236&lt;=$J236,1,0)))</f>
        <v>0</v>
      </c>
      <c r="T236" s="31" t="n">
        <f aca="false">IF($E236="","",IF(OR($K236="",$R236=""),0,IF($K236&lt;=$R236,1,0)))</f>
        <v>0</v>
      </c>
      <c r="U236" s="38" t="str">
        <f aca="false">IF(OR($K236="",$J236=""),"",MAX(0,$K236-$J236))</f>
        <v/>
      </c>
      <c r="V236" s="31" t="n">
        <f aca="false">IF($E236="","",IF(AND($M236&lt;&gt;"",$J236&lt;&gt;"",$M236&lt;&gt;$J236),1,0))</f>
        <v>0</v>
      </c>
      <c r="W236" s="39" t="n">
        <f aca="false">IF($E236="","",IF($L236="Cancelada",0,IF(OR($K236&lt;&gt;"",$L236="Concluída"),1,0)))</f>
        <v>0</v>
      </c>
    </row>
    <row r="237" customFormat="false" ht="15" hidden="false" customHeight="true" outlineLevel="0" collapsed="false">
      <c r="A237" s="31" t="n">
        <f aca="false">IF($E237="","",COUNTA($E$5:$E237))</f>
        <v>233</v>
      </c>
      <c r="B237" s="32"/>
      <c r="C237" s="32" t="s">
        <v>120</v>
      </c>
      <c r="D237" s="32" t="s">
        <v>447</v>
      </c>
      <c r="E237" s="32" t="s">
        <v>447</v>
      </c>
      <c r="F237" s="33" t="s">
        <v>62</v>
      </c>
      <c r="G237" s="32"/>
      <c r="H237" s="34"/>
      <c r="I237" s="35"/>
      <c r="J237" s="36" t="str">
        <f aca="false">IF(OR($H237="",$I237=""),"",$H237+MATCH($I237,Listas!$F$5:$F$11,0)-1)</f>
        <v/>
      </c>
      <c r="K237" s="37"/>
      <c r="L237" s="33"/>
      <c r="M237" s="37"/>
      <c r="N237" s="32"/>
      <c r="O237" s="32" t="s">
        <v>448</v>
      </c>
      <c r="P237" s="38" t="str">
        <f aca="true">IF($E237="","",IF($L237="Cancelada","Cancelada",IF(OR($K237&lt;&gt;"",$L237="Concluída"),IF(OR($J237="",$K237="",$K237&lt;=$J237),"Concluída","Concluída com atraso"),IF($J237="","Na carteira",IF($J237&lt;TODAY(),"VENCIDA",IF($L237="Em execução","Em execução",IF($J237=TODAY(),"Hoje","Programada")))))))</f>
        <v>Na carteira</v>
      </c>
      <c r="Q237" s="31" t="str">
        <f aca="false">IF($E237="","",IF(ISNUMBER(SEARCH("(externo)",$G237)),"Terceirizada","Interna"))</f>
        <v>Interna</v>
      </c>
      <c r="R237" s="36" t="str">
        <f aca="false">IF($J237="","",IF($M237="",$J237,$M237))</f>
        <v/>
      </c>
      <c r="S237" s="31" t="n">
        <f aca="false">IF($E237="","",IF(OR($K237="",$J237=""),0,IF($K237&lt;=$J237,1,0)))</f>
        <v>0</v>
      </c>
      <c r="T237" s="31" t="n">
        <f aca="false">IF($E237="","",IF(OR($K237="",$R237=""),0,IF($K237&lt;=$R237,1,0)))</f>
        <v>0</v>
      </c>
      <c r="U237" s="38" t="str">
        <f aca="false">IF(OR($K237="",$J237=""),"",MAX(0,$K237-$J237))</f>
        <v/>
      </c>
      <c r="V237" s="31" t="n">
        <f aca="false">IF($E237="","",IF(AND($M237&lt;&gt;"",$J237&lt;&gt;"",$M237&lt;&gt;$J237),1,0))</f>
        <v>0</v>
      </c>
      <c r="W237" s="39" t="n">
        <f aca="false">IF($E237="","",IF($L237="Cancelada",0,IF(OR($K237&lt;&gt;"",$L237="Concluída"),1,0)))</f>
        <v>0</v>
      </c>
    </row>
    <row r="238" customFormat="false" ht="15" hidden="false" customHeight="true" outlineLevel="0" collapsed="false">
      <c r="A238" s="31" t="n">
        <f aca="false">IF($E238="","",COUNTA($E$5:$E238))</f>
        <v>234</v>
      </c>
      <c r="B238" s="32"/>
      <c r="C238" s="32" t="s">
        <v>121</v>
      </c>
      <c r="D238" s="32" t="s">
        <v>449</v>
      </c>
      <c r="E238" s="32" t="s">
        <v>449</v>
      </c>
      <c r="F238" s="33" t="s">
        <v>62</v>
      </c>
      <c r="G238" s="32"/>
      <c r="H238" s="34"/>
      <c r="I238" s="35"/>
      <c r="J238" s="36" t="str">
        <f aca="false">IF(OR($H238="",$I238=""),"",$H238+MATCH($I238,Listas!$F$5:$F$11,0)-1)</f>
        <v/>
      </c>
      <c r="K238" s="37"/>
      <c r="L238" s="33"/>
      <c r="M238" s="37"/>
      <c r="N238" s="32"/>
      <c r="O238" s="32" t="s">
        <v>441</v>
      </c>
      <c r="P238" s="38" t="str">
        <f aca="true">IF($E238="","",IF($L238="Cancelada","Cancelada",IF(OR($K238&lt;&gt;"",$L238="Concluída"),IF(OR($J238="",$K238="",$K238&lt;=$J238),"Concluída","Concluída com atraso"),IF($J238="","Na carteira",IF($J238&lt;TODAY(),"VENCIDA",IF($L238="Em execução","Em execução",IF($J238=TODAY(),"Hoje","Programada")))))))</f>
        <v>Na carteira</v>
      </c>
      <c r="Q238" s="31" t="str">
        <f aca="false">IF($E238="","",IF(ISNUMBER(SEARCH("(externo)",$G238)),"Terceirizada","Interna"))</f>
        <v>Interna</v>
      </c>
      <c r="R238" s="36" t="str">
        <f aca="false">IF($J238="","",IF($M238="",$J238,$M238))</f>
        <v/>
      </c>
      <c r="S238" s="31" t="n">
        <f aca="false">IF($E238="","",IF(OR($K238="",$J238=""),0,IF($K238&lt;=$J238,1,0)))</f>
        <v>0</v>
      </c>
      <c r="T238" s="31" t="n">
        <f aca="false">IF($E238="","",IF(OR($K238="",$R238=""),0,IF($K238&lt;=$R238,1,0)))</f>
        <v>0</v>
      </c>
      <c r="U238" s="38" t="str">
        <f aca="false">IF(OR($K238="",$J238=""),"",MAX(0,$K238-$J238))</f>
        <v/>
      </c>
      <c r="V238" s="31" t="n">
        <f aca="false">IF($E238="","",IF(AND($M238&lt;&gt;"",$J238&lt;&gt;"",$M238&lt;&gt;$J238),1,0))</f>
        <v>0</v>
      </c>
      <c r="W238" s="39" t="n">
        <f aca="false">IF($E238="","",IF($L238="Cancelada",0,IF(OR($K238&lt;&gt;"",$L238="Concluída"),1,0)))</f>
        <v>0</v>
      </c>
    </row>
    <row r="239" customFormat="false" ht="15" hidden="false" customHeight="true" outlineLevel="0" collapsed="false">
      <c r="A239" s="31" t="n">
        <f aca="false">IF($E239="","",COUNTA($E$5:$E239))</f>
        <v>235</v>
      </c>
      <c r="B239" s="32"/>
      <c r="C239" s="32" t="s">
        <v>122</v>
      </c>
      <c r="D239" s="32" t="s">
        <v>450</v>
      </c>
      <c r="E239" s="32" t="s">
        <v>450</v>
      </c>
      <c r="F239" s="33" t="s">
        <v>62</v>
      </c>
      <c r="G239" s="32"/>
      <c r="H239" s="34"/>
      <c r="I239" s="35"/>
      <c r="J239" s="36" t="str">
        <f aca="false">IF(OR($H239="",$I239=""),"",$H239+MATCH($I239,Listas!$F$5:$F$11,0)-1)</f>
        <v/>
      </c>
      <c r="K239" s="37"/>
      <c r="L239" s="33"/>
      <c r="M239" s="37"/>
      <c r="N239" s="32"/>
      <c r="O239" s="32" t="s">
        <v>429</v>
      </c>
      <c r="P239" s="38" t="str">
        <f aca="true">IF($E239="","",IF($L239="Cancelada","Cancelada",IF(OR($K239&lt;&gt;"",$L239="Concluída"),IF(OR($J239="",$K239="",$K239&lt;=$J239),"Concluída","Concluída com atraso"),IF($J239="","Na carteira",IF($J239&lt;TODAY(),"VENCIDA",IF($L239="Em execução","Em execução",IF($J239=TODAY(),"Hoje","Programada")))))))</f>
        <v>Na carteira</v>
      </c>
      <c r="Q239" s="31" t="str">
        <f aca="false">IF($E239="","",IF(ISNUMBER(SEARCH("(externo)",$G239)),"Terceirizada","Interna"))</f>
        <v>Interna</v>
      </c>
      <c r="R239" s="36" t="str">
        <f aca="false">IF($J239="","",IF($M239="",$J239,$M239))</f>
        <v/>
      </c>
      <c r="S239" s="31" t="n">
        <f aca="false">IF($E239="","",IF(OR($K239="",$J239=""),0,IF($K239&lt;=$J239,1,0)))</f>
        <v>0</v>
      </c>
      <c r="T239" s="31" t="n">
        <f aca="false">IF($E239="","",IF(OR($K239="",$R239=""),0,IF($K239&lt;=$R239,1,0)))</f>
        <v>0</v>
      </c>
      <c r="U239" s="38" t="str">
        <f aca="false">IF(OR($K239="",$J239=""),"",MAX(0,$K239-$J239))</f>
        <v/>
      </c>
      <c r="V239" s="31" t="n">
        <f aca="false">IF($E239="","",IF(AND($M239&lt;&gt;"",$J239&lt;&gt;"",$M239&lt;&gt;$J239),1,0))</f>
        <v>0</v>
      </c>
      <c r="W239" s="39" t="n">
        <f aca="false">IF($E239="","",IF($L239="Cancelada",0,IF(OR($K239&lt;&gt;"",$L239="Concluída"),1,0)))</f>
        <v>0</v>
      </c>
    </row>
    <row r="240" customFormat="false" ht="15" hidden="false" customHeight="true" outlineLevel="0" collapsed="false">
      <c r="A240" s="31" t="n">
        <f aca="false">IF($E240="","",COUNTA($E$5:$E240))</f>
        <v>236</v>
      </c>
      <c r="B240" s="32"/>
      <c r="C240" s="32" t="s">
        <v>123</v>
      </c>
      <c r="D240" s="32" t="s">
        <v>451</v>
      </c>
      <c r="E240" s="32" t="s">
        <v>451</v>
      </c>
      <c r="F240" s="33" t="s">
        <v>62</v>
      </c>
      <c r="G240" s="32"/>
      <c r="H240" s="34"/>
      <c r="I240" s="35"/>
      <c r="J240" s="36" t="str">
        <f aca="false">IF(OR($H240="",$I240=""),"",$H240+MATCH($I240,Listas!$F$5:$F$11,0)-1)</f>
        <v/>
      </c>
      <c r="K240" s="37"/>
      <c r="L240" s="33"/>
      <c r="M240" s="37"/>
      <c r="N240" s="32"/>
      <c r="O240" s="32" t="s">
        <v>452</v>
      </c>
      <c r="P240" s="38" t="str">
        <f aca="true">IF($E240="","",IF($L240="Cancelada","Cancelada",IF(OR($K240&lt;&gt;"",$L240="Concluída"),IF(OR($J240="",$K240="",$K240&lt;=$J240),"Concluída","Concluída com atraso"),IF($J240="","Na carteira",IF($J240&lt;TODAY(),"VENCIDA",IF($L240="Em execução","Em execução",IF($J240=TODAY(),"Hoje","Programada")))))))</f>
        <v>Na carteira</v>
      </c>
      <c r="Q240" s="31" t="str">
        <f aca="false">IF($E240="","",IF(ISNUMBER(SEARCH("(externo)",$G240)),"Terceirizada","Interna"))</f>
        <v>Interna</v>
      </c>
      <c r="R240" s="36" t="str">
        <f aca="false">IF($J240="","",IF($M240="",$J240,$M240))</f>
        <v/>
      </c>
      <c r="S240" s="31" t="n">
        <f aca="false">IF($E240="","",IF(OR($K240="",$J240=""),0,IF($K240&lt;=$J240,1,0)))</f>
        <v>0</v>
      </c>
      <c r="T240" s="31" t="n">
        <f aca="false">IF($E240="","",IF(OR($K240="",$R240=""),0,IF($K240&lt;=$R240,1,0)))</f>
        <v>0</v>
      </c>
      <c r="U240" s="38" t="str">
        <f aca="false">IF(OR($K240="",$J240=""),"",MAX(0,$K240-$J240))</f>
        <v/>
      </c>
      <c r="V240" s="31" t="n">
        <f aca="false">IF($E240="","",IF(AND($M240&lt;&gt;"",$J240&lt;&gt;"",$M240&lt;&gt;$J240),1,0))</f>
        <v>0</v>
      </c>
      <c r="W240" s="39" t="n">
        <f aca="false">IF($E240="","",IF($L240="Cancelada",0,IF(OR($K240&lt;&gt;"",$L240="Concluída"),1,0)))</f>
        <v>0</v>
      </c>
    </row>
    <row r="241" customFormat="false" ht="15" hidden="false" customHeight="true" outlineLevel="0" collapsed="false">
      <c r="A241" s="31" t="n">
        <f aca="false">IF($E241="","",COUNTA($E$5:$E241))</f>
        <v>237</v>
      </c>
      <c r="B241" s="32"/>
      <c r="C241" s="32" t="s">
        <v>124</v>
      </c>
      <c r="D241" s="32" t="s">
        <v>453</v>
      </c>
      <c r="E241" s="32" t="s">
        <v>453</v>
      </c>
      <c r="F241" s="33" t="s">
        <v>62</v>
      </c>
      <c r="G241" s="32"/>
      <c r="H241" s="34"/>
      <c r="I241" s="35"/>
      <c r="J241" s="36" t="str">
        <f aca="false">IF(OR($H241="",$I241=""),"",$H241+MATCH($I241,Listas!$F$5:$F$11,0)-1)</f>
        <v/>
      </c>
      <c r="K241" s="37"/>
      <c r="L241" s="33"/>
      <c r="M241" s="37"/>
      <c r="N241" s="32"/>
      <c r="O241" s="32" t="s">
        <v>454</v>
      </c>
      <c r="P241" s="38" t="str">
        <f aca="true">IF($E241="","",IF($L241="Cancelada","Cancelada",IF(OR($K241&lt;&gt;"",$L241="Concluída"),IF(OR($J241="",$K241="",$K241&lt;=$J241),"Concluída","Concluída com atraso"),IF($J241="","Na carteira",IF($J241&lt;TODAY(),"VENCIDA",IF($L241="Em execução","Em execução",IF($J241=TODAY(),"Hoje","Programada")))))))</f>
        <v>Na carteira</v>
      </c>
      <c r="Q241" s="31" t="str">
        <f aca="false">IF($E241="","",IF(ISNUMBER(SEARCH("(externo)",$G241)),"Terceirizada","Interna"))</f>
        <v>Interna</v>
      </c>
      <c r="R241" s="36" t="str">
        <f aca="false">IF($J241="","",IF($M241="",$J241,$M241))</f>
        <v/>
      </c>
      <c r="S241" s="31" t="n">
        <f aca="false">IF($E241="","",IF(OR($K241="",$J241=""),0,IF($K241&lt;=$J241,1,0)))</f>
        <v>0</v>
      </c>
      <c r="T241" s="31" t="n">
        <f aca="false">IF($E241="","",IF(OR($K241="",$R241=""),0,IF($K241&lt;=$R241,1,0)))</f>
        <v>0</v>
      </c>
      <c r="U241" s="38" t="str">
        <f aca="false">IF(OR($K241="",$J241=""),"",MAX(0,$K241-$J241))</f>
        <v/>
      </c>
      <c r="V241" s="31" t="n">
        <f aca="false">IF($E241="","",IF(AND($M241&lt;&gt;"",$J241&lt;&gt;"",$M241&lt;&gt;$J241),1,0))</f>
        <v>0</v>
      </c>
      <c r="W241" s="39" t="n">
        <f aca="false">IF($E241="","",IF($L241="Cancelada",0,IF(OR($K241&lt;&gt;"",$L241="Concluída"),1,0)))</f>
        <v>0</v>
      </c>
    </row>
    <row r="242" customFormat="false" ht="15" hidden="false" customHeight="true" outlineLevel="0" collapsed="false">
      <c r="A242" s="31" t="n">
        <f aca="false">IF($E242="","",COUNTA($E$5:$E242))</f>
        <v>238</v>
      </c>
      <c r="B242" s="32"/>
      <c r="C242" s="32" t="s">
        <v>125</v>
      </c>
      <c r="D242" s="32" t="s">
        <v>455</v>
      </c>
      <c r="E242" s="32" t="s">
        <v>455</v>
      </c>
      <c r="F242" s="33" t="s">
        <v>62</v>
      </c>
      <c r="G242" s="32"/>
      <c r="H242" s="34"/>
      <c r="I242" s="35"/>
      <c r="J242" s="36" t="str">
        <f aca="false">IF(OR($H242="",$I242=""),"",$H242+MATCH($I242,Listas!$F$5:$F$11,0)-1)</f>
        <v/>
      </c>
      <c r="K242" s="37"/>
      <c r="L242" s="33"/>
      <c r="M242" s="37"/>
      <c r="N242" s="32"/>
      <c r="O242" s="32" t="s">
        <v>454</v>
      </c>
      <c r="P242" s="38" t="str">
        <f aca="true">IF($E242="","",IF($L242="Cancelada","Cancelada",IF(OR($K242&lt;&gt;"",$L242="Concluída"),IF(OR($J242="",$K242="",$K242&lt;=$J242),"Concluída","Concluída com atraso"),IF($J242="","Na carteira",IF($J242&lt;TODAY(),"VENCIDA",IF($L242="Em execução","Em execução",IF($J242=TODAY(),"Hoje","Programada")))))))</f>
        <v>Na carteira</v>
      </c>
      <c r="Q242" s="31" t="str">
        <f aca="false">IF($E242="","",IF(ISNUMBER(SEARCH("(externo)",$G242)),"Terceirizada","Interna"))</f>
        <v>Interna</v>
      </c>
      <c r="R242" s="36" t="str">
        <f aca="false">IF($J242="","",IF($M242="",$J242,$M242))</f>
        <v/>
      </c>
      <c r="S242" s="31" t="n">
        <f aca="false">IF($E242="","",IF(OR($K242="",$J242=""),0,IF($K242&lt;=$J242,1,0)))</f>
        <v>0</v>
      </c>
      <c r="T242" s="31" t="n">
        <f aca="false">IF($E242="","",IF(OR($K242="",$R242=""),0,IF($K242&lt;=$R242,1,0)))</f>
        <v>0</v>
      </c>
      <c r="U242" s="38" t="str">
        <f aca="false">IF(OR($K242="",$J242=""),"",MAX(0,$K242-$J242))</f>
        <v/>
      </c>
      <c r="V242" s="31" t="n">
        <f aca="false">IF($E242="","",IF(AND($M242&lt;&gt;"",$J242&lt;&gt;"",$M242&lt;&gt;$J242),1,0))</f>
        <v>0</v>
      </c>
      <c r="W242" s="39" t="n">
        <f aca="false">IF($E242="","",IF($L242="Cancelada",0,IF(OR($K242&lt;&gt;"",$L242="Concluída"),1,0)))</f>
        <v>0</v>
      </c>
    </row>
    <row r="243" customFormat="false" ht="15" hidden="false" customHeight="true" outlineLevel="0" collapsed="false">
      <c r="A243" s="31" t="n">
        <f aca="false">IF($E243="","",COUNTA($E$5:$E243))</f>
        <v>239</v>
      </c>
      <c r="B243" s="32"/>
      <c r="C243" s="32" t="s">
        <v>126</v>
      </c>
      <c r="D243" s="32" t="s">
        <v>456</v>
      </c>
      <c r="E243" s="32" t="s">
        <v>456</v>
      </c>
      <c r="F243" s="33" t="s">
        <v>62</v>
      </c>
      <c r="G243" s="32"/>
      <c r="H243" s="34"/>
      <c r="I243" s="35"/>
      <c r="J243" s="36" t="str">
        <f aca="false">IF(OR($H243="",$I243=""),"",$H243+MATCH($I243,Listas!$F$5:$F$11,0)-1)</f>
        <v/>
      </c>
      <c r="K243" s="37"/>
      <c r="L243" s="33"/>
      <c r="M243" s="37"/>
      <c r="N243" s="32"/>
      <c r="O243" s="32" t="s">
        <v>457</v>
      </c>
      <c r="P243" s="38" t="str">
        <f aca="true">IF($E243="","",IF($L243="Cancelada","Cancelada",IF(OR($K243&lt;&gt;"",$L243="Concluída"),IF(OR($J243="",$K243="",$K243&lt;=$J243),"Concluída","Concluída com atraso"),IF($J243="","Na carteira",IF($J243&lt;TODAY(),"VENCIDA",IF($L243="Em execução","Em execução",IF($J243=TODAY(),"Hoje","Programada")))))))</f>
        <v>Na carteira</v>
      </c>
      <c r="Q243" s="31" t="str">
        <f aca="false">IF($E243="","",IF(ISNUMBER(SEARCH("(externo)",$G243)),"Terceirizada","Interna"))</f>
        <v>Interna</v>
      </c>
      <c r="R243" s="36" t="str">
        <f aca="false">IF($J243="","",IF($M243="",$J243,$M243))</f>
        <v/>
      </c>
      <c r="S243" s="31" t="n">
        <f aca="false">IF($E243="","",IF(OR($K243="",$J243=""),0,IF($K243&lt;=$J243,1,0)))</f>
        <v>0</v>
      </c>
      <c r="T243" s="31" t="n">
        <f aca="false">IF($E243="","",IF(OR($K243="",$R243=""),0,IF($K243&lt;=$R243,1,0)))</f>
        <v>0</v>
      </c>
      <c r="U243" s="38" t="str">
        <f aca="false">IF(OR($K243="",$J243=""),"",MAX(0,$K243-$J243))</f>
        <v/>
      </c>
      <c r="V243" s="31" t="n">
        <f aca="false">IF($E243="","",IF(AND($M243&lt;&gt;"",$J243&lt;&gt;"",$M243&lt;&gt;$J243),1,0))</f>
        <v>0</v>
      </c>
      <c r="W243" s="39" t="n">
        <f aca="false">IF($E243="","",IF($L243="Cancelada",0,IF(OR($K243&lt;&gt;"",$L243="Concluída"),1,0)))</f>
        <v>0</v>
      </c>
    </row>
    <row r="244" customFormat="false" ht="15" hidden="false" customHeight="true" outlineLevel="0" collapsed="false">
      <c r="A244" s="31" t="n">
        <f aca="false">IF($E244="","",COUNTA($E$5:$E244))</f>
        <v>240</v>
      </c>
      <c r="B244" s="32"/>
      <c r="C244" s="32" t="s">
        <v>128</v>
      </c>
      <c r="D244" s="32" t="s">
        <v>458</v>
      </c>
      <c r="E244" s="32" t="s">
        <v>458</v>
      </c>
      <c r="F244" s="33" t="s">
        <v>62</v>
      </c>
      <c r="G244" s="32"/>
      <c r="H244" s="34"/>
      <c r="I244" s="35"/>
      <c r="J244" s="36" t="str">
        <f aca="false">IF(OR($H244="",$I244=""),"",$H244+MATCH($I244,Listas!$F$5:$F$11,0)-1)</f>
        <v/>
      </c>
      <c r="K244" s="37"/>
      <c r="L244" s="33"/>
      <c r="M244" s="37"/>
      <c r="N244" s="32"/>
      <c r="O244" s="32" t="s">
        <v>459</v>
      </c>
      <c r="P244" s="38" t="str">
        <f aca="true">IF($E244="","",IF($L244="Cancelada","Cancelada",IF(OR($K244&lt;&gt;"",$L244="Concluída"),IF(OR($J244="",$K244="",$K244&lt;=$J244),"Concluída","Concluída com atraso"),IF($J244="","Na carteira",IF($J244&lt;TODAY(),"VENCIDA",IF($L244="Em execução","Em execução",IF($J244=TODAY(),"Hoje","Programada")))))))</f>
        <v>Na carteira</v>
      </c>
      <c r="Q244" s="31" t="str">
        <f aca="false">IF($E244="","",IF(ISNUMBER(SEARCH("(externo)",$G244)),"Terceirizada","Interna"))</f>
        <v>Interna</v>
      </c>
      <c r="R244" s="36" t="str">
        <f aca="false">IF($J244="","",IF($M244="",$J244,$M244))</f>
        <v/>
      </c>
      <c r="S244" s="31" t="n">
        <f aca="false">IF($E244="","",IF(OR($K244="",$J244=""),0,IF($K244&lt;=$J244,1,0)))</f>
        <v>0</v>
      </c>
      <c r="T244" s="31" t="n">
        <f aca="false">IF($E244="","",IF(OR($K244="",$R244=""),0,IF($K244&lt;=$R244,1,0)))</f>
        <v>0</v>
      </c>
      <c r="U244" s="38" t="str">
        <f aca="false">IF(OR($K244="",$J244=""),"",MAX(0,$K244-$J244))</f>
        <v/>
      </c>
      <c r="V244" s="31" t="n">
        <f aca="false">IF($E244="","",IF(AND($M244&lt;&gt;"",$J244&lt;&gt;"",$M244&lt;&gt;$J244),1,0))</f>
        <v>0</v>
      </c>
      <c r="W244" s="39" t="n">
        <f aca="false">IF($E244="","",IF($L244="Cancelada",0,IF(OR($K244&lt;&gt;"",$L244="Concluída"),1,0)))</f>
        <v>0</v>
      </c>
    </row>
    <row r="245" customFormat="false" ht="15" hidden="false" customHeight="true" outlineLevel="0" collapsed="false">
      <c r="A245" s="31" t="n">
        <f aca="false">IF($E245="","",COUNTA($E$5:$E245))</f>
        <v>241</v>
      </c>
      <c r="B245" s="32"/>
      <c r="C245" s="32" t="s">
        <v>129</v>
      </c>
      <c r="D245" s="32" t="s">
        <v>460</v>
      </c>
      <c r="E245" s="32" t="s">
        <v>460</v>
      </c>
      <c r="F245" s="33" t="s">
        <v>62</v>
      </c>
      <c r="G245" s="32"/>
      <c r="H245" s="34"/>
      <c r="I245" s="35"/>
      <c r="J245" s="36" t="str">
        <f aca="false">IF(OR($H245="",$I245=""),"",$H245+MATCH($I245,Listas!$F$5:$F$11,0)-1)</f>
        <v/>
      </c>
      <c r="K245" s="37"/>
      <c r="L245" s="33"/>
      <c r="M245" s="37"/>
      <c r="N245" s="32"/>
      <c r="O245" s="32" t="s">
        <v>461</v>
      </c>
      <c r="P245" s="38" t="str">
        <f aca="true">IF($E245="","",IF($L245="Cancelada","Cancelada",IF(OR($K245&lt;&gt;"",$L245="Concluída"),IF(OR($J245="",$K245="",$K245&lt;=$J245),"Concluída","Concluída com atraso"),IF($J245="","Na carteira",IF($J245&lt;TODAY(),"VENCIDA",IF($L245="Em execução","Em execução",IF($J245=TODAY(),"Hoje","Programada")))))))</f>
        <v>Na carteira</v>
      </c>
      <c r="Q245" s="31" t="str">
        <f aca="false">IF($E245="","",IF(ISNUMBER(SEARCH("(externo)",$G245)),"Terceirizada","Interna"))</f>
        <v>Interna</v>
      </c>
      <c r="R245" s="36" t="str">
        <f aca="false">IF($J245="","",IF($M245="",$J245,$M245))</f>
        <v/>
      </c>
      <c r="S245" s="31" t="n">
        <f aca="false">IF($E245="","",IF(OR($K245="",$J245=""),0,IF($K245&lt;=$J245,1,0)))</f>
        <v>0</v>
      </c>
      <c r="T245" s="31" t="n">
        <f aca="false">IF($E245="","",IF(OR($K245="",$R245=""),0,IF($K245&lt;=$R245,1,0)))</f>
        <v>0</v>
      </c>
      <c r="U245" s="38" t="str">
        <f aca="false">IF(OR($K245="",$J245=""),"",MAX(0,$K245-$J245))</f>
        <v/>
      </c>
      <c r="V245" s="31" t="n">
        <f aca="false">IF($E245="","",IF(AND($M245&lt;&gt;"",$J245&lt;&gt;"",$M245&lt;&gt;$J245),1,0))</f>
        <v>0</v>
      </c>
      <c r="W245" s="39" t="n">
        <f aca="false">IF($E245="","",IF($L245="Cancelada",0,IF(OR($K245&lt;&gt;"",$L245="Concluída"),1,0)))</f>
        <v>0</v>
      </c>
    </row>
    <row r="246" customFormat="false" ht="15" hidden="false" customHeight="true" outlineLevel="0" collapsed="false">
      <c r="A246" s="31" t="n">
        <f aca="false">IF($E246="","",COUNTA($E$5:$E246))</f>
        <v>242</v>
      </c>
      <c r="B246" s="32"/>
      <c r="C246" s="32" t="s">
        <v>130</v>
      </c>
      <c r="D246" s="32" t="s">
        <v>462</v>
      </c>
      <c r="E246" s="32" t="s">
        <v>462</v>
      </c>
      <c r="F246" s="33" t="s">
        <v>62</v>
      </c>
      <c r="G246" s="32"/>
      <c r="H246" s="34"/>
      <c r="I246" s="35"/>
      <c r="J246" s="36" t="str">
        <f aca="false">IF(OR($H246="",$I246=""),"",$H246+MATCH($I246,Listas!$F$5:$F$11,0)-1)</f>
        <v/>
      </c>
      <c r="K246" s="37"/>
      <c r="L246" s="33"/>
      <c r="M246" s="37"/>
      <c r="N246" s="32"/>
      <c r="O246" s="32" t="s">
        <v>454</v>
      </c>
      <c r="P246" s="38" t="str">
        <f aca="true">IF($E246="","",IF($L246="Cancelada","Cancelada",IF(OR($K246&lt;&gt;"",$L246="Concluída"),IF(OR($J246="",$K246="",$K246&lt;=$J246),"Concluída","Concluída com atraso"),IF($J246="","Na carteira",IF($J246&lt;TODAY(),"VENCIDA",IF($L246="Em execução","Em execução",IF($J246=TODAY(),"Hoje","Programada")))))))</f>
        <v>Na carteira</v>
      </c>
      <c r="Q246" s="31" t="str">
        <f aca="false">IF($E246="","",IF(ISNUMBER(SEARCH("(externo)",$G246)),"Terceirizada","Interna"))</f>
        <v>Interna</v>
      </c>
      <c r="R246" s="36" t="str">
        <f aca="false">IF($J246="","",IF($M246="",$J246,$M246))</f>
        <v/>
      </c>
      <c r="S246" s="31" t="n">
        <f aca="false">IF($E246="","",IF(OR($K246="",$J246=""),0,IF($K246&lt;=$J246,1,0)))</f>
        <v>0</v>
      </c>
      <c r="T246" s="31" t="n">
        <f aca="false">IF($E246="","",IF(OR($K246="",$R246=""),0,IF($K246&lt;=$R246,1,0)))</f>
        <v>0</v>
      </c>
      <c r="U246" s="38" t="str">
        <f aca="false">IF(OR($K246="",$J246=""),"",MAX(0,$K246-$J246))</f>
        <v/>
      </c>
      <c r="V246" s="31" t="n">
        <f aca="false">IF($E246="","",IF(AND($M246&lt;&gt;"",$J246&lt;&gt;"",$M246&lt;&gt;$J246),1,0))</f>
        <v>0</v>
      </c>
      <c r="W246" s="39" t="n">
        <f aca="false">IF($E246="","",IF($L246="Cancelada",0,IF(OR($K246&lt;&gt;"",$L246="Concluída"),1,0)))</f>
        <v>0</v>
      </c>
    </row>
    <row r="247" customFormat="false" ht="15" hidden="false" customHeight="true" outlineLevel="0" collapsed="false">
      <c r="A247" s="31" t="n">
        <f aca="false">IF($E247="","",COUNTA($E$5:$E247))</f>
        <v>243</v>
      </c>
      <c r="B247" s="32"/>
      <c r="C247" s="32" t="s">
        <v>131</v>
      </c>
      <c r="D247" s="32" t="s">
        <v>463</v>
      </c>
      <c r="E247" s="32" t="s">
        <v>463</v>
      </c>
      <c r="F247" s="33" t="s">
        <v>62</v>
      </c>
      <c r="G247" s="32"/>
      <c r="H247" s="34"/>
      <c r="I247" s="35"/>
      <c r="J247" s="36" t="str">
        <f aca="false">IF(OR($H247="",$I247=""),"",$H247+MATCH($I247,Listas!$F$5:$F$11,0)-1)</f>
        <v/>
      </c>
      <c r="K247" s="37"/>
      <c r="L247" s="33"/>
      <c r="M247" s="37"/>
      <c r="N247" s="32"/>
      <c r="O247" s="32" t="s">
        <v>457</v>
      </c>
      <c r="P247" s="38" t="str">
        <f aca="true">IF($E247="","",IF($L247="Cancelada","Cancelada",IF(OR($K247&lt;&gt;"",$L247="Concluída"),IF(OR($J247="",$K247="",$K247&lt;=$J247),"Concluída","Concluída com atraso"),IF($J247="","Na carteira",IF($J247&lt;TODAY(),"VENCIDA",IF($L247="Em execução","Em execução",IF($J247=TODAY(),"Hoje","Programada")))))))</f>
        <v>Na carteira</v>
      </c>
      <c r="Q247" s="31" t="str">
        <f aca="false">IF($E247="","",IF(ISNUMBER(SEARCH("(externo)",$G247)),"Terceirizada","Interna"))</f>
        <v>Interna</v>
      </c>
      <c r="R247" s="36" t="str">
        <f aca="false">IF($J247="","",IF($M247="",$J247,$M247))</f>
        <v/>
      </c>
      <c r="S247" s="31" t="n">
        <f aca="false">IF($E247="","",IF(OR($K247="",$J247=""),0,IF($K247&lt;=$J247,1,0)))</f>
        <v>0</v>
      </c>
      <c r="T247" s="31" t="n">
        <f aca="false">IF($E247="","",IF(OR($K247="",$R247=""),0,IF($K247&lt;=$R247,1,0)))</f>
        <v>0</v>
      </c>
      <c r="U247" s="38" t="str">
        <f aca="false">IF(OR($K247="",$J247=""),"",MAX(0,$K247-$J247))</f>
        <v/>
      </c>
      <c r="V247" s="31" t="n">
        <f aca="false">IF($E247="","",IF(AND($M247&lt;&gt;"",$J247&lt;&gt;"",$M247&lt;&gt;$J247),1,0))</f>
        <v>0</v>
      </c>
      <c r="W247" s="39" t="n">
        <f aca="false">IF($E247="","",IF($L247="Cancelada",0,IF(OR($K247&lt;&gt;"",$L247="Concluída"),1,0)))</f>
        <v>0</v>
      </c>
    </row>
    <row r="248" customFormat="false" ht="15" hidden="false" customHeight="true" outlineLevel="0" collapsed="false">
      <c r="A248" s="31" t="n">
        <f aca="false">IF($E248="","",COUNTA($E$5:$E248))</f>
        <v>244</v>
      </c>
      <c r="B248" s="32"/>
      <c r="C248" s="32" t="s">
        <v>132</v>
      </c>
      <c r="D248" s="32" t="s">
        <v>464</v>
      </c>
      <c r="E248" s="32" t="s">
        <v>464</v>
      </c>
      <c r="F248" s="33" t="s">
        <v>62</v>
      </c>
      <c r="G248" s="32"/>
      <c r="H248" s="34"/>
      <c r="I248" s="35"/>
      <c r="J248" s="36" t="str">
        <f aca="false">IF(OR($H248="",$I248=""),"",$H248+MATCH($I248,Listas!$F$5:$F$11,0)-1)</f>
        <v/>
      </c>
      <c r="K248" s="37"/>
      <c r="L248" s="33"/>
      <c r="M248" s="37"/>
      <c r="N248" s="32"/>
      <c r="O248" s="32" t="s">
        <v>429</v>
      </c>
      <c r="P248" s="38" t="str">
        <f aca="true">IF($E248="","",IF($L248="Cancelada","Cancelada",IF(OR($K248&lt;&gt;"",$L248="Concluída"),IF(OR($J248="",$K248="",$K248&lt;=$J248),"Concluída","Concluída com atraso"),IF($J248="","Na carteira",IF($J248&lt;TODAY(),"VENCIDA",IF($L248="Em execução","Em execução",IF($J248=TODAY(),"Hoje","Programada")))))))</f>
        <v>Na carteira</v>
      </c>
      <c r="Q248" s="31" t="str">
        <f aca="false">IF($E248="","",IF(ISNUMBER(SEARCH("(externo)",$G248)),"Terceirizada","Interna"))</f>
        <v>Interna</v>
      </c>
      <c r="R248" s="36" t="str">
        <f aca="false">IF($J248="","",IF($M248="",$J248,$M248))</f>
        <v/>
      </c>
      <c r="S248" s="31" t="n">
        <f aca="false">IF($E248="","",IF(OR($K248="",$J248=""),0,IF($K248&lt;=$J248,1,0)))</f>
        <v>0</v>
      </c>
      <c r="T248" s="31" t="n">
        <f aca="false">IF($E248="","",IF(OR($K248="",$R248=""),0,IF($K248&lt;=$R248,1,0)))</f>
        <v>0</v>
      </c>
      <c r="U248" s="38" t="str">
        <f aca="false">IF(OR($K248="",$J248=""),"",MAX(0,$K248-$J248))</f>
        <v/>
      </c>
      <c r="V248" s="31" t="n">
        <f aca="false">IF($E248="","",IF(AND($M248&lt;&gt;"",$J248&lt;&gt;"",$M248&lt;&gt;$J248),1,0))</f>
        <v>0</v>
      </c>
      <c r="W248" s="39" t="n">
        <f aca="false">IF($E248="","",IF($L248="Cancelada",0,IF(OR($K248&lt;&gt;"",$L248="Concluída"),1,0)))</f>
        <v>0</v>
      </c>
    </row>
    <row r="249" customFormat="false" ht="15" hidden="false" customHeight="true" outlineLevel="0" collapsed="false">
      <c r="A249" s="31" t="n">
        <f aca="false">IF($E249="","",COUNTA($E$5:$E249))</f>
        <v>245</v>
      </c>
      <c r="B249" s="32"/>
      <c r="C249" s="32" t="s">
        <v>134</v>
      </c>
      <c r="D249" s="32" t="s">
        <v>465</v>
      </c>
      <c r="E249" s="32" t="s">
        <v>465</v>
      </c>
      <c r="F249" s="33" t="s">
        <v>62</v>
      </c>
      <c r="G249" s="32"/>
      <c r="H249" s="34"/>
      <c r="I249" s="35"/>
      <c r="J249" s="36" t="str">
        <f aca="false">IF(OR($H249="",$I249=""),"",$H249+MATCH($I249,Listas!$F$5:$F$11,0)-1)</f>
        <v/>
      </c>
      <c r="K249" s="37"/>
      <c r="L249" s="33"/>
      <c r="M249" s="37"/>
      <c r="N249" s="32"/>
      <c r="O249" s="32" t="s">
        <v>457</v>
      </c>
      <c r="P249" s="38" t="str">
        <f aca="true">IF($E249="","",IF($L249="Cancelada","Cancelada",IF(OR($K249&lt;&gt;"",$L249="Concluída"),IF(OR($J249="",$K249="",$K249&lt;=$J249),"Concluída","Concluída com atraso"),IF($J249="","Na carteira",IF($J249&lt;TODAY(),"VENCIDA",IF($L249="Em execução","Em execução",IF($J249=TODAY(),"Hoje","Programada")))))))</f>
        <v>Na carteira</v>
      </c>
      <c r="Q249" s="31" t="str">
        <f aca="false">IF($E249="","",IF(ISNUMBER(SEARCH("(externo)",$G249)),"Terceirizada","Interna"))</f>
        <v>Interna</v>
      </c>
      <c r="R249" s="36" t="str">
        <f aca="false">IF($J249="","",IF($M249="",$J249,$M249))</f>
        <v/>
      </c>
      <c r="S249" s="31" t="n">
        <f aca="false">IF($E249="","",IF(OR($K249="",$J249=""),0,IF($K249&lt;=$J249,1,0)))</f>
        <v>0</v>
      </c>
      <c r="T249" s="31" t="n">
        <f aca="false">IF($E249="","",IF(OR($K249="",$R249=""),0,IF($K249&lt;=$R249,1,0)))</f>
        <v>0</v>
      </c>
      <c r="U249" s="38" t="str">
        <f aca="false">IF(OR($K249="",$J249=""),"",MAX(0,$K249-$J249))</f>
        <v/>
      </c>
      <c r="V249" s="31" t="n">
        <f aca="false">IF($E249="","",IF(AND($M249&lt;&gt;"",$J249&lt;&gt;"",$M249&lt;&gt;$J249),1,0))</f>
        <v>0</v>
      </c>
      <c r="W249" s="39" t="n">
        <f aca="false">IF($E249="","",IF($L249="Cancelada",0,IF(OR($K249&lt;&gt;"",$L249="Concluída"),1,0)))</f>
        <v>0</v>
      </c>
    </row>
    <row r="250" customFormat="false" ht="15" hidden="false" customHeight="true" outlineLevel="0" collapsed="false">
      <c r="A250" s="31" t="n">
        <f aca="false">IF($E250="","",COUNTA($E$5:$E250))</f>
        <v>246</v>
      </c>
      <c r="B250" s="32"/>
      <c r="C250" s="32" t="s">
        <v>136</v>
      </c>
      <c r="D250" s="32" t="s">
        <v>466</v>
      </c>
      <c r="E250" s="32" t="s">
        <v>466</v>
      </c>
      <c r="F250" s="33" t="s">
        <v>62</v>
      </c>
      <c r="G250" s="32"/>
      <c r="H250" s="34"/>
      <c r="I250" s="35"/>
      <c r="J250" s="36" t="str">
        <f aca="false">IF(OR($H250="",$I250=""),"",$H250+MATCH($I250,Listas!$F$5:$F$11,0)-1)</f>
        <v/>
      </c>
      <c r="K250" s="37"/>
      <c r="L250" s="33"/>
      <c r="M250" s="37"/>
      <c r="N250" s="32"/>
      <c r="O250" s="32" t="s">
        <v>431</v>
      </c>
      <c r="P250" s="38" t="str">
        <f aca="true">IF($E250="","",IF($L250="Cancelada","Cancelada",IF(OR($K250&lt;&gt;"",$L250="Concluída"),IF(OR($J250="",$K250="",$K250&lt;=$J250),"Concluída","Concluída com atraso"),IF($J250="","Na carteira",IF($J250&lt;TODAY(),"VENCIDA",IF($L250="Em execução","Em execução",IF($J250=TODAY(),"Hoje","Programada")))))))</f>
        <v>Na carteira</v>
      </c>
      <c r="Q250" s="31" t="str">
        <f aca="false">IF($E250="","",IF(ISNUMBER(SEARCH("(externo)",$G250)),"Terceirizada","Interna"))</f>
        <v>Interna</v>
      </c>
      <c r="R250" s="36" t="str">
        <f aca="false">IF($J250="","",IF($M250="",$J250,$M250))</f>
        <v/>
      </c>
      <c r="S250" s="31" t="n">
        <f aca="false">IF($E250="","",IF(OR($K250="",$J250=""),0,IF($K250&lt;=$J250,1,0)))</f>
        <v>0</v>
      </c>
      <c r="T250" s="31" t="n">
        <f aca="false">IF($E250="","",IF(OR($K250="",$R250=""),0,IF($K250&lt;=$R250,1,0)))</f>
        <v>0</v>
      </c>
      <c r="U250" s="38" t="str">
        <f aca="false">IF(OR($K250="",$J250=""),"",MAX(0,$K250-$J250))</f>
        <v/>
      </c>
      <c r="V250" s="31" t="n">
        <f aca="false">IF($E250="","",IF(AND($M250&lt;&gt;"",$J250&lt;&gt;"",$M250&lt;&gt;$J250),1,0))</f>
        <v>0</v>
      </c>
      <c r="W250" s="39" t="n">
        <f aca="false">IF($E250="","",IF($L250="Cancelada",0,IF(OR($K250&lt;&gt;"",$L250="Concluída"),1,0)))</f>
        <v>0</v>
      </c>
    </row>
    <row r="251" customFormat="false" ht="15" hidden="false" customHeight="true" outlineLevel="0" collapsed="false">
      <c r="A251" s="31" t="n">
        <f aca="false">IF($E251="","",COUNTA($E$5:$E251))</f>
        <v>247</v>
      </c>
      <c r="B251" s="32"/>
      <c r="C251" s="32" t="s">
        <v>137</v>
      </c>
      <c r="D251" s="32" t="s">
        <v>467</v>
      </c>
      <c r="E251" s="32" t="s">
        <v>467</v>
      </c>
      <c r="F251" s="33" t="s">
        <v>62</v>
      </c>
      <c r="G251" s="32"/>
      <c r="H251" s="34"/>
      <c r="I251" s="35"/>
      <c r="J251" s="36" t="str">
        <f aca="false">IF(OR($H251="",$I251=""),"",$H251+MATCH($I251,Listas!$F$5:$F$11,0)-1)</f>
        <v/>
      </c>
      <c r="K251" s="37"/>
      <c r="L251" s="33"/>
      <c r="M251" s="37"/>
      <c r="N251" s="32"/>
      <c r="O251" s="32" t="s">
        <v>461</v>
      </c>
      <c r="P251" s="38" t="str">
        <f aca="true">IF($E251="","",IF($L251="Cancelada","Cancelada",IF(OR($K251&lt;&gt;"",$L251="Concluída"),IF(OR($J251="",$K251="",$K251&lt;=$J251),"Concluída","Concluída com atraso"),IF($J251="","Na carteira",IF($J251&lt;TODAY(),"VENCIDA",IF($L251="Em execução","Em execução",IF($J251=TODAY(),"Hoje","Programada")))))))</f>
        <v>Na carteira</v>
      </c>
      <c r="Q251" s="31" t="str">
        <f aca="false">IF($E251="","",IF(ISNUMBER(SEARCH("(externo)",$G251)),"Terceirizada","Interna"))</f>
        <v>Interna</v>
      </c>
      <c r="R251" s="36" t="str">
        <f aca="false">IF($J251="","",IF($M251="",$J251,$M251))</f>
        <v/>
      </c>
      <c r="S251" s="31" t="n">
        <f aca="false">IF($E251="","",IF(OR($K251="",$J251=""),0,IF($K251&lt;=$J251,1,0)))</f>
        <v>0</v>
      </c>
      <c r="T251" s="31" t="n">
        <f aca="false">IF($E251="","",IF(OR($K251="",$R251=""),0,IF($K251&lt;=$R251,1,0)))</f>
        <v>0</v>
      </c>
      <c r="U251" s="38" t="str">
        <f aca="false">IF(OR($K251="",$J251=""),"",MAX(0,$K251-$J251))</f>
        <v/>
      </c>
      <c r="V251" s="31" t="n">
        <f aca="false">IF($E251="","",IF(AND($M251&lt;&gt;"",$J251&lt;&gt;"",$M251&lt;&gt;$J251),1,0))</f>
        <v>0</v>
      </c>
      <c r="W251" s="39" t="n">
        <f aca="false">IF($E251="","",IF($L251="Cancelada",0,IF(OR($K251&lt;&gt;"",$L251="Concluída"),1,0)))</f>
        <v>0</v>
      </c>
    </row>
    <row r="252" customFormat="false" ht="15" hidden="false" customHeight="true" outlineLevel="0" collapsed="false">
      <c r="A252" s="31" t="n">
        <f aca="false">IF($E252="","",COUNTA($E$5:$E252))</f>
        <v>248</v>
      </c>
      <c r="B252" s="32"/>
      <c r="C252" s="32" t="s">
        <v>139</v>
      </c>
      <c r="D252" s="32" t="s">
        <v>468</v>
      </c>
      <c r="E252" s="32" t="s">
        <v>468</v>
      </c>
      <c r="F252" s="33" t="s">
        <v>62</v>
      </c>
      <c r="G252" s="32"/>
      <c r="H252" s="34"/>
      <c r="I252" s="35"/>
      <c r="J252" s="36" t="str">
        <f aca="false">IF(OR($H252="",$I252=""),"",$H252+MATCH($I252,Listas!$F$5:$F$11,0)-1)</f>
        <v/>
      </c>
      <c r="K252" s="37"/>
      <c r="L252" s="33"/>
      <c r="M252" s="37"/>
      <c r="N252" s="32"/>
      <c r="O252" s="32" t="s">
        <v>454</v>
      </c>
      <c r="P252" s="38" t="str">
        <f aca="true">IF($E252="","",IF($L252="Cancelada","Cancelada",IF(OR($K252&lt;&gt;"",$L252="Concluída"),IF(OR($J252="",$K252="",$K252&lt;=$J252),"Concluída","Concluída com atraso"),IF($J252="","Na carteira",IF($J252&lt;TODAY(),"VENCIDA",IF($L252="Em execução","Em execução",IF($J252=TODAY(),"Hoje","Programada")))))))</f>
        <v>Na carteira</v>
      </c>
      <c r="Q252" s="31" t="str">
        <f aca="false">IF($E252="","",IF(ISNUMBER(SEARCH("(externo)",$G252)),"Terceirizada","Interna"))</f>
        <v>Interna</v>
      </c>
      <c r="R252" s="36" t="str">
        <f aca="false">IF($J252="","",IF($M252="",$J252,$M252))</f>
        <v/>
      </c>
      <c r="S252" s="31" t="n">
        <f aca="false">IF($E252="","",IF(OR($K252="",$J252=""),0,IF($K252&lt;=$J252,1,0)))</f>
        <v>0</v>
      </c>
      <c r="T252" s="31" t="n">
        <f aca="false">IF($E252="","",IF(OR($K252="",$R252=""),0,IF($K252&lt;=$R252,1,0)))</f>
        <v>0</v>
      </c>
      <c r="U252" s="38" t="str">
        <f aca="false">IF(OR($K252="",$J252=""),"",MAX(0,$K252-$J252))</f>
        <v/>
      </c>
      <c r="V252" s="31" t="n">
        <f aca="false">IF($E252="","",IF(AND($M252&lt;&gt;"",$J252&lt;&gt;"",$M252&lt;&gt;$J252),1,0))</f>
        <v>0</v>
      </c>
      <c r="W252" s="39" t="n">
        <f aca="false">IF($E252="","",IF($L252="Cancelada",0,IF(OR($K252&lt;&gt;"",$L252="Concluída"),1,0)))</f>
        <v>0</v>
      </c>
    </row>
    <row r="253" customFormat="false" ht="15" hidden="false" customHeight="true" outlineLevel="0" collapsed="false">
      <c r="A253" s="31" t="n">
        <f aca="false">IF($E253="","",COUNTA($E$5:$E253))</f>
        <v>249</v>
      </c>
      <c r="B253" s="32"/>
      <c r="C253" s="32" t="s">
        <v>140</v>
      </c>
      <c r="D253" s="32" t="s">
        <v>469</v>
      </c>
      <c r="E253" s="32" t="s">
        <v>469</v>
      </c>
      <c r="F253" s="33" t="s">
        <v>62</v>
      </c>
      <c r="G253" s="32"/>
      <c r="H253" s="34"/>
      <c r="I253" s="35"/>
      <c r="J253" s="36" t="str">
        <f aca="false">IF(OR($H253="",$I253=""),"",$H253+MATCH($I253,Listas!$F$5:$F$11,0)-1)</f>
        <v/>
      </c>
      <c r="K253" s="37"/>
      <c r="L253" s="33"/>
      <c r="M253" s="37"/>
      <c r="N253" s="32"/>
      <c r="O253" s="32" t="s">
        <v>470</v>
      </c>
      <c r="P253" s="38" t="str">
        <f aca="true">IF($E253="","",IF($L253="Cancelada","Cancelada",IF(OR($K253&lt;&gt;"",$L253="Concluída"),IF(OR($J253="",$K253="",$K253&lt;=$J253),"Concluída","Concluída com atraso"),IF($J253="","Na carteira",IF($J253&lt;TODAY(),"VENCIDA",IF($L253="Em execução","Em execução",IF($J253=TODAY(),"Hoje","Programada")))))))</f>
        <v>Na carteira</v>
      </c>
      <c r="Q253" s="31" t="str">
        <f aca="false">IF($E253="","",IF(ISNUMBER(SEARCH("(externo)",$G253)),"Terceirizada","Interna"))</f>
        <v>Interna</v>
      </c>
      <c r="R253" s="36" t="str">
        <f aca="false">IF($J253="","",IF($M253="",$J253,$M253))</f>
        <v/>
      </c>
      <c r="S253" s="31" t="n">
        <f aca="false">IF($E253="","",IF(OR($K253="",$J253=""),0,IF($K253&lt;=$J253,1,0)))</f>
        <v>0</v>
      </c>
      <c r="T253" s="31" t="n">
        <f aca="false">IF($E253="","",IF(OR($K253="",$R253=""),0,IF($K253&lt;=$R253,1,0)))</f>
        <v>0</v>
      </c>
      <c r="U253" s="38" t="str">
        <f aca="false">IF(OR($K253="",$J253=""),"",MAX(0,$K253-$J253))</f>
        <v/>
      </c>
      <c r="V253" s="31" t="n">
        <f aca="false">IF($E253="","",IF(AND($M253&lt;&gt;"",$J253&lt;&gt;"",$M253&lt;&gt;$J253),1,0))</f>
        <v>0</v>
      </c>
      <c r="W253" s="39" t="n">
        <f aca="false">IF($E253="","",IF($L253="Cancelada",0,IF(OR($K253&lt;&gt;"",$L253="Concluída"),1,0)))</f>
        <v>0</v>
      </c>
    </row>
    <row r="254" customFormat="false" ht="15" hidden="false" customHeight="true" outlineLevel="0" collapsed="false">
      <c r="A254" s="31" t="n">
        <f aca="false">IF($E254="","",COUNTA($E$5:$E254))</f>
        <v>250</v>
      </c>
      <c r="B254" s="32"/>
      <c r="C254" s="32" t="s">
        <v>141</v>
      </c>
      <c r="D254" s="32" t="s">
        <v>471</v>
      </c>
      <c r="E254" s="32" t="s">
        <v>471</v>
      </c>
      <c r="F254" s="33" t="s">
        <v>62</v>
      </c>
      <c r="G254" s="32"/>
      <c r="H254" s="34"/>
      <c r="I254" s="35"/>
      <c r="J254" s="36" t="str">
        <f aca="false">IF(OR($H254="",$I254=""),"",$H254+MATCH($I254,Listas!$F$5:$F$11,0)-1)</f>
        <v/>
      </c>
      <c r="K254" s="37"/>
      <c r="L254" s="33"/>
      <c r="M254" s="37"/>
      <c r="N254" s="32"/>
      <c r="O254" s="32" t="s">
        <v>427</v>
      </c>
      <c r="P254" s="38" t="str">
        <f aca="true">IF($E254="","",IF($L254="Cancelada","Cancelada",IF(OR($K254&lt;&gt;"",$L254="Concluída"),IF(OR($J254="",$K254="",$K254&lt;=$J254),"Concluída","Concluída com atraso"),IF($J254="","Na carteira",IF($J254&lt;TODAY(),"VENCIDA",IF($L254="Em execução","Em execução",IF($J254=TODAY(),"Hoje","Programada")))))))</f>
        <v>Na carteira</v>
      </c>
      <c r="Q254" s="31" t="str">
        <f aca="false">IF($E254="","",IF(ISNUMBER(SEARCH("(externo)",$G254)),"Terceirizada","Interna"))</f>
        <v>Interna</v>
      </c>
      <c r="R254" s="36" t="str">
        <f aca="false">IF($J254="","",IF($M254="",$J254,$M254))</f>
        <v/>
      </c>
      <c r="S254" s="31" t="n">
        <f aca="false">IF($E254="","",IF(OR($K254="",$J254=""),0,IF($K254&lt;=$J254,1,0)))</f>
        <v>0</v>
      </c>
      <c r="T254" s="31" t="n">
        <f aca="false">IF($E254="","",IF(OR($K254="",$R254=""),0,IF($K254&lt;=$R254,1,0)))</f>
        <v>0</v>
      </c>
      <c r="U254" s="38" t="str">
        <f aca="false">IF(OR($K254="",$J254=""),"",MAX(0,$K254-$J254))</f>
        <v/>
      </c>
      <c r="V254" s="31" t="n">
        <f aca="false">IF($E254="","",IF(AND($M254&lt;&gt;"",$J254&lt;&gt;"",$M254&lt;&gt;$J254),1,0))</f>
        <v>0</v>
      </c>
      <c r="W254" s="39" t="n">
        <f aca="false">IF($E254="","",IF($L254="Cancelada",0,IF(OR($K254&lt;&gt;"",$L254="Concluída"),1,0)))</f>
        <v>0</v>
      </c>
    </row>
    <row r="255" customFormat="false" ht="15" hidden="false" customHeight="true" outlineLevel="0" collapsed="false">
      <c r="A255" s="31" t="n">
        <f aca="false">IF($E255="","",COUNTA($E$5:$E255))</f>
        <v>251</v>
      </c>
      <c r="B255" s="32"/>
      <c r="C255" s="32" t="s">
        <v>142</v>
      </c>
      <c r="D255" s="32" t="s">
        <v>472</v>
      </c>
      <c r="E255" s="32" t="s">
        <v>472</v>
      </c>
      <c r="F255" s="33" t="s">
        <v>62</v>
      </c>
      <c r="G255" s="32"/>
      <c r="H255" s="34"/>
      <c r="I255" s="35"/>
      <c r="J255" s="36" t="str">
        <f aca="false">IF(OR($H255="",$I255=""),"",$H255+MATCH($I255,Listas!$F$5:$F$11,0)-1)</f>
        <v/>
      </c>
      <c r="K255" s="37"/>
      <c r="L255" s="33"/>
      <c r="M255" s="37"/>
      <c r="N255" s="32"/>
      <c r="O255" s="32" t="s">
        <v>437</v>
      </c>
      <c r="P255" s="38" t="str">
        <f aca="true">IF($E255="","",IF($L255="Cancelada","Cancelada",IF(OR($K255&lt;&gt;"",$L255="Concluída"),IF(OR($J255="",$K255="",$K255&lt;=$J255),"Concluída","Concluída com atraso"),IF($J255="","Na carteira",IF($J255&lt;TODAY(),"VENCIDA",IF($L255="Em execução","Em execução",IF($J255=TODAY(),"Hoje","Programada")))))))</f>
        <v>Na carteira</v>
      </c>
      <c r="Q255" s="31" t="str">
        <f aca="false">IF($E255="","",IF(ISNUMBER(SEARCH("(externo)",$G255)),"Terceirizada","Interna"))</f>
        <v>Interna</v>
      </c>
      <c r="R255" s="36" t="str">
        <f aca="false">IF($J255="","",IF($M255="",$J255,$M255))</f>
        <v/>
      </c>
      <c r="S255" s="31" t="n">
        <f aca="false">IF($E255="","",IF(OR($K255="",$J255=""),0,IF($K255&lt;=$J255,1,0)))</f>
        <v>0</v>
      </c>
      <c r="T255" s="31" t="n">
        <f aca="false">IF($E255="","",IF(OR($K255="",$R255=""),0,IF($K255&lt;=$R255,1,0)))</f>
        <v>0</v>
      </c>
      <c r="U255" s="38" t="str">
        <f aca="false">IF(OR($K255="",$J255=""),"",MAX(0,$K255-$J255))</f>
        <v/>
      </c>
      <c r="V255" s="31" t="n">
        <f aca="false">IF($E255="","",IF(AND($M255&lt;&gt;"",$J255&lt;&gt;"",$M255&lt;&gt;$J255),1,0))</f>
        <v>0</v>
      </c>
      <c r="W255" s="39" t="n">
        <f aca="false">IF($E255="","",IF($L255="Cancelada",0,IF(OR($K255&lt;&gt;"",$L255="Concluída"),1,0)))</f>
        <v>0</v>
      </c>
    </row>
    <row r="256" customFormat="false" ht="15" hidden="false" customHeight="true" outlineLevel="0" collapsed="false">
      <c r="A256" s="31" t="n">
        <f aca="false">IF($E256="","",COUNTA($E$5:$E256))</f>
        <v>252</v>
      </c>
      <c r="B256" s="32"/>
      <c r="C256" s="32" t="s">
        <v>144</v>
      </c>
      <c r="D256" s="32" t="s">
        <v>473</v>
      </c>
      <c r="E256" s="32" t="s">
        <v>473</v>
      </c>
      <c r="F256" s="33" t="s">
        <v>62</v>
      </c>
      <c r="G256" s="32"/>
      <c r="H256" s="34"/>
      <c r="I256" s="35"/>
      <c r="J256" s="36" t="str">
        <f aca="false">IF(OR($H256="",$I256=""),"",$H256+MATCH($I256,Listas!$F$5:$F$11,0)-1)</f>
        <v/>
      </c>
      <c r="K256" s="37"/>
      <c r="L256" s="33"/>
      <c r="M256" s="37"/>
      <c r="N256" s="32"/>
      <c r="O256" s="32" t="s">
        <v>437</v>
      </c>
      <c r="P256" s="38" t="str">
        <f aca="true">IF($E256="","",IF($L256="Cancelada","Cancelada",IF(OR($K256&lt;&gt;"",$L256="Concluída"),IF(OR($J256="",$K256="",$K256&lt;=$J256),"Concluída","Concluída com atraso"),IF($J256="","Na carteira",IF($J256&lt;TODAY(),"VENCIDA",IF($L256="Em execução","Em execução",IF($J256=TODAY(),"Hoje","Programada")))))))</f>
        <v>Na carteira</v>
      </c>
      <c r="Q256" s="31" t="str">
        <f aca="false">IF($E256="","",IF(ISNUMBER(SEARCH("(externo)",$G256)),"Terceirizada","Interna"))</f>
        <v>Interna</v>
      </c>
      <c r="R256" s="36" t="str">
        <f aca="false">IF($J256="","",IF($M256="",$J256,$M256))</f>
        <v/>
      </c>
      <c r="S256" s="31" t="n">
        <f aca="false">IF($E256="","",IF(OR($K256="",$J256=""),0,IF($K256&lt;=$J256,1,0)))</f>
        <v>0</v>
      </c>
      <c r="T256" s="31" t="n">
        <f aca="false">IF($E256="","",IF(OR($K256="",$R256=""),0,IF($K256&lt;=$R256,1,0)))</f>
        <v>0</v>
      </c>
      <c r="U256" s="38" t="str">
        <f aca="false">IF(OR($K256="",$J256=""),"",MAX(0,$K256-$J256))</f>
        <v/>
      </c>
      <c r="V256" s="31" t="n">
        <f aca="false">IF($E256="","",IF(AND($M256&lt;&gt;"",$J256&lt;&gt;"",$M256&lt;&gt;$J256),1,0))</f>
        <v>0</v>
      </c>
      <c r="W256" s="39" t="n">
        <f aca="false">IF($E256="","",IF($L256="Cancelada",0,IF(OR($K256&lt;&gt;"",$L256="Concluída"),1,0)))</f>
        <v>0</v>
      </c>
    </row>
    <row r="257" customFormat="false" ht="15" hidden="false" customHeight="true" outlineLevel="0" collapsed="false">
      <c r="A257" s="31" t="n">
        <f aca="false">IF($E257="","",COUNTA($E$5:$E257))</f>
        <v>253</v>
      </c>
      <c r="B257" s="32"/>
      <c r="C257" s="32" t="s">
        <v>147</v>
      </c>
      <c r="D257" s="32" t="s">
        <v>474</v>
      </c>
      <c r="E257" s="32" t="s">
        <v>474</v>
      </c>
      <c r="F257" s="33" t="s">
        <v>62</v>
      </c>
      <c r="G257" s="32"/>
      <c r="H257" s="34"/>
      <c r="I257" s="35"/>
      <c r="J257" s="36" t="str">
        <f aca="false">IF(OR($H257="",$I257=""),"",$H257+MATCH($I257,Listas!$F$5:$F$11,0)-1)</f>
        <v/>
      </c>
      <c r="K257" s="37"/>
      <c r="L257" s="33"/>
      <c r="M257" s="37"/>
      <c r="N257" s="32"/>
      <c r="O257" s="32" t="s">
        <v>461</v>
      </c>
      <c r="P257" s="38" t="str">
        <f aca="true">IF($E257="","",IF($L257="Cancelada","Cancelada",IF(OR($K257&lt;&gt;"",$L257="Concluída"),IF(OR($J257="",$K257="",$K257&lt;=$J257),"Concluída","Concluída com atraso"),IF($J257="","Na carteira",IF($J257&lt;TODAY(),"VENCIDA",IF($L257="Em execução","Em execução",IF($J257=TODAY(),"Hoje","Programada")))))))</f>
        <v>Na carteira</v>
      </c>
      <c r="Q257" s="31" t="str">
        <f aca="false">IF($E257="","",IF(ISNUMBER(SEARCH("(externo)",$G257)),"Terceirizada","Interna"))</f>
        <v>Interna</v>
      </c>
      <c r="R257" s="36" t="str">
        <f aca="false">IF($J257="","",IF($M257="",$J257,$M257))</f>
        <v/>
      </c>
      <c r="S257" s="31" t="n">
        <f aca="false">IF($E257="","",IF(OR($K257="",$J257=""),0,IF($K257&lt;=$J257,1,0)))</f>
        <v>0</v>
      </c>
      <c r="T257" s="31" t="n">
        <f aca="false">IF($E257="","",IF(OR($K257="",$R257=""),0,IF($K257&lt;=$R257,1,0)))</f>
        <v>0</v>
      </c>
      <c r="U257" s="38" t="str">
        <f aca="false">IF(OR($K257="",$J257=""),"",MAX(0,$K257-$J257))</f>
        <v/>
      </c>
      <c r="V257" s="31" t="n">
        <f aca="false">IF($E257="","",IF(AND($M257&lt;&gt;"",$J257&lt;&gt;"",$M257&lt;&gt;$J257),1,0))</f>
        <v>0</v>
      </c>
      <c r="W257" s="39" t="n">
        <f aca="false">IF($E257="","",IF($L257="Cancelada",0,IF(OR($K257&lt;&gt;"",$L257="Concluída"),1,0)))</f>
        <v>0</v>
      </c>
    </row>
    <row r="258" customFormat="false" ht="15" hidden="false" customHeight="true" outlineLevel="0" collapsed="false">
      <c r="A258" s="31" t="n">
        <f aca="false">IF($E258="","",COUNTA($E$5:$E258))</f>
        <v>254</v>
      </c>
      <c r="B258" s="32"/>
      <c r="C258" s="32" t="s">
        <v>148</v>
      </c>
      <c r="D258" s="32" t="s">
        <v>475</v>
      </c>
      <c r="E258" s="32" t="s">
        <v>475</v>
      </c>
      <c r="F258" s="33" t="s">
        <v>62</v>
      </c>
      <c r="G258" s="32"/>
      <c r="H258" s="34"/>
      <c r="I258" s="35"/>
      <c r="J258" s="36" t="str">
        <f aca="false">IF(OR($H258="",$I258=""),"",$H258+MATCH($I258,Listas!$F$5:$F$11,0)-1)</f>
        <v/>
      </c>
      <c r="K258" s="37"/>
      <c r="L258" s="33"/>
      <c r="M258" s="37"/>
      <c r="N258" s="32"/>
      <c r="O258" s="32" t="s">
        <v>441</v>
      </c>
      <c r="P258" s="38" t="str">
        <f aca="true">IF($E258="","",IF($L258="Cancelada","Cancelada",IF(OR($K258&lt;&gt;"",$L258="Concluída"),IF(OR($J258="",$K258="",$K258&lt;=$J258),"Concluída","Concluída com atraso"),IF($J258="","Na carteira",IF($J258&lt;TODAY(),"VENCIDA",IF($L258="Em execução","Em execução",IF($J258=TODAY(),"Hoje","Programada")))))))</f>
        <v>Na carteira</v>
      </c>
      <c r="Q258" s="31" t="str">
        <f aca="false">IF($E258="","",IF(ISNUMBER(SEARCH("(externo)",$G258)),"Terceirizada","Interna"))</f>
        <v>Interna</v>
      </c>
      <c r="R258" s="36" t="str">
        <f aca="false">IF($J258="","",IF($M258="",$J258,$M258))</f>
        <v/>
      </c>
      <c r="S258" s="31" t="n">
        <f aca="false">IF($E258="","",IF(OR($K258="",$J258=""),0,IF($K258&lt;=$J258,1,0)))</f>
        <v>0</v>
      </c>
      <c r="T258" s="31" t="n">
        <f aca="false">IF($E258="","",IF(OR($K258="",$R258=""),0,IF($K258&lt;=$R258,1,0)))</f>
        <v>0</v>
      </c>
      <c r="U258" s="38" t="str">
        <f aca="false">IF(OR($K258="",$J258=""),"",MAX(0,$K258-$J258))</f>
        <v/>
      </c>
      <c r="V258" s="31" t="n">
        <f aca="false">IF($E258="","",IF(AND($M258&lt;&gt;"",$J258&lt;&gt;"",$M258&lt;&gt;$J258),1,0))</f>
        <v>0</v>
      </c>
      <c r="W258" s="39" t="n">
        <f aca="false">IF($E258="","",IF($L258="Cancelada",0,IF(OR($K258&lt;&gt;"",$L258="Concluída"),1,0)))</f>
        <v>0</v>
      </c>
    </row>
    <row r="259" customFormat="false" ht="15" hidden="false" customHeight="true" outlineLevel="0" collapsed="false">
      <c r="A259" s="31" t="n">
        <f aca="false">IF($E259="","",COUNTA($E$5:$E259))</f>
        <v>255</v>
      </c>
      <c r="B259" s="32"/>
      <c r="C259" s="32" t="s">
        <v>149</v>
      </c>
      <c r="D259" s="32" t="s">
        <v>476</v>
      </c>
      <c r="E259" s="32" t="s">
        <v>476</v>
      </c>
      <c r="F259" s="33" t="s">
        <v>62</v>
      </c>
      <c r="G259" s="32"/>
      <c r="H259" s="34"/>
      <c r="I259" s="35"/>
      <c r="J259" s="36" t="str">
        <f aca="false">IF(OR($H259="",$I259=""),"",$H259+MATCH($I259,Listas!$F$5:$F$11,0)-1)</f>
        <v/>
      </c>
      <c r="K259" s="37"/>
      <c r="L259" s="33"/>
      <c r="M259" s="37"/>
      <c r="N259" s="32"/>
      <c r="O259" s="32" t="s">
        <v>461</v>
      </c>
      <c r="P259" s="38" t="str">
        <f aca="true">IF($E259="","",IF($L259="Cancelada","Cancelada",IF(OR($K259&lt;&gt;"",$L259="Concluída"),IF(OR($J259="",$K259="",$K259&lt;=$J259),"Concluída","Concluída com atraso"),IF($J259="","Na carteira",IF($J259&lt;TODAY(),"VENCIDA",IF($L259="Em execução","Em execução",IF($J259=TODAY(),"Hoje","Programada")))))))</f>
        <v>Na carteira</v>
      </c>
      <c r="Q259" s="31" t="str">
        <f aca="false">IF($E259="","",IF(ISNUMBER(SEARCH("(externo)",$G259)),"Terceirizada","Interna"))</f>
        <v>Interna</v>
      </c>
      <c r="R259" s="36" t="str">
        <f aca="false">IF($J259="","",IF($M259="",$J259,$M259))</f>
        <v/>
      </c>
      <c r="S259" s="31" t="n">
        <f aca="false">IF($E259="","",IF(OR($K259="",$J259=""),0,IF($K259&lt;=$J259,1,0)))</f>
        <v>0</v>
      </c>
      <c r="T259" s="31" t="n">
        <f aca="false">IF($E259="","",IF(OR($K259="",$R259=""),0,IF($K259&lt;=$R259,1,0)))</f>
        <v>0</v>
      </c>
      <c r="U259" s="38" t="str">
        <f aca="false">IF(OR($K259="",$J259=""),"",MAX(0,$K259-$J259))</f>
        <v/>
      </c>
      <c r="V259" s="31" t="n">
        <f aca="false">IF($E259="","",IF(AND($M259&lt;&gt;"",$J259&lt;&gt;"",$M259&lt;&gt;$J259),1,0))</f>
        <v>0</v>
      </c>
      <c r="W259" s="39" t="n">
        <f aca="false">IF($E259="","",IF($L259="Cancelada",0,IF(OR($K259&lt;&gt;"",$L259="Concluída"),1,0)))</f>
        <v>0</v>
      </c>
    </row>
    <row r="260" customFormat="false" ht="15" hidden="false" customHeight="true" outlineLevel="0" collapsed="false">
      <c r="A260" s="31" t="n">
        <f aca="false">IF($E260="","",COUNTA($E$5:$E260))</f>
        <v>256</v>
      </c>
      <c r="B260" s="32"/>
      <c r="C260" s="32" t="s">
        <v>150</v>
      </c>
      <c r="D260" s="32" t="s">
        <v>477</v>
      </c>
      <c r="E260" s="32" t="s">
        <v>477</v>
      </c>
      <c r="F260" s="33" t="s">
        <v>62</v>
      </c>
      <c r="G260" s="32"/>
      <c r="H260" s="34"/>
      <c r="I260" s="35"/>
      <c r="J260" s="36" t="str">
        <f aca="false">IF(OR($H260="",$I260=""),"",$H260+MATCH($I260,Listas!$F$5:$F$11,0)-1)</f>
        <v/>
      </c>
      <c r="K260" s="37"/>
      <c r="L260" s="33"/>
      <c r="M260" s="37"/>
      <c r="N260" s="32"/>
      <c r="O260" s="32" t="s">
        <v>437</v>
      </c>
      <c r="P260" s="38" t="str">
        <f aca="true">IF($E260="","",IF($L260="Cancelada","Cancelada",IF(OR($K260&lt;&gt;"",$L260="Concluída"),IF(OR($J260="",$K260="",$K260&lt;=$J260),"Concluída","Concluída com atraso"),IF($J260="","Na carteira",IF($J260&lt;TODAY(),"VENCIDA",IF($L260="Em execução","Em execução",IF($J260=TODAY(),"Hoje","Programada")))))))</f>
        <v>Na carteira</v>
      </c>
      <c r="Q260" s="31" t="str">
        <f aca="false">IF($E260="","",IF(ISNUMBER(SEARCH("(externo)",$G260)),"Terceirizada","Interna"))</f>
        <v>Interna</v>
      </c>
      <c r="R260" s="36" t="str">
        <f aca="false">IF($J260="","",IF($M260="",$J260,$M260))</f>
        <v/>
      </c>
      <c r="S260" s="31" t="n">
        <f aca="false">IF($E260="","",IF(OR($K260="",$J260=""),0,IF($K260&lt;=$J260,1,0)))</f>
        <v>0</v>
      </c>
      <c r="T260" s="31" t="n">
        <f aca="false">IF($E260="","",IF(OR($K260="",$R260=""),0,IF($K260&lt;=$R260,1,0)))</f>
        <v>0</v>
      </c>
      <c r="U260" s="38" t="str">
        <f aca="false">IF(OR($K260="",$J260=""),"",MAX(0,$K260-$J260))</f>
        <v/>
      </c>
      <c r="V260" s="31" t="n">
        <f aca="false">IF($E260="","",IF(AND($M260&lt;&gt;"",$J260&lt;&gt;"",$M260&lt;&gt;$J260),1,0))</f>
        <v>0</v>
      </c>
      <c r="W260" s="39" t="n">
        <f aca="false">IF($E260="","",IF($L260="Cancelada",0,IF(OR($K260&lt;&gt;"",$L260="Concluída"),1,0)))</f>
        <v>0</v>
      </c>
    </row>
    <row r="261" customFormat="false" ht="15" hidden="false" customHeight="true" outlineLevel="0" collapsed="false">
      <c r="A261" s="31" t="n">
        <f aca="false">IF($E261="","",COUNTA($E$5:$E261))</f>
        <v>257</v>
      </c>
      <c r="B261" s="32"/>
      <c r="C261" s="32" t="s">
        <v>61</v>
      </c>
      <c r="D261" s="32" t="s">
        <v>478</v>
      </c>
      <c r="E261" s="32" t="s">
        <v>478</v>
      </c>
      <c r="F261" s="33" t="s">
        <v>62</v>
      </c>
      <c r="G261" s="32"/>
      <c r="H261" s="34"/>
      <c r="I261" s="35"/>
      <c r="J261" s="36" t="str">
        <f aca="false">IF(OR($H261="",$I261=""),"",$H261+MATCH($I261,Listas!$F$5:$F$11,0)-1)</f>
        <v/>
      </c>
      <c r="K261" s="37"/>
      <c r="L261" s="33"/>
      <c r="M261" s="37"/>
      <c r="N261" s="32"/>
      <c r="O261" s="32" t="s">
        <v>461</v>
      </c>
      <c r="P261" s="38" t="str">
        <f aca="true">IF($E261="","",IF($L261="Cancelada","Cancelada",IF(OR($K261&lt;&gt;"",$L261="Concluída"),IF(OR($J261="",$K261="",$K261&lt;=$J261),"Concluída","Concluída com atraso"),IF($J261="","Na carteira",IF($J261&lt;TODAY(),"VENCIDA",IF($L261="Em execução","Em execução",IF($J261=TODAY(),"Hoje","Programada")))))))</f>
        <v>Na carteira</v>
      </c>
      <c r="Q261" s="31" t="str">
        <f aca="false">IF($E261="","",IF(ISNUMBER(SEARCH("(externo)",$G261)),"Terceirizada","Interna"))</f>
        <v>Interna</v>
      </c>
      <c r="R261" s="36" t="str">
        <f aca="false">IF($J261="","",IF($M261="",$J261,$M261))</f>
        <v/>
      </c>
      <c r="S261" s="31" t="n">
        <f aca="false">IF($E261="","",IF(OR($K261="",$J261=""),0,IF($K261&lt;=$J261,1,0)))</f>
        <v>0</v>
      </c>
      <c r="T261" s="31" t="n">
        <f aca="false">IF($E261="","",IF(OR($K261="",$R261=""),0,IF($K261&lt;=$R261,1,0)))</f>
        <v>0</v>
      </c>
      <c r="U261" s="38" t="str">
        <f aca="false">IF(OR($K261="",$J261=""),"",MAX(0,$K261-$J261))</f>
        <v/>
      </c>
      <c r="V261" s="31" t="n">
        <f aca="false">IF($E261="","",IF(AND($M261&lt;&gt;"",$J261&lt;&gt;"",$M261&lt;&gt;$J261),1,0))</f>
        <v>0</v>
      </c>
      <c r="W261" s="39" t="n">
        <f aca="false">IF($E261="","",IF($L261="Cancelada",0,IF(OR($K261&lt;&gt;"",$L261="Concluída"),1,0)))</f>
        <v>0</v>
      </c>
    </row>
    <row r="262" customFormat="false" ht="15" hidden="false" customHeight="true" outlineLevel="0" collapsed="false">
      <c r="A262" s="31" t="n">
        <f aca="false">IF($E262="","",COUNTA($E$5:$E262))</f>
        <v>258</v>
      </c>
      <c r="B262" s="32"/>
      <c r="C262" s="32" t="s">
        <v>67</v>
      </c>
      <c r="D262" s="32" t="s">
        <v>479</v>
      </c>
      <c r="E262" s="32" t="s">
        <v>479</v>
      </c>
      <c r="F262" s="33" t="s">
        <v>62</v>
      </c>
      <c r="G262" s="32"/>
      <c r="H262" s="34"/>
      <c r="I262" s="35"/>
      <c r="J262" s="36" t="str">
        <f aca="false">IF(OR($H262="",$I262=""),"",$H262+MATCH($I262,Listas!$F$5:$F$11,0)-1)</f>
        <v/>
      </c>
      <c r="K262" s="37"/>
      <c r="L262" s="33"/>
      <c r="M262" s="37"/>
      <c r="N262" s="32"/>
      <c r="O262" s="32" t="s">
        <v>457</v>
      </c>
      <c r="P262" s="38" t="str">
        <f aca="true">IF($E262="","",IF($L262="Cancelada","Cancelada",IF(OR($K262&lt;&gt;"",$L262="Concluída"),IF(OR($J262="",$K262="",$K262&lt;=$J262),"Concluída","Concluída com atraso"),IF($J262="","Na carteira",IF($J262&lt;TODAY(),"VENCIDA",IF($L262="Em execução","Em execução",IF($J262=TODAY(),"Hoje","Programada")))))))</f>
        <v>Na carteira</v>
      </c>
      <c r="Q262" s="31" t="str">
        <f aca="false">IF($E262="","",IF(ISNUMBER(SEARCH("(externo)",$G262)),"Terceirizada","Interna"))</f>
        <v>Interna</v>
      </c>
      <c r="R262" s="36" t="str">
        <f aca="false">IF($J262="","",IF($M262="",$J262,$M262))</f>
        <v/>
      </c>
      <c r="S262" s="31" t="n">
        <f aca="false">IF($E262="","",IF(OR($K262="",$J262=""),0,IF($K262&lt;=$J262,1,0)))</f>
        <v>0</v>
      </c>
      <c r="T262" s="31" t="n">
        <f aca="false">IF($E262="","",IF(OR($K262="",$R262=""),0,IF($K262&lt;=$R262,1,0)))</f>
        <v>0</v>
      </c>
      <c r="U262" s="38" t="str">
        <f aca="false">IF(OR($K262="",$J262=""),"",MAX(0,$K262-$J262))</f>
        <v/>
      </c>
      <c r="V262" s="31" t="n">
        <f aca="false">IF($E262="","",IF(AND($M262&lt;&gt;"",$J262&lt;&gt;"",$M262&lt;&gt;$J262),1,0))</f>
        <v>0</v>
      </c>
      <c r="W262" s="39" t="n">
        <f aca="false">IF($E262="","",IF($L262="Cancelada",0,IF(OR($K262&lt;&gt;"",$L262="Concluída"),1,0)))</f>
        <v>0</v>
      </c>
    </row>
    <row r="263" customFormat="false" ht="15" hidden="false" customHeight="true" outlineLevel="0" collapsed="false">
      <c r="A263" s="31" t="n">
        <f aca="false">IF($E263="","",COUNTA($E$5:$E263))</f>
        <v>259</v>
      </c>
      <c r="B263" s="32"/>
      <c r="C263" s="32" t="s">
        <v>73</v>
      </c>
      <c r="D263" s="32" t="s">
        <v>480</v>
      </c>
      <c r="E263" s="32" t="s">
        <v>480</v>
      </c>
      <c r="F263" s="33" t="s">
        <v>62</v>
      </c>
      <c r="G263" s="32"/>
      <c r="H263" s="34"/>
      <c r="I263" s="35"/>
      <c r="J263" s="36" t="str">
        <f aca="false">IF(OR($H263="",$I263=""),"",$H263+MATCH($I263,Listas!$F$5:$F$11,0)-1)</f>
        <v/>
      </c>
      <c r="K263" s="37"/>
      <c r="L263" s="33"/>
      <c r="M263" s="37"/>
      <c r="N263" s="32"/>
      <c r="O263" s="32" t="s">
        <v>429</v>
      </c>
      <c r="P263" s="38" t="str">
        <f aca="true">IF($E263="","",IF($L263="Cancelada","Cancelada",IF(OR($K263&lt;&gt;"",$L263="Concluída"),IF(OR($J263="",$K263="",$K263&lt;=$J263),"Concluída","Concluída com atraso"),IF($J263="","Na carteira",IF($J263&lt;TODAY(),"VENCIDA",IF($L263="Em execução","Em execução",IF($J263=TODAY(),"Hoje","Programada")))))))</f>
        <v>Na carteira</v>
      </c>
      <c r="Q263" s="31" t="str">
        <f aca="false">IF($E263="","",IF(ISNUMBER(SEARCH("(externo)",$G263)),"Terceirizada","Interna"))</f>
        <v>Interna</v>
      </c>
      <c r="R263" s="36" t="str">
        <f aca="false">IF($J263="","",IF($M263="",$J263,$M263))</f>
        <v/>
      </c>
      <c r="S263" s="31" t="n">
        <f aca="false">IF($E263="","",IF(OR($K263="",$J263=""),0,IF($K263&lt;=$J263,1,0)))</f>
        <v>0</v>
      </c>
      <c r="T263" s="31" t="n">
        <f aca="false">IF($E263="","",IF(OR($K263="",$R263=""),0,IF($K263&lt;=$R263,1,0)))</f>
        <v>0</v>
      </c>
      <c r="U263" s="38" t="str">
        <f aca="false">IF(OR($K263="",$J263=""),"",MAX(0,$K263-$J263))</f>
        <v/>
      </c>
      <c r="V263" s="31" t="n">
        <f aca="false">IF($E263="","",IF(AND($M263&lt;&gt;"",$J263&lt;&gt;"",$M263&lt;&gt;$J263),1,0))</f>
        <v>0</v>
      </c>
      <c r="W263" s="39" t="n">
        <f aca="false">IF($E263="","",IF($L263="Cancelada",0,IF(OR($K263&lt;&gt;"",$L263="Concluída"),1,0)))</f>
        <v>0</v>
      </c>
    </row>
    <row r="264" customFormat="false" ht="15" hidden="false" customHeight="true" outlineLevel="0" collapsed="false">
      <c r="A264" s="31" t="n">
        <f aca="false">IF($E264="","",COUNTA($E$5:$E264))</f>
        <v>260</v>
      </c>
      <c r="B264" s="32"/>
      <c r="C264" s="32" t="s">
        <v>79</v>
      </c>
      <c r="D264" s="32" t="s">
        <v>481</v>
      </c>
      <c r="E264" s="32" t="s">
        <v>481</v>
      </c>
      <c r="F264" s="33" t="s">
        <v>62</v>
      </c>
      <c r="G264" s="32"/>
      <c r="H264" s="34"/>
      <c r="I264" s="35"/>
      <c r="J264" s="36" t="str">
        <f aca="false">IF(OR($H264="",$I264=""),"",$H264+MATCH($I264,Listas!$F$5:$F$11,0)-1)</f>
        <v/>
      </c>
      <c r="K264" s="37"/>
      <c r="L264" s="33"/>
      <c r="M264" s="37"/>
      <c r="N264" s="32"/>
      <c r="O264" s="32" t="s">
        <v>454</v>
      </c>
      <c r="P264" s="38" t="str">
        <f aca="true">IF($E264="","",IF($L264="Cancelada","Cancelada",IF(OR($K264&lt;&gt;"",$L264="Concluída"),IF(OR($J264="",$K264="",$K264&lt;=$J264),"Concluída","Concluída com atraso"),IF($J264="","Na carteira",IF($J264&lt;TODAY(),"VENCIDA",IF($L264="Em execução","Em execução",IF($J264=TODAY(),"Hoje","Programada")))))))</f>
        <v>Na carteira</v>
      </c>
      <c r="Q264" s="31" t="str">
        <f aca="false">IF($E264="","",IF(ISNUMBER(SEARCH("(externo)",$G264)),"Terceirizada","Interna"))</f>
        <v>Interna</v>
      </c>
      <c r="R264" s="36" t="str">
        <f aca="false">IF($J264="","",IF($M264="",$J264,$M264))</f>
        <v/>
      </c>
      <c r="S264" s="31" t="n">
        <f aca="false">IF($E264="","",IF(OR($K264="",$J264=""),0,IF($K264&lt;=$J264,1,0)))</f>
        <v>0</v>
      </c>
      <c r="T264" s="31" t="n">
        <f aca="false">IF($E264="","",IF(OR($K264="",$R264=""),0,IF($K264&lt;=$R264,1,0)))</f>
        <v>0</v>
      </c>
      <c r="U264" s="38" t="str">
        <f aca="false">IF(OR($K264="",$J264=""),"",MAX(0,$K264-$J264))</f>
        <v/>
      </c>
      <c r="V264" s="31" t="n">
        <f aca="false">IF($E264="","",IF(AND($M264&lt;&gt;"",$J264&lt;&gt;"",$M264&lt;&gt;$J264),1,0))</f>
        <v>0</v>
      </c>
      <c r="W264" s="39" t="n">
        <f aca="false">IF($E264="","",IF($L264="Cancelada",0,IF(OR($K264&lt;&gt;"",$L264="Concluída"),1,0)))</f>
        <v>0</v>
      </c>
    </row>
    <row r="265" customFormat="false" ht="15" hidden="false" customHeight="true" outlineLevel="0" collapsed="false">
      <c r="A265" s="31" t="str">
        <f aca="false">IF($E265="","",COUNTA($E$5:$E265))</f>
        <v/>
      </c>
      <c r="B265" s="32"/>
      <c r="C265" s="32"/>
      <c r="D265" s="32"/>
      <c r="E265" s="32"/>
      <c r="F265" s="33"/>
      <c r="G265" s="32"/>
      <c r="H265" s="34"/>
      <c r="I265" s="35"/>
      <c r="J265" s="36" t="str">
        <f aca="false">IF(OR($H265="",$I265=""),"",$H265+MATCH($I265,Listas!$F$5:$F$11,0)-1)</f>
        <v/>
      </c>
      <c r="K265" s="37"/>
      <c r="L265" s="33"/>
      <c r="M265" s="37"/>
      <c r="N265" s="32"/>
      <c r="O265" s="32"/>
      <c r="P265" s="38" t="str">
        <f aca="true">IF($E265="","",IF($L265="Cancelada","Cancelada",IF(OR($K265&lt;&gt;"",$L265="Concluída"),IF(OR($J265="",$K265="",$K265&lt;=$J265),"Concluída","Concluída com atraso"),IF($J265="","Na carteira",IF($J265&lt;TODAY(),"VENCIDA",IF($L265="Em execução","Em execução",IF($J265=TODAY(),"Hoje","Programada")))))))</f>
        <v/>
      </c>
      <c r="Q265" s="31" t="str">
        <f aca="false">IF($E265="","",IF(ISNUMBER(SEARCH("(externo)",$G265)),"Terceirizada","Interna"))</f>
        <v/>
      </c>
      <c r="R265" s="36" t="str">
        <f aca="false">IF($J265="","",IF($M265="",$J265,$M265))</f>
        <v/>
      </c>
      <c r="S265" s="31" t="str">
        <f aca="false">IF($E265="","",IF(OR($K265="",$J265=""),0,IF($K265&lt;=$J265,1,0)))</f>
        <v/>
      </c>
      <c r="T265" s="31" t="str">
        <f aca="false">IF($E265="","",IF(OR($K265="",$R265=""),0,IF($K265&lt;=$R265,1,0)))</f>
        <v/>
      </c>
      <c r="U265" s="38" t="str">
        <f aca="false">IF(OR($K265="",$J265=""),"",MAX(0,$K265-$J265))</f>
        <v/>
      </c>
      <c r="V265" s="31" t="str">
        <f aca="false">IF($E265="","",IF(AND($M265&lt;&gt;"",$J265&lt;&gt;"",$M265&lt;&gt;$J265),1,0))</f>
        <v/>
      </c>
      <c r="W265" s="39" t="str">
        <f aca="false">IF($E265="","",IF($L265="Cancelada",0,IF(OR($K265&lt;&gt;"",$L265="Concluída"),1,0)))</f>
        <v/>
      </c>
    </row>
    <row r="266" customFormat="false" ht="15" hidden="false" customHeight="true" outlineLevel="0" collapsed="false">
      <c r="A266" s="31" t="str">
        <f aca="false">IF($E266="","",COUNTA($E$5:$E266))</f>
        <v/>
      </c>
      <c r="B266" s="32"/>
      <c r="C266" s="32"/>
      <c r="D266" s="32"/>
      <c r="E266" s="32"/>
      <c r="F266" s="33"/>
      <c r="G266" s="32"/>
      <c r="H266" s="34"/>
      <c r="I266" s="35"/>
      <c r="J266" s="36" t="str">
        <f aca="false">IF(OR($H266="",$I266=""),"",$H266+MATCH($I266,Listas!$F$5:$F$11,0)-1)</f>
        <v/>
      </c>
      <c r="K266" s="37"/>
      <c r="L266" s="33"/>
      <c r="M266" s="37"/>
      <c r="N266" s="32"/>
      <c r="O266" s="32"/>
      <c r="P266" s="38" t="str">
        <f aca="true">IF($E266="","",IF($L266="Cancelada","Cancelada",IF(OR($K266&lt;&gt;"",$L266="Concluída"),IF(OR($J266="",$K266="",$K266&lt;=$J266),"Concluída","Concluída com atraso"),IF($J266="","Na carteira",IF($J266&lt;TODAY(),"VENCIDA",IF($L266="Em execução","Em execução",IF($J266=TODAY(),"Hoje","Programada")))))))</f>
        <v/>
      </c>
      <c r="Q266" s="31" t="str">
        <f aca="false">IF($E266="","",IF(ISNUMBER(SEARCH("(externo)",$G266)),"Terceirizada","Interna"))</f>
        <v/>
      </c>
      <c r="R266" s="36" t="str">
        <f aca="false">IF($J266="","",IF($M266="",$J266,$M266))</f>
        <v/>
      </c>
      <c r="S266" s="31" t="str">
        <f aca="false">IF($E266="","",IF(OR($K266="",$J266=""),0,IF($K266&lt;=$J266,1,0)))</f>
        <v/>
      </c>
      <c r="T266" s="31" t="str">
        <f aca="false">IF($E266="","",IF(OR($K266="",$R266=""),0,IF($K266&lt;=$R266,1,0)))</f>
        <v/>
      </c>
      <c r="U266" s="38" t="str">
        <f aca="false">IF(OR($K266="",$J266=""),"",MAX(0,$K266-$J266))</f>
        <v/>
      </c>
      <c r="V266" s="31" t="str">
        <f aca="false">IF($E266="","",IF(AND($M266&lt;&gt;"",$J266&lt;&gt;"",$M266&lt;&gt;$J266),1,0))</f>
        <v/>
      </c>
      <c r="W266" s="39" t="str">
        <f aca="false">IF($E266="","",IF($L266="Cancelada",0,IF(OR($K266&lt;&gt;"",$L266="Concluída"),1,0)))</f>
        <v/>
      </c>
    </row>
    <row r="267" customFormat="false" ht="15" hidden="false" customHeight="true" outlineLevel="0" collapsed="false">
      <c r="A267" s="31" t="str">
        <f aca="false">IF($E267="","",COUNTA($E$5:$E267))</f>
        <v/>
      </c>
      <c r="B267" s="32"/>
      <c r="C267" s="32"/>
      <c r="D267" s="32"/>
      <c r="E267" s="32"/>
      <c r="F267" s="33"/>
      <c r="G267" s="32"/>
      <c r="H267" s="34"/>
      <c r="I267" s="35"/>
      <c r="J267" s="36" t="str">
        <f aca="false">IF(OR($H267="",$I267=""),"",$H267+MATCH($I267,Listas!$F$5:$F$11,0)-1)</f>
        <v/>
      </c>
      <c r="K267" s="37"/>
      <c r="L267" s="33"/>
      <c r="M267" s="37"/>
      <c r="N267" s="32"/>
      <c r="O267" s="32"/>
      <c r="P267" s="38" t="str">
        <f aca="true">IF($E267="","",IF($L267="Cancelada","Cancelada",IF(OR($K267&lt;&gt;"",$L267="Concluída"),IF(OR($J267="",$K267="",$K267&lt;=$J267),"Concluída","Concluída com atraso"),IF($J267="","Na carteira",IF($J267&lt;TODAY(),"VENCIDA",IF($L267="Em execução","Em execução",IF($J267=TODAY(),"Hoje","Programada")))))))</f>
        <v/>
      </c>
      <c r="Q267" s="31" t="str">
        <f aca="false">IF($E267="","",IF(ISNUMBER(SEARCH("(externo)",$G267)),"Terceirizada","Interna"))</f>
        <v/>
      </c>
      <c r="R267" s="36" t="str">
        <f aca="false">IF($J267="","",IF($M267="",$J267,$M267))</f>
        <v/>
      </c>
      <c r="S267" s="31" t="str">
        <f aca="false">IF($E267="","",IF(OR($K267="",$J267=""),0,IF($K267&lt;=$J267,1,0)))</f>
        <v/>
      </c>
      <c r="T267" s="31" t="str">
        <f aca="false">IF($E267="","",IF(OR($K267="",$R267=""),0,IF($K267&lt;=$R267,1,0)))</f>
        <v/>
      </c>
      <c r="U267" s="38" t="str">
        <f aca="false">IF(OR($K267="",$J267=""),"",MAX(0,$K267-$J267))</f>
        <v/>
      </c>
      <c r="V267" s="31" t="str">
        <f aca="false">IF($E267="","",IF(AND($M267&lt;&gt;"",$J267&lt;&gt;"",$M267&lt;&gt;$J267),1,0))</f>
        <v/>
      </c>
      <c r="W267" s="39" t="str">
        <f aca="false">IF($E267="","",IF($L267="Cancelada",0,IF(OR($K267&lt;&gt;"",$L267="Concluída"),1,0)))</f>
        <v/>
      </c>
    </row>
    <row r="268" customFormat="false" ht="15" hidden="false" customHeight="true" outlineLevel="0" collapsed="false">
      <c r="A268" s="31" t="str">
        <f aca="false">IF($E268="","",COUNTA($E$5:$E268))</f>
        <v/>
      </c>
      <c r="B268" s="32"/>
      <c r="C268" s="32"/>
      <c r="D268" s="32"/>
      <c r="E268" s="32"/>
      <c r="F268" s="33"/>
      <c r="G268" s="32"/>
      <c r="H268" s="34"/>
      <c r="I268" s="35"/>
      <c r="J268" s="36" t="str">
        <f aca="false">IF(OR($H268="",$I268=""),"",$H268+MATCH($I268,Listas!$F$5:$F$11,0)-1)</f>
        <v/>
      </c>
      <c r="K268" s="37"/>
      <c r="L268" s="33"/>
      <c r="M268" s="37"/>
      <c r="N268" s="32"/>
      <c r="O268" s="32"/>
      <c r="P268" s="38" t="str">
        <f aca="true">IF($E268="","",IF($L268="Cancelada","Cancelada",IF(OR($K268&lt;&gt;"",$L268="Concluída"),IF(OR($J268="",$K268="",$K268&lt;=$J268),"Concluída","Concluída com atraso"),IF($J268="","Na carteira",IF($J268&lt;TODAY(),"VENCIDA",IF($L268="Em execução","Em execução",IF($J268=TODAY(),"Hoje","Programada")))))))</f>
        <v/>
      </c>
      <c r="Q268" s="31" t="str">
        <f aca="false">IF($E268="","",IF(ISNUMBER(SEARCH("(externo)",$G268)),"Terceirizada","Interna"))</f>
        <v/>
      </c>
      <c r="R268" s="36" t="str">
        <f aca="false">IF($J268="","",IF($M268="",$J268,$M268))</f>
        <v/>
      </c>
      <c r="S268" s="31" t="str">
        <f aca="false">IF($E268="","",IF(OR($K268="",$J268=""),0,IF($K268&lt;=$J268,1,0)))</f>
        <v/>
      </c>
      <c r="T268" s="31" t="str">
        <f aca="false">IF($E268="","",IF(OR($K268="",$R268=""),0,IF($K268&lt;=$R268,1,0)))</f>
        <v/>
      </c>
      <c r="U268" s="38" t="str">
        <f aca="false">IF(OR($K268="",$J268=""),"",MAX(0,$K268-$J268))</f>
        <v/>
      </c>
      <c r="V268" s="31" t="str">
        <f aca="false">IF($E268="","",IF(AND($M268&lt;&gt;"",$J268&lt;&gt;"",$M268&lt;&gt;$J268),1,0))</f>
        <v/>
      </c>
      <c r="W268" s="39" t="str">
        <f aca="false">IF($E268="","",IF($L268="Cancelada",0,IF(OR($K268&lt;&gt;"",$L268="Concluída"),1,0)))</f>
        <v/>
      </c>
    </row>
    <row r="269" customFormat="false" ht="15" hidden="false" customHeight="true" outlineLevel="0" collapsed="false">
      <c r="A269" s="31" t="str">
        <f aca="false">IF($E269="","",COUNTA($E$5:$E269))</f>
        <v/>
      </c>
      <c r="B269" s="32"/>
      <c r="C269" s="32"/>
      <c r="D269" s="32"/>
      <c r="E269" s="32"/>
      <c r="F269" s="33"/>
      <c r="G269" s="32"/>
      <c r="H269" s="34"/>
      <c r="I269" s="35"/>
      <c r="J269" s="36" t="str">
        <f aca="false">IF(OR($H269="",$I269=""),"",$H269+MATCH($I269,Listas!$F$5:$F$11,0)-1)</f>
        <v/>
      </c>
      <c r="K269" s="37"/>
      <c r="L269" s="33"/>
      <c r="M269" s="37"/>
      <c r="N269" s="32"/>
      <c r="O269" s="32"/>
      <c r="P269" s="38" t="str">
        <f aca="true">IF($E269="","",IF($L269="Cancelada","Cancelada",IF(OR($K269&lt;&gt;"",$L269="Concluída"),IF(OR($J269="",$K269="",$K269&lt;=$J269),"Concluída","Concluída com atraso"),IF($J269="","Na carteira",IF($J269&lt;TODAY(),"VENCIDA",IF($L269="Em execução","Em execução",IF($J269=TODAY(),"Hoje","Programada")))))))</f>
        <v/>
      </c>
      <c r="Q269" s="31" t="str">
        <f aca="false">IF($E269="","",IF(ISNUMBER(SEARCH("(externo)",$G269)),"Terceirizada","Interna"))</f>
        <v/>
      </c>
      <c r="R269" s="36" t="str">
        <f aca="false">IF($J269="","",IF($M269="",$J269,$M269))</f>
        <v/>
      </c>
      <c r="S269" s="31" t="str">
        <f aca="false">IF($E269="","",IF(OR($K269="",$J269=""),0,IF($K269&lt;=$J269,1,0)))</f>
        <v/>
      </c>
      <c r="T269" s="31" t="str">
        <f aca="false">IF($E269="","",IF(OR($K269="",$R269=""),0,IF($K269&lt;=$R269,1,0)))</f>
        <v/>
      </c>
      <c r="U269" s="38" t="str">
        <f aca="false">IF(OR($K269="",$J269=""),"",MAX(0,$K269-$J269))</f>
        <v/>
      </c>
      <c r="V269" s="31" t="str">
        <f aca="false">IF($E269="","",IF(AND($M269&lt;&gt;"",$J269&lt;&gt;"",$M269&lt;&gt;$J269),1,0))</f>
        <v/>
      </c>
      <c r="W269" s="39" t="str">
        <f aca="false">IF($E269="","",IF($L269="Cancelada",0,IF(OR($K269&lt;&gt;"",$L269="Concluída"),1,0)))</f>
        <v/>
      </c>
    </row>
    <row r="270" customFormat="false" ht="15" hidden="false" customHeight="true" outlineLevel="0" collapsed="false">
      <c r="A270" s="31" t="str">
        <f aca="false">IF($E270="","",COUNTA($E$5:$E270))</f>
        <v/>
      </c>
      <c r="B270" s="32"/>
      <c r="C270" s="32"/>
      <c r="D270" s="32"/>
      <c r="E270" s="32"/>
      <c r="F270" s="33"/>
      <c r="G270" s="32"/>
      <c r="H270" s="34"/>
      <c r="I270" s="35"/>
      <c r="J270" s="36" t="str">
        <f aca="false">IF(OR($H270="",$I270=""),"",$H270+MATCH($I270,Listas!$F$5:$F$11,0)-1)</f>
        <v/>
      </c>
      <c r="K270" s="37"/>
      <c r="L270" s="33"/>
      <c r="M270" s="37"/>
      <c r="N270" s="32"/>
      <c r="O270" s="32"/>
      <c r="P270" s="38" t="str">
        <f aca="true">IF($E270="","",IF($L270="Cancelada","Cancelada",IF(OR($K270&lt;&gt;"",$L270="Concluída"),IF(OR($J270="",$K270="",$K270&lt;=$J270),"Concluída","Concluída com atraso"),IF($J270="","Na carteira",IF($J270&lt;TODAY(),"VENCIDA",IF($L270="Em execução","Em execução",IF($J270=TODAY(),"Hoje","Programada")))))))</f>
        <v/>
      </c>
      <c r="Q270" s="31" t="str">
        <f aca="false">IF($E270="","",IF(ISNUMBER(SEARCH("(externo)",$G270)),"Terceirizada","Interna"))</f>
        <v/>
      </c>
      <c r="R270" s="36" t="str">
        <f aca="false">IF($J270="","",IF($M270="",$J270,$M270))</f>
        <v/>
      </c>
      <c r="S270" s="31" t="str">
        <f aca="false">IF($E270="","",IF(OR($K270="",$J270=""),0,IF($K270&lt;=$J270,1,0)))</f>
        <v/>
      </c>
      <c r="T270" s="31" t="str">
        <f aca="false">IF($E270="","",IF(OR($K270="",$R270=""),0,IF($K270&lt;=$R270,1,0)))</f>
        <v/>
      </c>
      <c r="U270" s="38" t="str">
        <f aca="false">IF(OR($K270="",$J270=""),"",MAX(0,$K270-$J270))</f>
        <v/>
      </c>
      <c r="V270" s="31" t="str">
        <f aca="false">IF($E270="","",IF(AND($M270&lt;&gt;"",$J270&lt;&gt;"",$M270&lt;&gt;$J270),1,0))</f>
        <v/>
      </c>
      <c r="W270" s="39" t="str">
        <f aca="false">IF($E270="","",IF($L270="Cancelada",0,IF(OR($K270&lt;&gt;"",$L270="Concluída"),1,0)))</f>
        <v/>
      </c>
    </row>
    <row r="271" customFormat="false" ht="15" hidden="false" customHeight="true" outlineLevel="0" collapsed="false">
      <c r="A271" s="31" t="str">
        <f aca="false">IF($E271="","",COUNTA($E$5:$E271))</f>
        <v/>
      </c>
      <c r="B271" s="32"/>
      <c r="C271" s="32"/>
      <c r="D271" s="32"/>
      <c r="E271" s="32"/>
      <c r="F271" s="33"/>
      <c r="G271" s="32"/>
      <c r="H271" s="34"/>
      <c r="I271" s="35"/>
      <c r="J271" s="36" t="str">
        <f aca="false">IF(OR($H271="",$I271=""),"",$H271+MATCH($I271,Listas!$F$5:$F$11,0)-1)</f>
        <v/>
      </c>
      <c r="K271" s="37"/>
      <c r="L271" s="33"/>
      <c r="M271" s="37"/>
      <c r="N271" s="32"/>
      <c r="O271" s="32"/>
      <c r="P271" s="38" t="str">
        <f aca="true">IF($E271="","",IF($L271="Cancelada","Cancelada",IF(OR($K271&lt;&gt;"",$L271="Concluída"),IF(OR($J271="",$K271="",$K271&lt;=$J271),"Concluída","Concluída com atraso"),IF($J271="","Na carteira",IF($J271&lt;TODAY(),"VENCIDA",IF($L271="Em execução","Em execução",IF($J271=TODAY(),"Hoje","Programada")))))))</f>
        <v/>
      </c>
      <c r="Q271" s="31" t="str">
        <f aca="false">IF($E271="","",IF(ISNUMBER(SEARCH("(externo)",$G271)),"Terceirizada","Interna"))</f>
        <v/>
      </c>
      <c r="R271" s="36" t="str">
        <f aca="false">IF($J271="","",IF($M271="",$J271,$M271))</f>
        <v/>
      </c>
      <c r="S271" s="31" t="str">
        <f aca="false">IF($E271="","",IF(OR($K271="",$J271=""),0,IF($K271&lt;=$J271,1,0)))</f>
        <v/>
      </c>
      <c r="T271" s="31" t="str">
        <f aca="false">IF($E271="","",IF(OR($K271="",$R271=""),0,IF($K271&lt;=$R271,1,0)))</f>
        <v/>
      </c>
      <c r="U271" s="38" t="str">
        <f aca="false">IF(OR($K271="",$J271=""),"",MAX(0,$K271-$J271))</f>
        <v/>
      </c>
      <c r="V271" s="31" t="str">
        <f aca="false">IF($E271="","",IF(AND($M271&lt;&gt;"",$J271&lt;&gt;"",$M271&lt;&gt;$J271),1,0))</f>
        <v/>
      </c>
      <c r="W271" s="39" t="str">
        <f aca="false">IF($E271="","",IF($L271="Cancelada",0,IF(OR($K271&lt;&gt;"",$L271="Concluída"),1,0)))</f>
        <v/>
      </c>
    </row>
    <row r="272" customFormat="false" ht="15" hidden="false" customHeight="true" outlineLevel="0" collapsed="false">
      <c r="A272" s="31" t="str">
        <f aca="false">IF($E272="","",COUNTA($E$5:$E272))</f>
        <v/>
      </c>
      <c r="B272" s="32"/>
      <c r="C272" s="32"/>
      <c r="D272" s="32"/>
      <c r="E272" s="32"/>
      <c r="F272" s="33"/>
      <c r="G272" s="32"/>
      <c r="H272" s="34"/>
      <c r="I272" s="35"/>
      <c r="J272" s="36" t="str">
        <f aca="false">IF(OR($H272="",$I272=""),"",$H272+MATCH($I272,Listas!$F$5:$F$11,0)-1)</f>
        <v/>
      </c>
      <c r="K272" s="37"/>
      <c r="L272" s="33"/>
      <c r="M272" s="37"/>
      <c r="N272" s="32"/>
      <c r="O272" s="32"/>
      <c r="P272" s="38" t="str">
        <f aca="true">IF($E272="","",IF($L272="Cancelada","Cancelada",IF(OR($K272&lt;&gt;"",$L272="Concluída"),IF(OR($J272="",$K272="",$K272&lt;=$J272),"Concluída","Concluída com atraso"),IF($J272="","Na carteira",IF($J272&lt;TODAY(),"VENCIDA",IF($L272="Em execução","Em execução",IF($J272=TODAY(),"Hoje","Programada")))))))</f>
        <v/>
      </c>
      <c r="Q272" s="31" t="str">
        <f aca="false">IF($E272="","",IF(ISNUMBER(SEARCH("(externo)",$G272)),"Terceirizada","Interna"))</f>
        <v/>
      </c>
      <c r="R272" s="36" t="str">
        <f aca="false">IF($J272="","",IF($M272="",$J272,$M272))</f>
        <v/>
      </c>
      <c r="S272" s="31" t="str">
        <f aca="false">IF($E272="","",IF(OR($K272="",$J272=""),0,IF($K272&lt;=$J272,1,0)))</f>
        <v/>
      </c>
      <c r="T272" s="31" t="str">
        <f aca="false">IF($E272="","",IF(OR($K272="",$R272=""),0,IF($K272&lt;=$R272,1,0)))</f>
        <v/>
      </c>
      <c r="U272" s="38" t="str">
        <f aca="false">IF(OR($K272="",$J272=""),"",MAX(0,$K272-$J272))</f>
        <v/>
      </c>
      <c r="V272" s="31" t="str">
        <f aca="false">IF($E272="","",IF(AND($M272&lt;&gt;"",$J272&lt;&gt;"",$M272&lt;&gt;$J272),1,0))</f>
        <v/>
      </c>
      <c r="W272" s="39" t="str">
        <f aca="false">IF($E272="","",IF($L272="Cancelada",0,IF(OR($K272&lt;&gt;"",$L272="Concluída"),1,0)))</f>
        <v/>
      </c>
    </row>
    <row r="273" customFormat="false" ht="15" hidden="false" customHeight="true" outlineLevel="0" collapsed="false">
      <c r="A273" s="31" t="str">
        <f aca="false">IF($E273="","",COUNTA($E$5:$E273))</f>
        <v/>
      </c>
      <c r="B273" s="32"/>
      <c r="C273" s="32"/>
      <c r="D273" s="32"/>
      <c r="E273" s="32"/>
      <c r="F273" s="33"/>
      <c r="G273" s="32"/>
      <c r="H273" s="34"/>
      <c r="I273" s="35"/>
      <c r="J273" s="36" t="str">
        <f aca="false">IF(OR($H273="",$I273=""),"",$H273+MATCH($I273,Listas!$F$5:$F$11,0)-1)</f>
        <v/>
      </c>
      <c r="K273" s="37"/>
      <c r="L273" s="33"/>
      <c r="M273" s="37"/>
      <c r="N273" s="32"/>
      <c r="O273" s="32"/>
      <c r="P273" s="38" t="str">
        <f aca="true">IF($E273="","",IF($L273="Cancelada","Cancelada",IF(OR($K273&lt;&gt;"",$L273="Concluída"),IF(OR($J273="",$K273="",$K273&lt;=$J273),"Concluída","Concluída com atraso"),IF($J273="","Na carteira",IF($J273&lt;TODAY(),"VENCIDA",IF($L273="Em execução","Em execução",IF($J273=TODAY(),"Hoje","Programada")))))))</f>
        <v/>
      </c>
      <c r="Q273" s="31" t="str">
        <f aca="false">IF($E273="","",IF(ISNUMBER(SEARCH("(externo)",$G273)),"Terceirizada","Interna"))</f>
        <v/>
      </c>
      <c r="R273" s="36" t="str">
        <f aca="false">IF($J273="","",IF($M273="",$J273,$M273))</f>
        <v/>
      </c>
      <c r="S273" s="31" t="str">
        <f aca="false">IF($E273="","",IF(OR($K273="",$J273=""),0,IF($K273&lt;=$J273,1,0)))</f>
        <v/>
      </c>
      <c r="T273" s="31" t="str">
        <f aca="false">IF($E273="","",IF(OR($K273="",$R273=""),0,IF($K273&lt;=$R273,1,0)))</f>
        <v/>
      </c>
      <c r="U273" s="38" t="str">
        <f aca="false">IF(OR($K273="",$J273=""),"",MAX(0,$K273-$J273))</f>
        <v/>
      </c>
      <c r="V273" s="31" t="str">
        <f aca="false">IF($E273="","",IF(AND($M273&lt;&gt;"",$J273&lt;&gt;"",$M273&lt;&gt;$J273),1,0))</f>
        <v/>
      </c>
      <c r="W273" s="39" t="str">
        <f aca="false">IF($E273="","",IF($L273="Cancelada",0,IF(OR($K273&lt;&gt;"",$L273="Concluída"),1,0)))</f>
        <v/>
      </c>
    </row>
    <row r="274" customFormat="false" ht="15" hidden="false" customHeight="true" outlineLevel="0" collapsed="false">
      <c r="A274" s="31" t="str">
        <f aca="false">IF($E274="","",COUNTA($E$5:$E274))</f>
        <v/>
      </c>
      <c r="B274" s="32"/>
      <c r="C274" s="32"/>
      <c r="D274" s="32"/>
      <c r="E274" s="32"/>
      <c r="F274" s="33"/>
      <c r="G274" s="32"/>
      <c r="H274" s="34"/>
      <c r="I274" s="35"/>
      <c r="J274" s="36" t="str">
        <f aca="false">IF(OR($H274="",$I274=""),"",$H274+MATCH($I274,Listas!$F$5:$F$11,0)-1)</f>
        <v/>
      </c>
      <c r="K274" s="37"/>
      <c r="L274" s="33"/>
      <c r="M274" s="37"/>
      <c r="N274" s="32"/>
      <c r="O274" s="32"/>
      <c r="P274" s="38" t="str">
        <f aca="true">IF($E274="","",IF($L274="Cancelada","Cancelada",IF(OR($K274&lt;&gt;"",$L274="Concluída"),IF(OR($J274="",$K274="",$K274&lt;=$J274),"Concluída","Concluída com atraso"),IF($J274="","Na carteira",IF($J274&lt;TODAY(),"VENCIDA",IF($L274="Em execução","Em execução",IF($J274=TODAY(),"Hoje","Programada")))))))</f>
        <v/>
      </c>
      <c r="Q274" s="31" t="str">
        <f aca="false">IF($E274="","",IF(ISNUMBER(SEARCH("(externo)",$G274)),"Terceirizada","Interna"))</f>
        <v/>
      </c>
      <c r="R274" s="36" t="str">
        <f aca="false">IF($J274="","",IF($M274="",$J274,$M274))</f>
        <v/>
      </c>
      <c r="S274" s="31" t="str">
        <f aca="false">IF($E274="","",IF(OR($K274="",$J274=""),0,IF($K274&lt;=$J274,1,0)))</f>
        <v/>
      </c>
      <c r="T274" s="31" t="str">
        <f aca="false">IF($E274="","",IF(OR($K274="",$R274=""),0,IF($K274&lt;=$R274,1,0)))</f>
        <v/>
      </c>
      <c r="U274" s="38" t="str">
        <f aca="false">IF(OR($K274="",$J274=""),"",MAX(0,$K274-$J274))</f>
        <v/>
      </c>
      <c r="V274" s="31" t="str">
        <f aca="false">IF($E274="","",IF(AND($M274&lt;&gt;"",$J274&lt;&gt;"",$M274&lt;&gt;$J274),1,0))</f>
        <v/>
      </c>
      <c r="W274" s="39" t="str">
        <f aca="false">IF($E274="","",IF($L274="Cancelada",0,IF(OR($K274&lt;&gt;"",$L274="Concluída"),1,0)))</f>
        <v/>
      </c>
    </row>
    <row r="275" customFormat="false" ht="15" hidden="false" customHeight="true" outlineLevel="0" collapsed="false">
      <c r="A275" s="31" t="str">
        <f aca="false">IF($E275="","",COUNTA($E$5:$E275))</f>
        <v/>
      </c>
      <c r="B275" s="32"/>
      <c r="C275" s="32"/>
      <c r="D275" s="32"/>
      <c r="E275" s="32"/>
      <c r="F275" s="33"/>
      <c r="G275" s="32"/>
      <c r="H275" s="34"/>
      <c r="I275" s="35"/>
      <c r="J275" s="36" t="str">
        <f aca="false">IF(OR($H275="",$I275=""),"",$H275+MATCH($I275,Listas!$F$5:$F$11,0)-1)</f>
        <v/>
      </c>
      <c r="K275" s="37"/>
      <c r="L275" s="33"/>
      <c r="M275" s="37"/>
      <c r="N275" s="32"/>
      <c r="O275" s="32"/>
      <c r="P275" s="38" t="str">
        <f aca="true">IF($E275="","",IF($L275="Cancelada","Cancelada",IF(OR($K275&lt;&gt;"",$L275="Concluída"),IF(OR($J275="",$K275="",$K275&lt;=$J275),"Concluída","Concluída com atraso"),IF($J275="","Na carteira",IF($J275&lt;TODAY(),"VENCIDA",IF($L275="Em execução","Em execução",IF($J275=TODAY(),"Hoje","Programada")))))))</f>
        <v/>
      </c>
      <c r="Q275" s="31" t="str">
        <f aca="false">IF($E275="","",IF(ISNUMBER(SEARCH("(externo)",$G275)),"Terceirizada","Interna"))</f>
        <v/>
      </c>
      <c r="R275" s="36" t="str">
        <f aca="false">IF($J275="","",IF($M275="",$J275,$M275))</f>
        <v/>
      </c>
      <c r="S275" s="31" t="str">
        <f aca="false">IF($E275="","",IF(OR($K275="",$J275=""),0,IF($K275&lt;=$J275,1,0)))</f>
        <v/>
      </c>
      <c r="T275" s="31" t="str">
        <f aca="false">IF($E275="","",IF(OR($K275="",$R275=""),0,IF($K275&lt;=$R275,1,0)))</f>
        <v/>
      </c>
      <c r="U275" s="38" t="str">
        <f aca="false">IF(OR($K275="",$J275=""),"",MAX(0,$K275-$J275))</f>
        <v/>
      </c>
      <c r="V275" s="31" t="str">
        <f aca="false">IF($E275="","",IF(AND($M275&lt;&gt;"",$J275&lt;&gt;"",$M275&lt;&gt;$J275),1,0))</f>
        <v/>
      </c>
      <c r="W275" s="39" t="str">
        <f aca="false">IF($E275="","",IF($L275="Cancelada",0,IF(OR($K275&lt;&gt;"",$L275="Concluída"),1,0)))</f>
        <v/>
      </c>
    </row>
    <row r="276" customFormat="false" ht="15" hidden="false" customHeight="true" outlineLevel="0" collapsed="false">
      <c r="A276" s="31" t="str">
        <f aca="false">IF($E276="","",COUNTA($E$5:$E276))</f>
        <v/>
      </c>
      <c r="B276" s="32"/>
      <c r="C276" s="32"/>
      <c r="D276" s="32"/>
      <c r="E276" s="32"/>
      <c r="F276" s="33"/>
      <c r="G276" s="32"/>
      <c r="H276" s="34"/>
      <c r="I276" s="35"/>
      <c r="J276" s="36" t="str">
        <f aca="false">IF(OR($H276="",$I276=""),"",$H276+MATCH($I276,Listas!$F$5:$F$11,0)-1)</f>
        <v/>
      </c>
      <c r="K276" s="37"/>
      <c r="L276" s="33"/>
      <c r="M276" s="37"/>
      <c r="N276" s="32"/>
      <c r="O276" s="32"/>
      <c r="P276" s="38" t="str">
        <f aca="true">IF($E276="","",IF($L276="Cancelada","Cancelada",IF(OR($K276&lt;&gt;"",$L276="Concluída"),IF(OR($J276="",$K276="",$K276&lt;=$J276),"Concluída","Concluída com atraso"),IF($J276="","Na carteira",IF($J276&lt;TODAY(),"VENCIDA",IF($L276="Em execução","Em execução",IF($J276=TODAY(),"Hoje","Programada")))))))</f>
        <v/>
      </c>
      <c r="Q276" s="31" t="str">
        <f aca="false">IF($E276="","",IF(ISNUMBER(SEARCH("(externo)",$G276)),"Terceirizada","Interna"))</f>
        <v/>
      </c>
      <c r="R276" s="36" t="str">
        <f aca="false">IF($J276="","",IF($M276="",$J276,$M276))</f>
        <v/>
      </c>
      <c r="S276" s="31" t="str">
        <f aca="false">IF($E276="","",IF(OR($K276="",$J276=""),0,IF($K276&lt;=$J276,1,0)))</f>
        <v/>
      </c>
      <c r="T276" s="31" t="str">
        <f aca="false">IF($E276="","",IF(OR($K276="",$R276=""),0,IF($K276&lt;=$R276,1,0)))</f>
        <v/>
      </c>
      <c r="U276" s="38" t="str">
        <f aca="false">IF(OR($K276="",$J276=""),"",MAX(0,$K276-$J276))</f>
        <v/>
      </c>
      <c r="V276" s="31" t="str">
        <f aca="false">IF($E276="","",IF(AND($M276&lt;&gt;"",$J276&lt;&gt;"",$M276&lt;&gt;$J276),1,0))</f>
        <v/>
      </c>
      <c r="W276" s="39" t="str">
        <f aca="false">IF($E276="","",IF($L276="Cancelada",0,IF(OR($K276&lt;&gt;"",$L276="Concluída"),1,0)))</f>
        <v/>
      </c>
    </row>
    <row r="277" customFormat="false" ht="15" hidden="false" customHeight="true" outlineLevel="0" collapsed="false">
      <c r="A277" s="31" t="str">
        <f aca="false">IF($E277="","",COUNTA($E$5:$E277))</f>
        <v/>
      </c>
      <c r="B277" s="32"/>
      <c r="C277" s="32"/>
      <c r="D277" s="32"/>
      <c r="E277" s="32"/>
      <c r="F277" s="33"/>
      <c r="G277" s="32"/>
      <c r="H277" s="34"/>
      <c r="I277" s="35"/>
      <c r="J277" s="36" t="str">
        <f aca="false">IF(OR($H277="",$I277=""),"",$H277+MATCH($I277,Listas!$F$5:$F$11,0)-1)</f>
        <v/>
      </c>
      <c r="K277" s="37"/>
      <c r="L277" s="33"/>
      <c r="M277" s="37"/>
      <c r="N277" s="32"/>
      <c r="O277" s="32"/>
      <c r="P277" s="38" t="str">
        <f aca="true">IF($E277="","",IF($L277="Cancelada","Cancelada",IF(OR($K277&lt;&gt;"",$L277="Concluída"),IF(OR($J277="",$K277="",$K277&lt;=$J277),"Concluída","Concluída com atraso"),IF($J277="","Na carteira",IF($J277&lt;TODAY(),"VENCIDA",IF($L277="Em execução","Em execução",IF($J277=TODAY(),"Hoje","Programada")))))))</f>
        <v/>
      </c>
      <c r="Q277" s="31" t="str">
        <f aca="false">IF($E277="","",IF(ISNUMBER(SEARCH("(externo)",$G277)),"Terceirizada","Interna"))</f>
        <v/>
      </c>
      <c r="R277" s="36" t="str">
        <f aca="false">IF($J277="","",IF($M277="",$J277,$M277))</f>
        <v/>
      </c>
      <c r="S277" s="31" t="str">
        <f aca="false">IF($E277="","",IF(OR($K277="",$J277=""),0,IF($K277&lt;=$J277,1,0)))</f>
        <v/>
      </c>
      <c r="T277" s="31" t="str">
        <f aca="false">IF($E277="","",IF(OR($K277="",$R277=""),0,IF($K277&lt;=$R277,1,0)))</f>
        <v/>
      </c>
      <c r="U277" s="38" t="str">
        <f aca="false">IF(OR($K277="",$J277=""),"",MAX(0,$K277-$J277))</f>
        <v/>
      </c>
      <c r="V277" s="31" t="str">
        <f aca="false">IF($E277="","",IF(AND($M277&lt;&gt;"",$J277&lt;&gt;"",$M277&lt;&gt;$J277),1,0))</f>
        <v/>
      </c>
      <c r="W277" s="39" t="str">
        <f aca="false">IF($E277="","",IF($L277="Cancelada",0,IF(OR($K277&lt;&gt;"",$L277="Concluída"),1,0)))</f>
        <v/>
      </c>
    </row>
    <row r="278" customFormat="false" ht="15" hidden="false" customHeight="true" outlineLevel="0" collapsed="false">
      <c r="A278" s="31" t="str">
        <f aca="false">IF($E278="","",COUNTA($E$5:$E278))</f>
        <v/>
      </c>
      <c r="B278" s="32"/>
      <c r="C278" s="32"/>
      <c r="D278" s="32"/>
      <c r="E278" s="32"/>
      <c r="F278" s="33"/>
      <c r="G278" s="32"/>
      <c r="H278" s="34"/>
      <c r="I278" s="35"/>
      <c r="J278" s="36" t="str">
        <f aca="false">IF(OR($H278="",$I278=""),"",$H278+MATCH($I278,Listas!$F$5:$F$11,0)-1)</f>
        <v/>
      </c>
      <c r="K278" s="37"/>
      <c r="L278" s="33"/>
      <c r="M278" s="37"/>
      <c r="N278" s="32"/>
      <c r="O278" s="32"/>
      <c r="P278" s="38" t="str">
        <f aca="true">IF($E278="","",IF($L278="Cancelada","Cancelada",IF(OR($K278&lt;&gt;"",$L278="Concluída"),IF(OR($J278="",$K278="",$K278&lt;=$J278),"Concluída","Concluída com atraso"),IF($J278="","Na carteira",IF($J278&lt;TODAY(),"VENCIDA",IF($L278="Em execução","Em execução",IF($J278=TODAY(),"Hoje","Programada")))))))</f>
        <v/>
      </c>
      <c r="Q278" s="31" t="str">
        <f aca="false">IF($E278="","",IF(ISNUMBER(SEARCH("(externo)",$G278)),"Terceirizada","Interna"))</f>
        <v/>
      </c>
      <c r="R278" s="36" t="str">
        <f aca="false">IF($J278="","",IF($M278="",$J278,$M278))</f>
        <v/>
      </c>
      <c r="S278" s="31" t="str">
        <f aca="false">IF($E278="","",IF(OR($K278="",$J278=""),0,IF($K278&lt;=$J278,1,0)))</f>
        <v/>
      </c>
      <c r="T278" s="31" t="str">
        <f aca="false">IF($E278="","",IF(OR($K278="",$R278=""),0,IF($K278&lt;=$R278,1,0)))</f>
        <v/>
      </c>
      <c r="U278" s="38" t="str">
        <f aca="false">IF(OR($K278="",$J278=""),"",MAX(0,$K278-$J278))</f>
        <v/>
      </c>
      <c r="V278" s="31" t="str">
        <f aca="false">IF($E278="","",IF(AND($M278&lt;&gt;"",$J278&lt;&gt;"",$M278&lt;&gt;$J278),1,0))</f>
        <v/>
      </c>
      <c r="W278" s="39" t="str">
        <f aca="false">IF($E278="","",IF($L278="Cancelada",0,IF(OR($K278&lt;&gt;"",$L278="Concluída"),1,0)))</f>
        <v/>
      </c>
    </row>
    <row r="279" customFormat="false" ht="15" hidden="false" customHeight="true" outlineLevel="0" collapsed="false">
      <c r="A279" s="31" t="str">
        <f aca="false">IF($E279="","",COUNTA($E$5:$E279))</f>
        <v/>
      </c>
      <c r="B279" s="32"/>
      <c r="C279" s="32"/>
      <c r="D279" s="32"/>
      <c r="E279" s="32"/>
      <c r="F279" s="33"/>
      <c r="G279" s="32"/>
      <c r="H279" s="34"/>
      <c r="I279" s="35"/>
      <c r="J279" s="36" t="str">
        <f aca="false">IF(OR($H279="",$I279=""),"",$H279+MATCH($I279,Listas!$F$5:$F$11,0)-1)</f>
        <v/>
      </c>
      <c r="K279" s="37"/>
      <c r="L279" s="33"/>
      <c r="M279" s="37"/>
      <c r="N279" s="32"/>
      <c r="O279" s="32"/>
      <c r="P279" s="38" t="str">
        <f aca="true">IF($E279="","",IF($L279="Cancelada","Cancelada",IF(OR($K279&lt;&gt;"",$L279="Concluída"),IF(OR($J279="",$K279="",$K279&lt;=$J279),"Concluída","Concluída com atraso"),IF($J279="","Na carteira",IF($J279&lt;TODAY(),"VENCIDA",IF($L279="Em execução","Em execução",IF($J279=TODAY(),"Hoje","Programada")))))))</f>
        <v/>
      </c>
      <c r="Q279" s="31" t="str">
        <f aca="false">IF($E279="","",IF(ISNUMBER(SEARCH("(externo)",$G279)),"Terceirizada","Interna"))</f>
        <v/>
      </c>
      <c r="R279" s="36" t="str">
        <f aca="false">IF($J279="","",IF($M279="",$J279,$M279))</f>
        <v/>
      </c>
      <c r="S279" s="31" t="str">
        <f aca="false">IF($E279="","",IF(OR($K279="",$J279=""),0,IF($K279&lt;=$J279,1,0)))</f>
        <v/>
      </c>
      <c r="T279" s="31" t="str">
        <f aca="false">IF($E279="","",IF(OR($K279="",$R279=""),0,IF($K279&lt;=$R279,1,0)))</f>
        <v/>
      </c>
      <c r="U279" s="38" t="str">
        <f aca="false">IF(OR($K279="",$J279=""),"",MAX(0,$K279-$J279))</f>
        <v/>
      </c>
      <c r="V279" s="31" t="str">
        <f aca="false">IF($E279="","",IF(AND($M279&lt;&gt;"",$J279&lt;&gt;"",$M279&lt;&gt;$J279),1,0))</f>
        <v/>
      </c>
      <c r="W279" s="39" t="str">
        <f aca="false">IF($E279="","",IF($L279="Cancelada",0,IF(OR($K279&lt;&gt;"",$L279="Concluída"),1,0)))</f>
        <v/>
      </c>
    </row>
    <row r="280" customFormat="false" ht="15" hidden="false" customHeight="true" outlineLevel="0" collapsed="false">
      <c r="A280" s="31" t="str">
        <f aca="false">IF($E280="","",COUNTA($E$5:$E280))</f>
        <v/>
      </c>
      <c r="B280" s="32"/>
      <c r="C280" s="32"/>
      <c r="D280" s="32"/>
      <c r="E280" s="32"/>
      <c r="F280" s="33"/>
      <c r="G280" s="32"/>
      <c r="H280" s="34"/>
      <c r="I280" s="35"/>
      <c r="J280" s="36" t="str">
        <f aca="false">IF(OR($H280="",$I280=""),"",$H280+MATCH($I280,Listas!$F$5:$F$11,0)-1)</f>
        <v/>
      </c>
      <c r="K280" s="37"/>
      <c r="L280" s="33"/>
      <c r="M280" s="37"/>
      <c r="N280" s="32"/>
      <c r="O280" s="32"/>
      <c r="P280" s="38" t="str">
        <f aca="true">IF($E280="","",IF($L280="Cancelada","Cancelada",IF(OR($K280&lt;&gt;"",$L280="Concluída"),IF(OR($J280="",$K280="",$K280&lt;=$J280),"Concluída","Concluída com atraso"),IF($J280="","Na carteira",IF($J280&lt;TODAY(),"VENCIDA",IF($L280="Em execução","Em execução",IF($J280=TODAY(),"Hoje","Programada")))))))</f>
        <v/>
      </c>
      <c r="Q280" s="31" t="str">
        <f aca="false">IF($E280="","",IF(ISNUMBER(SEARCH("(externo)",$G280)),"Terceirizada","Interna"))</f>
        <v/>
      </c>
      <c r="R280" s="36" t="str">
        <f aca="false">IF($J280="","",IF($M280="",$J280,$M280))</f>
        <v/>
      </c>
      <c r="S280" s="31" t="str">
        <f aca="false">IF($E280="","",IF(OR($K280="",$J280=""),0,IF($K280&lt;=$J280,1,0)))</f>
        <v/>
      </c>
      <c r="T280" s="31" t="str">
        <f aca="false">IF($E280="","",IF(OR($K280="",$R280=""),0,IF($K280&lt;=$R280,1,0)))</f>
        <v/>
      </c>
      <c r="U280" s="38" t="str">
        <f aca="false">IF(OR($K280="",$J280=""),"",MAX(0,$K280-$J280))</f>
        <v/>
      </c>
      <c r="V280" s="31" t="str">
        <f aca="false">IF($E280="","",IF(AND($M280&lt;&gt;"",$J280&lt;&gt;"",$M280&lt;&gt;$J280),1,0))</f>
        <v/>
      </c>
      <c r="W280" s="39" t="str">
        <f aca="false">IF($E280="","",IF($L280="Cancelada",0,IF(OR($K280&lt;&gt;"",$L280="Concluída"),1,0)))</f>
        <v/>
      </c>
    </row>
    <row r="281" customFormat="false" ht="15" hidden="false" customHeight="true" outlineLevel="0" collapsed="false">
      <c r="A281" s="31" t="str">
        <f aca="false">IF($E281="","",COUNTA($E$5:$E281))</f>
        <v/>
      </c>
      <c r="B281" s="32"/>
      <c r="C281" s="32"/>
      <c r="D281" s="32"/>
      <c r="E281" s="32"/>
      <c r="F281" s="33"/>
      <c r="G281" s="32"/>
      <c r="H281" s="34"/>
      <c r="I281" s="35"/>
      <c r="J281" s="36" t="str">
        <f aca="false">IF(OR($H281="",$I281=""),"",$H281+MATCH($I281,Listas!$F$5:$F$11,0)-1)</f>
        <v/>
      </c>
      <c r="K281" s="37"/>
      <c r="L281" s="33"/>
      <c r="M281" s="37"/>
      <c r="N281" s="32"/>
      <c r="O281" s="32"/>
      <c r="P281" s="38" t="str">
        <f aca="true">IF($E281="","",IF($L281="Cancelada","Cancelada",IF(OR($K281&lt;&gt;"",$L281="Concluída"),IF(OR($J281="",$K281="",$K281&lt;=$J281),"Concluída","Concluída com atraso"),IF($J281="","Na carteira",IF($J281&lt;TODAY(),"VENCIDA",IF($L281="Em execução","Em execução",IF($J281=TODAY(),"Hoje","Programada")))))))</f>
        <v/>
      </c>
      <c r="Q281" s="31" t="str">
        <f aca="false">IF($E281="","",IF(ISNUMBER(SEARCH("(externo)",$G281)),"Terceirizada","Interna"))</f>
        <v/>
      </c>
      <c r="R281" s="36" t="str">
        <f aca="false">IF($J281="","",IF($M281="",$J281,$M281))</f>
        <v/>
      </c>
      <c r="S281" s="31" t="str">
        <f aca="false">IF($E281="","",IF(OR($K281="",$J281=""),0,IF($K281&lt;=$J281,1,0)))</f>
        <v/>
      </c>
      <c r="T281" s="31" t="str">
        <f aca="false">IF($E281="","",IF(OR($K281="",$R281=""),0,IF($K281&lt;=$R281,1,0)))</f>
        <v/>
      </c>
      <c r="U281" s="38" t="str">
        <f aca="false">IF(OR($K281="",$J281=""),"",MAX(0,$K281-$J281))</f>
        <v/>
      </c>
      <c r="V281" s="31" t="str">
        <f aca="false">IF($E281="","",IF(AND($M281&lt;&gt;"",$J281&lt;&gt;"",$M281&lt;&gt;$J281),1,0))</f>
        <v/>
      </c>
      <c r="W281" s="39" t="str">
        <f aca="false">IF($E281="","",IF($L281="Cancelada",0,IF(OR($K281&lt;&gt;"",$L281="Concluída"),1,0)))</f>
        <v/>
      </c>
    </row>
    <row r="282" customFormat="false" ht="15" hidden="false" customHeight="true" outlineLevel="0" collapsed="false">
      <c r="A282" s="31" t="str">
        <f aca="false">IF($E282="","",COUNTA($E$5:$E282))</f>
        <v/>
      </c>
      <c r="B282" s="32"/>
      <c r="C282" s="32"/>
      <c r="D282" s="32"/>
      <c r="E282" s="32"/>
      <c r="F282" s="33"/>
      <c r="G282" s="32"/>
      <c r="H282" s="34"/>
      <c r="I282" s="35"/>
      <c r="J282" s="36" t="str">
        <f aca="false">IF(OR($H282="",$I282=""),"",$H282+MATCH($I282,Listas!$F$5:$F$11,0)-1)</f>
        <v/>
      </c>
      <c r="K282" s="37"/>
      <c r="L282" s="33"/>
      <c r="M282" s="37"/>
      <c r="N282" s="32"/>
      <c r="O282" s="32"/>
      <c r="P282" s="38" t="str">
        <f aca="true">IF($E282="","",IF($L282="Cancelada","Cancelada",IF(OR($K282&lt;&gt;"",$L282="Concluída"),IF(OR($J282="",$K282="",$K282&lt;=$J282),"Concluída","Concluída com atraso"),IF($J282="","Na carteira",IF($J282&lt;TODAY(),"VENCIDA",IF($L282="Em execução","Em execução",IF($J282=TODAY(),"Hoje","Programada")))))))</f>
        <v/>
      </c>
      <c r="Q282" s="31" t="str">
        <f aca="false">IF($E282="","",IF(ISNUMBER(SEARCH("(externo)",$G282)),"Terceirizada","Interna"))</f>
        <v/>
      </c>
      <c r="R282" s="36" t="str">
        <f aca="false">IF($J282="","",IF($M282="",$J282,$M282))</f>
        <v/>
      </c>
      <c r="S282" s="31" t="str">
        <f aca="false">IF($E282="","",IF(OR($K282="",$J282=""),0,IF($K282&lt;=$J282,1,0)))</f>
        <v/>
      </c>
      <c r="T282" s="31" t="str">
        <f aca="false">IF($E282="","",IF(OR($K282="",$R282=""),0,IF($K282&lt;=$R282,1,0)))</f>
        <v/>
      </c>
      <c r="U282" s="38" t="str">
        <f aca="false">IF(OR($K282="",$J282=""),"",MAX(0,$K282-$J282))</f>
        <v/>
      </c>
      <c r="V282" s="31" t="str">
        <f aca="false">IF($E282="","",IF(AND($M282&lt;&gt;"",$J282&lt;&gt;"",$M282&lt;&gt;$J282),1,0))</f>
        <v/>
      </c>
      <c r="W282" s="39" t="str">
        <f aca="false">IF($E282="","",IF($L282="Cancelada",0,IF(OR($K282&lt;&gt;"",$L282="Concluída"),1,0)))</f>
        <v/>
      </c>
    </row>
    <row r="283" customFormat="false" ht="15" hidden="false" customHeight="true" outlineLevel="0" collapsed="false">
      <c r="A283" s="31" t="str">
        <f aca="false">IF($E283="","",COUNTA($E$5:$E283))</f>
        <v/>
      </c>
      <c r="B283" s="32"/>
      <c r="C283" s="32"/>
      <c r="D283" s="32"/>
      <c r="E283" s="32"/>
      <c r="F283" s="33"/>
      <c r="G283" s="32"/>
      <c r="H283" s="34"/>
      <c r="I283" s="35"/>
      <c r="J283" s="36" t="str">
        <f aca="false">IF(OR($H283="",$I283=""),"",$H283+MATCH($I283,Listas!$F$5:$F$11,0)-1)</f>
        <v/>
      </c>
      <c r="K283" s="37"/>
      <c r="L283" s="33"/>
      <c r="M283" s="37"/>
      <c r="N283" s="32"/>
      <c r="O283" s="32"/>
      <c r="P283" s="38" t="str">
        <f aca="true">IF($E283="","",IF($L283="Cancelada","Cancelada",IF(OR($K283&lt;&gt;"",$L283="Concluída"),IF(OR($J283="",$K283="",$K283&lt;=$J283),"Concluída","Concluída com atraso"),IF($J283="","Na carteira",IF($J283&lt;TODAY(),"VENCIDA",IF($L283="Em execução","Em execução",IF($J283=TODAY(),"Hoje","Programada")))))))</f>
        <v/>
      </c>
      <c r="Q283" s="31" t="str">
        <f aca="false">IF($E283="","",IF(ISNUMBER(SEARCH("(externo)",$G283)),"Terceirizada","Interna"))</f>
        <v/>
      </c>
      <c r="R283" s="36" t="str">
        <f aca="false">IF($J283="","",IF($M283="",$J283,$M283))</f>
        <v/>
      </c>
      <c r="S283" s="31" t="str">
        <f aca="false">IF($E283="","",IF(OR($K283="",$J283=""),0,IF($K283&lt;=$J283,1,0)))</f>
        <v/>
      </c>
      <c r="T283" s="31" t="str">
        <f aca="false">IF($E283="","",IF(OR($K283="",$R283=""),0,IF($K283&lt;=$R283,1,0)))</f>
        <v/>
      </c>
      <c r="U283" s="38" t="str">
        <f aca="false">IF(OR($K283="",$J283=""),"",MAX(0,$K283-$J283))</f>
        <v/>
      </c>
      <c r="V283" s="31" t="str">
        <f aca="false">IF($E283="","",IF(AND($M283&lt;&gt;"",$J283&lt;&gt;"",$M283&lt;&gt;$J283),1,0))</f>
        <v/>
      </c>
      <c r="W283" s="39" t="str">
        <f aca="false">IF($E283="","",IF($L283="Cancelada",0,IF(OR($K283&lt;&gt;"",$L283="Concluída"),1,0)))</f>
        <v/>
      </c>
    </row>
    <row r="284" customFormat="false" ht="15" hidden="false" customHeight="true" outlineLevel="0" collapsed="false">
      <c r="A284" s="31" t="str">
        <f aca="false">IF($E284="","",COUNTA($E$5:$E284))</f>
        <v/>
      </c>
      <c r="B284" s="32"/>
      <c r="C284" s="32"/>
      <c r="D284" s="32"/>
      <c r="E284" s="32"/>
      <c r="F284" s="33"/>
      <c r="G284" s="32"/>
      <c r="H284" s="34"/>
      <c r="I284" s="35"/>
      <c r="J284" s="36" t="str">
        <f aca="false">IF(OR($H284="",$I284=""),"",$H284+MATCH($I284,Listas!$F$5:$F$11,0)-1)</f>
        <v/>
      </c>
      <c r="K284" s="37"/>
      <c r="L284" s="33"/>
      <c r="M284" s="37"/>
      <c r="N284" s="32"/>
      <c r="O284" s="32"/>
      <c r="P284" s="38" t="str">
        <f aca="true">IF($E284="","",IF($L284="Cancelada","Cancelada",IF(OR($K284&lt;&gt;"",$L284="Concluída"),IF(OR($J284="",$K284="",$K284&lt;=$J284),"Concluída","Concluída com atraso"),IF($J284="","Na carteira",IF($J284&lt;TODAY(),"VENCIDA",IF($L284="Em execução","Em execução",IF($J284=TODAY(),"Hoje","Programada")))))))</f>
        <v/>
      </c>
      <c r="Q284" s="31" t="str">
        <f aca="false">IF($E284="","",IF(ISNUMBER(SEARCH("(externo)",$G284)),"Terceirizada","Interna"))</f>
        <v/>
      </c>
      <c r="R284" s="36" t="str">
        <f aca="false">IF($J284="","",IF($M284="",$J284,$M284))</f>
        <v/>
      </c>
      <c r="S284" s="31" t="str">
        <f aca="false">IF($E284="","",IF(OR($K284="",$J284=""),0,IF($K284&lt;=$J284,1,0)))</f>
        <v/>
      </c>
      <c r="T284" s="31" t="str">
        <f aca="false">IF($E284="","",IF(OR($K284="",$R284=""),0,IF($K284&lt;=$R284,1,0)))</f>
        <v/>
      </c>
      <c r="U284" s="38" t="str">
        <f aca="false">IF(OR($K284="",$J284=""),"",MAX(0,$K284-$J284))</f>
        <v/>
      </c>
      <c r="V284" s="31" t="str">
        <f aca="false">IF($E284="","",IF(AND($M284&lt;&gt;"",$J284&lt;&gt;"",$M284&lt;&gt;$J284),1,0))</f>
        <v/>
      </c>
      <c r="W284" s="39" t="str">
        <f aca="false">IF($E284="","",IF($L284="Cancelada",0,IF(OR($K284&lt;&gt;"",$L284="Concluída"),1,0)))</f>
        <v/>
      </c>
    </row>
    <row r="285" customFormat="false" ht="15" hidden="false" customHeight="true" outlineLevel="0" collapsed="false">
      <c r="A285" s="31" t="str">
        <f aca="false">IF($E285="","",COUNTA($E$5:$E285))</f>
        <v/>
      </c>
      <c r="B285" s="32"/>
      <c r="C285" s="32"/>
      <c r="D285" s="32"/>
      <c r="E285" s="32"/>
      <c r="F285" s="33"/>
      <c r="G285" s="32"/>
      <c r="H285" s="34"/>
      <c r="I285" s="35"/>
      <c r="J285" s="36" t="str">
        <f aca="false">IF(OR($H285="",$I285=""),"",$H285+MATCH($I285,Listas!$F$5:$F$11,0)-1)</f>
        <v/>
      </c>
      <c r="K285" s="37"/>
      <c r="L285" s="33"/>
      <c r="M285" s="37"/>
      <c r="N285" s="32"/>
      <c r="O285" s="32"/>
      <c r="P285" s="38" t="str">
        <f aca="true">IF($E285="","",IF($L285="Cancelada","Cancelada",IF(OR($K285&lt;&gt;"",$L285="Concluída"),IF(OR($J285="",$K285="",$K285&lt;=$J285),"Concluída","Concluída com atraso"),IF($J285="","Na carteira",IF($J285&lt;TODAY(),"VENCIDA",IF($L285="Em execução","Em execução",IF($J285=TODAY(),"Hoje","Programada")))))))</f>
        <v/>
      </c>
      <c r="Q285" s="31" t="str">
        <f aca="false">IF($E285="","",IF(ISNUMBER(SEARCH("(externo)",$G285)),"Terceirizada","Interna"))</f>
        <v/>
      </c>
      <c r="R285" s="36" t="str">
        <f aca="false">IF($J285="","",IF($M285="",$J285,$M285))</f>
        <v/>
      </c>
      <c r="S285" s="31" t="str">
        <f aca="false">IF($E285="","",IF(OR($K285="",$J285=""),0,IF($K285&lt;=$J285,1,0)))</f>
        <v/>
      </c>
      <c r="T285" s="31" t="str">
        <f aca="false">IF($E285="","",IF(OR($K285="",$R285=""),0,IF($K285&lt;=$R285,1,0)))</f>
        <v/>
      </c>
      <c r="U285" s="38" t="str">
        <f aca="false">IF(OR($K285="",$J285=""),"",MAX(0,$K285-$J285))</f>
        <v/>
      </c>
      <c r="V285" s="31" t="str">
        <f aca="false">IF($E285="","",IF(AND($M285&lt;&gt;"",$J285&lt;&gt;"",$M285&lt;&gt;$J285),1,0))</f>
        <v/>
      </c>
      <c r="W285" s="39" t="str">
        <f aca="false">IF($E285="","",IF($L285="Cancelada",0,IF(OR($K285&lt;&gt;"",$L285="Concluída"),1,0)))</f>
        <v/>
      </c>
    </row>
    <row r="286" customFormat="false" ht="15" hidden="false" customHeight="true" outlineLevel="0" collapsed="false">
      <c r="A286" s="31" t="str">
        <f aca="false">IF($E286="","",COUNTA($E$5:$E286))</f>
        <v/>
      </c>
      <c r="B286" s="32"/>
      <c r="C286" s="32"/>
      <c r="D286" s="32"/>
      <c r="E286" s="32"/>
      <c r="F286" s="33"/>
      <c r="G286" s="32"/>
      <c r="H286" s="34"/>
      <c r="I286" s="35"/>
      <c r="J286" s="36" t="str">
        <f aca="false">IF(OR($H286="",$I286=""),"",$H286+MATCH($I286,Listas!$F$5:$F$11,0)-1)</f>
        <v/>
      </c>
      <c r="K286" s="37"/>
      <c r="L286" s="33"/>
      <c r="M286" s="37"/>
      <c r="N286" s="32"/>
      <c r="O286" s="32"/>
      <c r="P286" s="38" t="str">
        <f aca="true">IF($E286="","",IF($L286="Cancelada","Cancelada",IF(OR($K286&lt;&gt;"",$L286="Concluída"),IF(OR($J286="",$K286="",$K286&lt;=$J286),"Concluída","Concluída com atraso"),IF($J286="","Na carteira",IF($J286&lt;TODAY(),"VENCIDA",IF($L286="Em execução","Em execução",IF($J286=TODAY(),"Hoje","Programada")))))))</f>
        <v/>
      </c>
      <c r="Q286" s="31" t="str">
        <f aca="false">IF($E286="","",IF(ISNUMBER(SEARCH("(externo)",$G286)),"Terceirizada","Interna"))</f>
        <v/>
      </c>
      <c r="R286" s="36" t="str">
        <f aca="false">IF($J286="","",IF($M286="",$J286,$M286))</f>
        <v/>
      </c>
      <c r="S286" s="31" t="str">
        <f aca="false">IF($E286="","",IF(OR($K286="",$J286=""),0,IF($K286&lt;=$J286,1,0)))</f>
        <v/>
      </c>
      <c r="T286" s="31" t="str">
        <f aca="false">IF($E286="","",IF(OR($K286="",$R286=""),0,IF($K286&lt;=$R286,1,0)))</f>
        <v/>
      </c>
      <c r="U286" s="38" t="str">
        <f aca="false">IF(OR($K286="",$J286=""),"",MAX(0,$K286-$J286))</f>
        <v/>
      </c>
      <c r="V286" s="31" t="str">
        <f aca="false">IF($E286="","",IF(AND($M286&lt;&gt;"",$J286&lt;&gt;"",$M286&lt;&gt;$J286),1,0))</f>
        <v/>
      </c>
      <c r="W286" s="39" t="str">
        <f aca="false">IF($E286="","",IF($L286="Cancelada",0,IF(OR($K286&lt;&gt;"",$L286="Concluída"),1,0)))</f>
        <v/>
      </c>
    </row>
    <row r="287" customFormat="false" ht="15" hidden="false" customHeight="true" outlineLevel="0" collapsed="false">
      <c r="A287" s="31" t="str">
        <f aca="false">IF($E287="","",COUNTA($E$5:$E287))</f>
        <v/>
      </c>
      <c r="B287" s="32"/>
      <c r="C287" s="32"/>
      <c r="D287" s="32"/>
      <c r="E287" s="32"/>
      <c r="F287" s="33"/>
      <c r="G287" s="32"/>
      <c r="H287" s="34"/>
      <c r="I287" s="35"/>
      <c r="J287" s="36" t="str">
        <f aca="false">IF(OR($H287="",$I287=""),"",$H287+MATCH($I287,Listas!$F$5:$F$11,0)-1)</f>
        <v/>
      </c>
      <c r="K287" s="37"/>
      <c r="L287" s="33"/>
      <c r="M287" s="37"/>
      <c r="N287" s="32"/>
      <c r="O287" s="32"/>
      <c r="P287" s="38" t="str">
        <f aca="true">IF($E287="","",IF($L287="Cancelada","Cancelada",IF(OR($K287&lt;&gt;"",$L287="Concluída"),IF(OR($J287="",$K287="",$K287&lt;=$J287),"Concluída","Concluída com atraso"),IF($J287="","Na carteira",IF($J287&lt;TODAY(),"VENCIDA",IF($L287="Em execução","Em execução",IF($J287=TODAY(),"Hoje","Programada")))))))</f>
        <v/>
      </c>
      <c r="Q287" s="31" t="str">
        <f aca="false">IF($E287="","",IF(ISNUMBER(SEARCH("(externo)",$G287)),"Terceirizada","Interna"))</f>
        <v/>
      </c>
      <c r="R287" s="36" t="str">
        <f aca="false">IF($J287="","",IF($M287="",$J287,$M287))</f>
        <v/>
      </c>
      <c r="S287" s="31" t="str">
        <f aca="false">IF($E287="","",IF(OR($K287="",$J287=""),0,IF($K287&lt;=$J287,1,0)))</f>
        <v/>
      </c>
      <c r="T287" s="31" t="str">
        <f aca="false">IF($E287="","",IF(OR($K287="",$R287=""),0,IF($K287&lt;=$R287,1,0)))</f>
        <v/>
      </c>
      <c r="U287" s="38" t="str">
        <f aca="false">IF(OR($K287="",$J287=""),"",MAX(0,$K287-$J287))</f>
        <v/>
      </c>
      <c r="V287" s="31" t="str">
        <f aca="false">IF($E287="","",IF(AND($M287&lt;&gt;"",$J287&lt;&gt;"",$M287&lt;&gt;$J287),1,0))</f>
        <v/>
      </c>
      <c r="W287" s="39" t="str">
        <f aca="false">IF($E287="","",IF($L287="Cancelada",0,IF(OR($K287&lt;&gt;"",$L287="Concluída"),1,0)))</f>
        <v/>
      </c>
    </row>
    <row r="288" customFormat="false" ht="15" hidden="false" customHeight="true" outlineLevel="0" collapsed="false">
      <c r="A288" s="31" t="str">
        <f aca="false">IF($E288="","",COUNTA($E$5:$E288))</f>
        <v/>
      </c>
      <c r="B288" s="32"/>
      <c r="C288" s="32"/>
      <c r="D288" s="32"/>
      <c r="E288" s="32"/>
      <c r="F288" s="33"/>
      <c r="G288" s="32"/>
      <c r="H288" s="34"/>
      <c r="I288" s="35"/>
      <c r="J288" s="36" t="str">
        <f aca="false">IF(OR($H288="",$I288=""),"",$H288+MATCH($I288,Listas!$F$5:$F$11,0)-1)</f>
        <v/>
      </c>
      <c r="K288" s="37"/>
      <c r="L288" s="33"/>
      <c r="M288" s="37"/>
      <c r="N288" s="32"/>
      <c r="O288" s="32"/>
      <c r="P288" s="38" t="str">
        <f aca="true">IF($E288="","",IF($L288="Cancelada","Cancelada",IF(OR($K288&lt;&gt;"",$L288="Concluída"),IF(OR($J288="",$K288="",$K288&lt;=$J288),"Concluída","Concluída com atraso"),IF($J288="","Na carteira",IF($J288&lt;TODAY(),"VENCIDA",IF($L288="Em execução","Em execução",IF($J288=TODAY(),"Hoje","Programada")))))))</f>
        <v/>
      </c>
      <c r="Q288" s="31" t="str">
        <f aca="false">IF($E288="","",IF(ISNUMBER(SEARCH("(externo)",$G288)),"Terceirizada","Interna"))</f>
        <v/>
      </c>
      <c r="R288" s="36" t="str">
        <f aca="false">IF($J288="","",IF($M288="",$J288,$M288))</f>
        <v/>
      </c>
      <c r="S288" s="31" t="str">
        <f aca="false">IF($E288="","",IF(OR($K288="",$J288=""),0,IF($K288&lt;=$J288,1,0)))</f>
        <v/>
      </c>
      <c r="T288" s="31" t="str">
        <f aca="false">IF($E288="","",IF(OR($K288="",$R288=""),0,IF($K288&lt;=$R288,1,0)))</f>
        <v/>
      </c>
      <c r="U288" s="38" t="str">
        <f aca="false">IF(OR($K288="",$J288=""),"",MAX(0,$K288-$J288))</f>
        <v/>
      </c>
      <c r="V288" s="31" t="str">
        <f aca="false">IF($E288="","",IF(AND($M288&lt;&gt;"",$J288&lt;&gt;"",$M288&lt;&gt;$J288),1,0))</f>
        <v/>
      </c>
      <c r="W288" s="39" t="str">
        <f aca="false">IF($E288="","",IF($L288="Cancelada",0,IF(OR($K288&lt;&gt;"",$L288="Concluída"),1,0)))</f>
        <v/>
      </c>
    </row>
    <row r="289" customFormat="false" ht="15" hidden="false" customHeight="true" outlineLevel="0" collapsed="false">
      <c r="A289" s="31" t="str">
        <f aca="false">IF($E289="","",COUNTA($E$5:$E289))</f>
        <v/>
      </c>
      <c r="B289" s="32"/>
      <c r="C289" s="32"/>
      <c r="D289" s="32"/>
      <c r="E289" s="32"/>
      <c r="F289" s="33"/>
      <c r="G289" s="32"/>
      <c r="H289" s="34"/>
      <c r="I289" s="35"/>
      <c r="J289" s="36" t="str">
        <f aca="false">IF(OR($H289="",$I289=""),"",$H289+MATCH($I289,Listas!$F$5:$F$11,0)-1)</f>
        <v/>
      </c>
      <c r="K289" s="37"/>
      <c r="L289" s="33"/>
      <c r="M289" s="37"/>
      <c r="N289" s="32"/>
      <c r="O289" s="32"/>
      <c r="P289" s="38" t="str">
        <f aca="true">IF($E289="","",IF($L289="Cancelada","Cancelada",IF(OR($K289&lt;&gt;"",$L289="Concluída"),IF(OR($J289="",$K289="",$K289&lt;=$J289),"Concluída","Concluída com atraso"),IF($J289="","Na carteira",IF($J289&lt;TODAY(),"VENCIDA",IF($L289="Em execução","Em execução",IF($J289=TODAY(),"Hoje","Programada")))))))</f>
        <v/>
      </c>
      <c r="Q289" s="31" t="str">
        <f aca="false">IF($E289="","",IF(ISNUMBER(SEARCH("(externo)",$G289)),"Terceirizada","Interna"))</f>
        <v/>
      </c>
      <c r="R289" s="36" t="str">
        <f aca="false">IF($J289="","",IF($M289="",$J289,$M289))</f>
        <v/>
      </c>
      <c r="S289" s="31" t="str">
        <f aca="false">IF($E289="","",IF(OR($K289="",$J289=""),0,IF($K289&lt;=$J289,1,0)))</f>
        <v/>
      </c>
      <c r="T289" s="31" t="str">
        <f aca="false">IF($E289="","",IF(OR($K289="",$R289=""),0,IF($K289&lt;=$R289,1,0)))</f>
        <v/>
      </c>
      <c r="U289" s="38" t="str">
        <f aca="false">IF(OR($K289="",$J289=""),"",MAX(0,$K289-$J289))</f>
        <v/>
      </c>
      <c r="V289" s="31" t="str">
        <f aca="false">IF($E289="","",IF(AND($M289&lt;&gt;"",$J289&lt;&gt;"",$M289&lt;&gt;$J289),1,0))</f>
        <v/>
      </c>
      <c r="W289" s="39" t="str">
        <f aca="false">IF($E289="","",IF($L289="Cancelada",0,IF(OR($K289&lt;&gt;"",$L289="Concluída"),1,0)))</f>
        <v/>
      </c>
    </row>
    <row r="290" customFormat="false" ht="15" hidden="false" customHeight="true" outlineLevel="0" collapsed="false">
      <c r="A290" s="31" t="str">
        <f aca="false">IF($E290="","",COUNTA($E$5:$E290))</f>
        <v/>
      </c>
      <c r="B290" s="32"/>
      <c r="C290" s="32"/>
      <c r="D290" s="32"/>
      <c r="E290" s="32"/>
      <c r="F290" s="33"/>
      <c r="G290" s="32"/>
      <c r="H290" s="34"/>
      <c r="I290" s="35"/>
      <c r="J290" s="36" t="str">
        <f aca="false">IF(OR($H290="",$I290=""),"",$H290+MATCH($I290,Listas!$F$5:$F$11,0)-1)</f>
        <v/>
      </c>
      <c r="K290" s="37"/>
      <c r="L290" s="33"/>
      <c r="M290" s="37"/>
      <c r="N290" s="32"/>
      <c r="O290" s="32"/>
      <c r="P290" s="38" t="str">
        <f aca="true">IF($E290="","",IF($L290="Cancelada","Cancelada",IF(OR($K290&lt;&gt;"",$L290="Concluída"),IF(OR($J290="",$K290="",$K290&lt;=$J290),"Concluída","Concluída com atraso"),IF($J290="","Na carteira",IF($J290&lt;TODAY(),"VENCIDA",IF($L290="Em execução","Em execução",IF($J290=TODAY(),"Hoje","Programada")))))))</f>
        <v/>
      </c>
      <c r="Q290" s="31" t="str">
        <f aca="false">IF($E290="","",IF(ISNUMBER(SEARCH("(externo)",$G290)),"Terceirizada","Interna"))</f>
        <v/>
      </c>
      <c r="R290" s="36" t="str">
        <f aca="false">IF($J290="","",IF($M290="",$J290,$M290))</f>
        <v/>
      </c>
      <c r="S290" s="31" t="str">
        <f aca="false">IF($E290="","",IF(OR($K290="",$J290=""),0,IF($K290&lt;=$J290,1,0)))</f>
        <v/>
      </c>
      <c r="T290" s="31" t="str">
        <f aca="false">IF($E290="","",IF(OR($K290="",$R290=""),0,IF($K290&lt;=$R290,1,0)))</f>
        <v/>
      </c>
      <c r="U290" s="38" t="str">
        <f aca="false">IF(OR($K290="",$J290=""),"",MAX(0,$K290-$J290))</f>
        <v/>
      </c>
      <c r="V290" s="31" t="str">
        <f aca="false">IF($E290="","",IF(AND($M290&lt;&gt;"",$J290&lt;&gt;"",$M290&lt;&gt;$J290),1,0))</f>
        <v/>
      </c>
      <c r="W290" s="39" t="str">
        <f aca="false">IF($E290="","",IF($L290="Cancelada",0,IF(OR($K290&lt;&gt;"",$L290="Concluída"),1,0)))</f>
        <v/>
      </c>
    </row>
    <row r="291" customFormat="false" ht="15" hidden="false" customHeight="true" outlineLevel="0" collapsed="false">
      <c r="A291" s="31" t="str">
        <f aca="false">IF($E291="","",COUNTA($E$5:$E291))</f>
        <v/>
      </c>
      <c r="B291" s="32"/>
      <c r="C291" s="32"/>
      <c r="D291" s="32"/>
      <c r="E291" s="32"/>
      <c r="F291" s="33"/>
      <c r="G291" s="32"/>
      <c r="H291" s="34"/>
      <c r="I291" s="35"/>
      <c r="J291" s="36" t="str">
        <f aca="false">IF(OR($H291="",$I291=""),"",$H291+MATCH($I291,Listas!$F$5:$F$11,0)-1)</f>
        <v/>
      </c>
      <c r="K291" s="37"/>
      <c r="L291" s="33"/>
      <c r="M291" s="37"/>
      <c r="N291" s="32"/>
      <c r="O291" s="32"/>
      <c r="P291" s="38" t="str">
        <f aca="true">IF($E291="","",IF($L291="Cancelada","Cancelada",IF(OR($K291&lt;&gt;"",$L291="Concluída"),IF(OR($J291="",$K291="",$K291&lt;=$J291),"Concluída","Concluída com atraso"),IF($J291="","Na carteira",IF($J291&lt;TODAY(),"VENCIDA",IF($L291="Em execução","Em execução",IF($J291=TODAY(),"Hoje","Programada")))))))</f>
        <v/>
      </c>
      <c r="Q291" s="31" t="str">
        <f aca="false">IF($E291="","",IF(ISNUMBER(SEARCH("(externo)",$G291)),"Terceirizada","Interna"))</f>
        <v/>
      </c>
      <c r="R291" s="36" t="str">
        <f aca="false">IF($J291="","",IF($M291="",$J291,$M291))</f>
        <v/>
      </c>
      <c r="S291" s="31" t="str">
        <f aca="false">IF($E291="","",IF(OR($K291="",$J291=""),0,IF($K291&lt;=$J291,1,0)))</f>
        <v/>
      </c>
      <c r="T291" s="31" t="str">
        <f aca="false">IF($E291="","",IF(OR($K291="",$R291=""),0,IF($K291&lt;=$R291,1,0)))</f>
        <v/>
      </c>
      <c r="U291" s="38" t="str">
        <f aca="false">IF(OR($K291="",$J291=""),"",MAX(0,$K291-$J291))</f>
        <v/>
      </c>
      <c r="V291" s="31" t="str">
        <f aca="false">IF($E291="","",IF(AND($M291&lt;&gt;"",$J291&lt;&gt;"",$M291&lt;&gt;$J291),1,0))</f>
        <v/>
      </c>
      <c r="W291" s="39" t="str">
        <f aca="false">IF($E291="","",IF($L291="Cancelada",0,IF(OR($K291&lt;&gt;"",$L291="Concluída"),1,0)))</f>
        <v/>
      </c>
    </row>
    <row r="292" customFormat="false" ht="15" hidden="false" customHeight="true" outlineLevel="0" collapsed="false">
      <c r="A292" s="31" t="str">
        <f aca="false">IF($E292="","",COUNTA($E$5:$E292))</f>
        <v/>
      </c>
      <c r="B292" s="32"/>
      <c r="C292" s="32"/>
      <c r="D292" s="32"/>
      <c r="E292" s="32"/>
      <c r="F292" s="33"/>
      <c r="G292" s="32"/>
      <c r="H292" s="34"/>
      <c r="I292" s="35"/>
      <c r="J292" s="36" t="str">
        <f aca="false">IF(OR($H292="",$I292=""),"",$H292+MATCH($I292,Listas!$F$5:$F$11,0)-1)</f>
        <v/>
      </c>
      <c r="K292" s="37"/>
      <c r="L292" s="33"/>
      <c r="M292" s="37"/>
      <c r="N292" s="32"/>
      <c r="O292" s="32"/>
      <c r="P292" s="38" t="str">
        <f aca="true">IF($E292="","",IF($L292="Cancelada","Cancelada",IF(OR($K292&lt;&gt;"",$L292="Concluída"),IF(OR($J292="",$K292="",$K292&lt;=$J292),"Concluída","Concluída com atraso"),IF($J292="","Na carteira",IF($J292&lt;TODAY(),"VENCIDA",IF($L292="Em execução","Em execução",IF($J292=TODAY(),"Hoje","Programada")))))))</f>
        <v/>
      </c>
      <c r="Q292" s="31" t="str">
        <f aca="false">IF($E292="","",IF(ISNUMBER(SEARCH("(externo)",$G292)),"Terceirizada","Interna"))</f>
        <v/>
      </c>
      <c r="R292" s="36" t="str">
        <f aca="false">IF($J292="","",IF($M292="",$J292,$M292))</f>
        <v/>
      </c>
      <c r="S292" s="31" t="str">
        <f aca="false">IF($E292="","",IF(OR($K292="",$J292=""),0,IF($K292&lt;=$J292,1,0)))</f>
        <v/>
      </c>
      <c r="T292" s="31" t="str">
        <f aca="false">IF($E292="","",IF(OR($K292="",$R292=""),0,IF($K292&lt;=$R292,1,0)))</f>
        <v/>
      </c>
      <c r="U292" s="38" t="str">
        <f aca="false">IF(OR($K292="",$J292=""),"",MAX(0,$K292-$J292))</f>
        <v/>
      </c>
      <c r="V292" s="31" t="str">
        <f aca="false">IF($E292="","",IF(AND($M292&lt;&gt;"",$J292&lt;&gt;"",$M292&lt;&gt;$J292),1,0))</f>
        <v/>
      </c>
      <c r="W292" s="39" t="str">
        <f aca="false">IF($E292="","",IF($L292="Cancelada",0,IF(OR($K292&lt;&gt;"",$L292="Concluída"),1,0)))</f>
        <v/>
      </c>
    </row>
    <row r="293" customFormat="false" ht="15" hidden="false" customHeight="true" outlineLevel="0" collapsed="false">
      <c r="A293" s="31" t="str">
        <f aca="false">IF($E293="","",COUNTA($E$5:$E293))</f>
        <v/>
      </c>
      <c r="B293" s="32"/>
      <c r="C293" s="32"/>
      <c r="D293" s="32"/>
      <c r="E293" s="32"/>
      <c r="F293" s="33"/>
      <c r="G293" s="32"/>
      <c r="H293" s="34"/>
      <c r="I293" s="35"/>
      <c r="J293" s="36" t="str">
        <f aca="false">IF(OR($H293="",$I293=""),"",$H293+MATCH($I293,Listas!$F$5:$F$11,0)-1)</f>
        <v/>
      </c>
      <c r="K293" s="37"/>
      <c r="L293" s="33"/>
      <c r="M293" s="37"/>
      <c r="N293" s="32"/>
      <c r="O293" s="32"/>
      <c r="P293" s="38" t="str">
        <f aca="true">IF($E293="","",IF($L293="Cancelada","Cancelada",IF(OR($K293&lt;&gt;"",$L293="Concluída"),IF(OR($J293="",$K293="",$K293&lt;=$J293),"Concluída","Concluída com atraso"),IF($J293="","Na carteira",IF($J293&lt;TODAY(),"VENCIDA",IF($L293="Em execução","Em execução",IF($J293=TODAY(),"Hoje","Programada")))))))</f>
        <v/>
      </c>
      <c r="Q293" s="31" t="str">
        <f aca="false">IF($E293="","",IF(ISNUMBER(SEARCH("(externo)",$G293)),"Terceirizada","Interna"))</f>
        <v/>
      </c>
      <c r="R293" s="36" t="str">
        <f aca="false">IF($J293="","",IF($M293="",$J293,$M293))</f>
        <v/>
      </c>
      <c r="S293" s="31" t="str">
        <f aca="false">IF($E293="","",IF(OR($K293="",$J293=""),0,IF($K293&lt;=$J293,1,0)))</f>
        <v/>
      </c>
      <c r="T293" s="31" t="str">
        <f aca="false">IF($E293="","",IF(OR($K293="",$R293=""),0,IF($K293&lt;=$R293,1,0)))</f>
        <v/>
      </c>
      <c r="U293" s="38" t="str">
        <f aca="false">IF(OR($K293="",$J293=""),"",MAX(0,$K293-$J293))</f>
        <v/>
      </c>
      <c r="V293" s="31" t="str">
        <f aca="false">IF($E293="","",IF(AND($M293&lt;&gt;"",$J293&lt;&gt;"",$M293&lt;&gt;$J293),1,0))</f>
        <v/>
      </c>
      <c r="W293" s="39" t="str">
        <f aca="false">IF($E293="","",IF($L293="Cancelada",0,IF(OR($K293&lt;&gt;"",$L293="Concluída"),1,0)))</f>
        <v/>
      </c>
    </row>
    <row r="294" customFormat="false" ht="15" hidden="false" customHeight="true" outlineLevel="0" collapsed="false">
      <c r="A294" s="31" t="str">
        <f aca="false">IF($E294="","",COUNTA($E$5:$E294))</f>
        <v/>
      </c>
      <c r="B294" s="32"/>
      <c r="C294" s="32"/>
      <c r="D294" s="32"/>
      <c r="E294" s="32"/>
      <c r="F294" s="33"/>
      <c r="G294" s="32"/>
      <c r="H294" s="34"/>
      <c r="I294" s="35"/>
      <c r="J294" s="36" t="str">
        <f aca="false">IF(OR($H294="",$I294=""),"",$H294+MATCH($I294,Listas!$F$5:$F$11,0)-1)</f>
        <v/>
      </c>
      <c r="K294" s="37"/>
      <c r="L294" s="33"/>
      <c r="M294" s="37"/>
      <c r="N294" s="32"/>
      <c r="O294" s="32"/>
      <c r="P294" s="38" t="str">
        <f aca="true">IF($E294="","",IF($L294="Cancelada","Cancelada",IF(OR($K294&lt;&gt;"",$L294="Concluída"),IF(OR($J294="",$K294="",$K294&lt;=$J294),"Concluída","Concluída com atraso"),IF($J294="","Na carteira",IF($J294&lt;TODAY(),"VENCIDA",IF($L294="Em execução","Em execução",IF($J294=TODAY(),"Hoje","Programada")))))))</f>
        <v/>
      </c>
      <c r="Q294" s="31" t="str">
        <f aca="false">IF($E294="","",IF(ISNUMBER(SEARCH("(externo)",$G294)),"Terceirizada","Interna"))</f>
        <v/>
      </c>
      <c r="R294" s="36" t="str">
        <f aca="false">IF($J294="","",IF($M294="",$J294,$M294))</f>
        <v/>
      </c>
      <c r="S294" s="31" t="str">
        <f aca="false">IF($E294="","",IF(OR($K294="",$J294=""),0,IF($K294&lt;=$J294,1,0)))</f>
        <v/>
      </c>
      <c r="T294" s="31" t="str">
        <f aca="false">IF($E294="","",IF(OR($K294="",$R294=""),0,IF($K294&lt;=$R294,1,0)))</f>
        <v/>
      </c>
      <c r="U294" s="38" t="str">
        <f aca="false">IF(OR($K294="",$J294=""),"",MAX(0,$K294-$J294))</f>
        <v/>
      </c>
      <c r="V294" s="31" t="str">
        <f aca="false">IF($E294="","",IF(AND($M294&lt;&gt;"",$J294&lt;&gt;"",$M294&lt;&gt;$J294),1,0))</f>
        <v/>
      </c>
      <c r="W294" s="39" t="str">
        <f aca="false">IF($E294="","",IF($L294="Cancelada",0,IF(OR($K294&lt;&gt;"",$L294="Concluída"),1,0)))</f>
        <v/>
      </c>
    </row>
    <row r="295" customFormat="false" ht="15" hidden="false" customHeight="true" outlineLevel="0" collapsed="false">
      <c r="A295" s="31" t="str">
        <f aca="false">IF($E295="","",COUNTA($E$5:$E295))</f>
        <v/>
      </c>
      <c r="B295" s="32"/>
      <c r="C295" s="32"/>
      <c r="D295" s="32"/>
      <c r="E295" s="32"/>
      <c r="F295" s="33"/>
      <c r="G295" s="32"/>
      <c r="H295" s="34"/>
      <c r="I295" s="35"/>
      <c r="J295" s="36" t="str">
        <f aca="false">IF(OR($H295="",$I295=""),"",$H295+MATCH($I295,Listas!$F$5:$F$11,0)-1)</f>
        <v/>
      </c>
      <c r="K295" s="37"/>
      <c r="L295" s="33"/>
      <c r="M295" s="37"/>
      <c r="N295" s="32"/>
      <c r="O295" s="32"/>
      <c r="P295" s="38" t="str">
        <f aca="true">IF($E295="","",IF($L295="Cancelada","Cancelada",IF(OR($K295&lt;&gt;"",$L295="Concluída"),IF(OR($J295="",$K295="",$K295&lt;=$J295),"Concluída","Concluída com atraso"),IF($J295="","Na carteira",IF($J295&lt;TODAY(),"VENCIDA",IF($L295="Em execução","Em execução",IF($J295=TODAY(),"Hoje","Programada")))))))</f>
        <v/>
      </c>
      <c r="Q295" s="31" t="str">
        <f aca="false">IF($E295="","",IF(ISNUMBER(SEARCH("(externo)",$G295)),"Terceirizada","Interna"))</f>
        <v/>
      </c>
      <c r="R295" s="36" t="str">
        <f aca="false">IF($J295="","",IF($M295="",$J295,$M295))</f>
        <v/>
      </c>
      <c r="S295" s="31" t="str">
        <f aca="false">IF($E295="","",IF(OR($K295="",$J295=""),0,IF($K295&lt;=$J295,1,0)))</f>
        <v/>
      </c>
      <c r="T295" s="31" t="str">
        <f aca="false">IF($E295="","",IF(OR($K295="",$R295=""),0,IF($K295&lt;=$R295,1,0)))</f>
        <v/>
      </c>
      <c r="U295" s="38" t="str">
        <f aca="false">IF(OR($K295="",$J295=""),"",MAX(0,$K295-$J295))</f>
        <v/>
      </c>
      <c r="V295" s="31" t="str">
        <f aca="false">IF($E295="","",IF(AND($M295&lt;&gt;"",$J295&lt;&gt;"",$M295&lt;&gt;$J295),1,0))</f>
        <v/>
      </c>
      <c r="W295" s="39" t="str">
        <f aca="false">IF($E295="","",IF($L295="Cancelada",0,IF(OR($K295&lt;&gt;"",$L295="Concluída"),1,0)))</f>
        <v/>
      </c>
    </row>
    <row r="296" customFormat="false" ht="15" hidden="false" customHeight="true" outlineLevel="0" collapsed="false">
      <c r="A296" s="31" t="str">
        <f aca="false">IF($E296="","",COUNTA($E$5:$E296))</f>
        <v/>
      </c>
      <c r="B296" s="32"/>
      <c r="C296" s="32"/>
      <c r="D296" s="32"/>
      <c r="E296" s="32"/>
      <c r="F296" s="33"/>
      <c r="G296" s="32"/>
      <c r="H296" s="34"/>
      <c r="I296" s="35"/>
      <c r="J296" s="36" t="str">
        <f aca="false">IF(OR($H296="",$I296=""),"",$H296+MATCH($I296,Listas!$F$5:$F$11,0)-1)</f>
        <v/>
      </c>
      <c r="K296" s="37"/>
      <c r="L296" s="33"/>
      <c r="M296" s="37"/>
      <c r="N296" s="32"/>
      <c r="O296" s="32"/>
      <c r="P296" s="38" t="str">
        <f aca="true">IF($E296="","",IF($L296="Cancelada","Cancelada",IF(OR($K296&lt;&gt;"",$L296="Concluída"),IF(OR($J296="",$K296="",$K296&lt;=$J296),"Concluída","Concluída com atraso"),IF($J296="","Na carteira",IF($J296&lt;TODAY(),"VENCIDA",IF($L296="Em execução","Em execução",IF($J296=TODAY(),"Hoje","Programada")))))))</f>
        <v/>
      </c>
      <c r="Q296" s="31" t="str">
        <f aca="false">IF($E296="","",IF(ISNUMBER(SEARCH("(externo)",$G296)),"Terceirizada","Interna"))</f>
        <v/>
      </c>
      <c r="R296" s="36" t="str">
        <f aca="false">IF($J296="","",IF($M296="",$J296,$M296))</f>
        <v/>
      </c>
      <c r="S296" s="31" t="str">
        <f aca="false">IF($E296="","",IF(OR($K296="",$J296=""),0,IF($K296&lt;=$J296,1,0)))</f>
        <v/>
      </c>
      <c r="T296" s="31" t="str">
        <f aca="false">IF($E296="","",IF(OR($K296="",$R296=""),0,IF($K296&lt;=$R296,1,0)))</f>
        <v/>
      </c>
      <c r="U296" s="38" t="str">
        <f aca="false">IF(OR($K296="",$J296=""),"",MAX(0,$K296-$J296))</f>
        <v/>
      </c>
      <c r="V296" s="31" t="str">
        <f aca="false">IF($E296="","",IF(AND($M296&lt;&gt;"",$J296&lt;&gt;"",$M296&lt;&gt;$J296),1,0))</f>
        <v/>
      </c>
      <c r="W296" s="39" t="str">
        <f aca="false">IF($E296="","",IF($L296="Cancelada",0,IF(OR($K296&lt;&gt;"",$L296="Concluída"),1,0)))</f>
        <v/>
      </c>
    </row>
    <row r="297" customFormat="false" ht="15" hidden="false" customHeight="true" outlineLevel="0" collapsed="false">
      <c r="A297" s="31" t="str">
        <f aca="false">IF($E297="","",COUNTA($E$5:$E297))</f>
        <v/>
      </c>
      <c r="B297" s="32"/>
      <c r="C297" s="32"/>
      <c r="D297" s="32"/>
      <c r="E297" s="32"/>
      <c r="F297" s="33"/>
      <c r="G297" s="32"/>
      <c r="H297" s="34"/>
      <c r="I297" s="35"/>
      <c r="J297" s="36" t="str">
        <f aca="false">IF(OR($H297="",$I297=""),"",$H297+MATCH($I297,Listas!$F$5:$F$11,0)-1)</f>
        <v/>
      </c>
      <c r="K297" s="37"/>
      <c r="L297" s="33"/>
      <c r="M297" s="37"/>
      <c r="N297" s="32"/>
      <c r="O297" s="32"/>
      <c r="P297" s="38" t="str">
        <f aca="true">IF($E297="","",IF($L297="Cancelada","Cancelada",IF(OR($K297&lt;&gt;"",$L297="Concluída"),IF(OR($J297="",$K297="",$K297&lt;=$J297),"Concluída","Concluída com atraso"),IF($J297="","Na carteira",IF($J297&lt;TODAY(),"VENCIDA",IF($L297="Em execução","Em execução",IF($J297=TODAY(),"Hoje","Programada")))))))</f>
        <v/>
      </c>
      <c r="Q297" s="31" t="str">
        <f aca="false">IF($E297="","",IF(ISNUMBER(SEARCH("(externo)",$G297)),"Terceirizada","Interna"))</f>
        <v/>
      </c>
      <c r="R297" s="36" t="str">
        <f aca="false">IF($J297="","",IF($M297="",$J297,$M297))</f>
        <v/>
      </c>
      <c r="S297" s="31" t="str">
        <f aca="false">IF($E297="","",IF(OR($K297="",$J297=""),0,IF($K297&lt;=$J297,1,0)))</f>
        <v/>
      </c>
      <c r="T297" s="31" t="str">
        <f aca="false">IF($E297="","",IF(OR($K297="",$R297=""),0,IF($K297&lt;=$R297,1,0)))</f>
        <v/>
      </c>
      <c r="U297" s="38" t="str">
        <f aca="false">IF(OR($K297="",$J297=""),"",MAX(0,$K297-$J297))</f>
        <v/>
      </c>
      <c r="V297" s="31" t="str">
        <f aca="false">IF($E297="","",IF(AND($M297&lt;&gt;"",$J297&lt;&gt;"",$M297&lt;&gt;$J297),1,0))</f>
        <v/>
      </c>
      <c r="W297" s="39" t="str">
        <f aca="false">IF($E297="","",IF($L297="Cancelada",0,IF(OR($K297&lt;&gt;"",$L297="Concluída"),1,0)))</f>
        <v/>
      </c>
    </row>
    <row r="298" customFormat="false" ht="15" hidden="false" customHeight="true" outlineLevel="0" collapsed="false">
      <c r="A298" s="31" t="str">
        <f aca="false">IF($E298="","",COUNTA($E$5:$E298))</f>
        <v/>
      </c>
      <c r="B298" s="32"/>
      <c r="C298" s="32"/>
      <c r="D298" s="32"/>
      <c r="E298" s="32"/>
      <c r="F298" s="33"/>
      <c r="G298" s="32"/>
      <c r="H298" s="34"/>
      <c r="I298" s="35"/>
      <c r="J298" s="36" t="str">
        <f aca="false">IF(OR($H298="",$I298=""),"",$H298+MATCH($I298,Listas!$F$5:$F$11,0)-1)</f>
        <v/>
      </c>
      <c r="K298" s="37"/>
      <c r="L298" s="33"/>
      <c r="M298" s="37"/>
      <c r="N298" s="32"/>
      <c r="O298" s="32"/>
      <c r="P298" s="38" t="str">
        <f aca="true">IF($E298="","",IF($L298="Cancelada","Cancelada",IF(OR($K298&lt;&gt;"",$L298="Concluída"),IF(OR($J298="",$K298="",$K298&lt;=$J298),"Concluída","Concluída com atraso"),IF($J298="","Na carteira",IF($J298&lt;TODAY(),"VENCIDA",IF($L298="Em execução","Em execução",IF($J298=TODAY(),"Hoje","Programada")))))))</f>
        <v/>
      </c>
      <c r="Q298" s="31" t="str">
        <f aca="false">IF($E298="","",IF(ISNUMBER(SEARCH("(externo)",$G298)),"Terceirizada","Interna"))</f>
        <v/>
      </c>
      <c r="R298" s="36" t="str">
        <f aca="false">IF($J298="","",IF($M298="",$J298,$M298))</f>
        <v/>
      </c>
      <c r="S298" s="31" t="str">
        <f aca="false">IF($E298="","",IF(OR($K298="",$J298=""),0,IF($K298&lt;=$J298,1,0)))</f>
        <v/>
      </c>
      <c r="T298" s="31" t="str">
        <f aca="false">IF($E298="","",IF(OR($K298="",$R298=""),0,IF($K298&lt;=$R298,1,0)))</f>
        <v/>
      </c>
      <c r="U298" s="38" t="str">
        <f aca="false">IF(OR($K298="",$J298=""),"",MAX(0,$K298-$J298))</f>
        <v/>
      </c>
      <c r="V298" s="31" t="str">
        <f aca="false">IF($E298="","",IF(AND($M298&lt;&gt;"",$J298&lt;&gt;"",$M298&lt;&gt;$J298),1,0))</f>
        <v/>
      </c>
      <c r="W298" s="39" t="str">
        <f aca="false">IF($E298="","",IF($L298="Cancelada",0,IF(OR($K298&lt;&gt;"",$L298="Concluída"),1,0)))</f>
        <v/>
      </c>
    </row>
    <row r="299" customFormat="false" ht="15" hidden="false" customHeight="true" outlineLevel="0" collapsed="false">
      <c r="A299" s="31" t="str">
        <f aca="false">IF($E299="","",COUNTA($E$5:$E299))</f>
        <v/>
      </c>
      <c r="B299" s="32"/>
      <c r="C299" s="32"/>
      <c r="D299" s="32"/>
      <c r="E299" s="32"/>
      <c r="F299" s="33"/>
      <c r="G299" s="32"/>
      <c r="H299" s="34"/>
      <c r="I299" s="35"/>
      <c r="J299" s="36" t="str">
        <f aca="false">IF(OR($H299="",$I299=""),"",$H299+MATCH($I299,Listas!$F$5:$F$11,0)-1)</f>
        <v/>
      </c>
      <c r="K299" s="37"/>
      <c r="L299" s="33"/>
      <c r="M299" s="37"/>
      <c r="N299" s="32"/>
      <c r="O299" s="32"/>
      <c r="P299" s="38" t="str">
        <f aca="true">IF($E299="","",IF($L299="Cancelada","Cancelada",IF(OR($K299&lt;&gt;"",$L299="Concluída"),IF(OR($J299="",$K299="",$K299&lt;=$J299),"Concluída","Concluída com atraso"),IF($J299="","Na carteira",IF($J299&lt;TODAY(),"VENCIDA",IF($L299="Em execução","Em execução",IF($J299=TODAY(),"Hoje","Programada")))))))</f>
        <v/>
      </c>
      <c r="Q299" s="31" t="str">
        <f aca="false">IF($E299="","",IF(ISNUMBER(SEARCH("(externo)",$G299)),"Terceirizada","Interna"))</f>
        <v/>
      </c>
      <c r="R299" s="36" t="str">
        <f aca="false">IF($J299="","",IF($M299="",$J299,$M299))</f>
        <v/>
      </c>
      <c r="S299" s="31" t="str">
        <f aca="false">IF($E299="","",IF(OR($K299="",$J299=""),0,IF($K299&lt;=$J299,1,0)))</f>
        <v/>
      </c>
      <c r="T299" s="31" t="str">
        <f aca="false">IF($E299="","",IF(OR($K299="",$R299=""),0,IF($K299&lt;=$R299,1,0)))</f>
        <v/>
      </c>
      <c r="U299" s="38" t="str">
        <f aca="false">IF(OR($K299="",$J299=""),"",MAX(0,$K299-$J299))</f>
        <v/>
      </c>
      <c r="V299" s="31" t="str">
        <f aca="false">IF($E299="","",IF(AND($M299&lt;&gt;"",$J299&lt;&gt;"",$M299&lt;&gt;$J299),1,0))</f>
        <v/>
      </c>
      <c r="W299" s="39" t="str">
        <f aca="false">IF($E299="","",IF($L299="Cancelada",0,IF(OR($K299&lt;&gt;"",$L299="Concluída"),1,0)))</f>
        <v/>
      </c>
    </row>
    <row r="300" customFormat="false" ht="15" hidden="false" customHeight="true" outlineLevel="0" collapsed="false">
      <c r="A300" s="31" t="str">
        <f aca="false">IF($E300="","",COUNTA($E$5:$E300))</f>
        <v/>
      </c>
      <c r="B300" s="32"/>
      <c r="C300" s="32"/>
      <c r="D300" s="32"/>
      <c r="E300" s="32"/>
      <c r="F300" s="33"/>
      <c r="G300" s="32"/>
      <c r="H300" s="34"/>
      <c r="I300" s="35"/>
      <c r="J300" s="36" t="str">
        <f aca="false">IF(OR($H300="",$I300=""),"",$H300+MATCH($I300,Listas!$F$5:$F$11,0)-1)</f>
        <v/>
      </c>
      <c r="K300" s="37"/>
      <c r="L300" s="33"/>
      <c r="M300" s="37"/>
      <c r="N300" s="32"/>
      <c r="O300" s="32"/>
      <c r="P300" s="38" t="str">
        <f aca="true">IF($E300="","",IF($L300="Cancelada","Cancelada",IF(OR($K300&lt;&gt;"",$L300="Concluída"),IF(OR($J300="",$K300="",$K300&lt;=$J300),"Concluída","Concluída com atraso"),IF($J300="","Na carteira",IF($J300&lt;TODAY(),"VENCIDA",IF($L300="Em execução","Em execução",IF($J300=TODAY(),"Hoje","Programada")))))))</f>
        <v/>
      </c>
      <c r="Q300" s="31" t="str">
        <f aca="false">IF($E300="","",IF(ISNUMBER(SEARCH("(externo)",$G300)),"Terceirizada","Interna"))</f>
        <v/>
      </c>
      <c r="R300" s="36" t="str">
        <f aca="false">IF($J300="","",IF($M300="",$J300,$M300))</f>
        <v/>
      </c>
      <c r="S300" s="31" t="str">
        <f aca="false">IF($E300="","",IF(OR($K300="",$J300=""),0,IF($K300&lt;=$J300,1,0)))</f>
        <v/>
      </c>
      <c r="T300" s="31" t="str">
        <f aca="false">IF($E300="","",IF(OR($K300="",$R300=""),0,IF($K300&lt;=$R300,1,0)))</f>
        <v/>
      </c>
      <c r="U300" s="38" t="str">
        <f aca="false">IF(OR($K300="",$J300=""),"",MAX(0,$K300-$J300))</f>
        <v/>
      </c>
      <c r="V300" s="31" t="str">
        <f aca="false">IF($E300="","",IF(AND($M300&lt;&gt;"",$J300&lt;&gt;"",$M300&lt;&gt;$J300),1,0))</f>
        <v/>
      </c>
      <c r="W300" s="39" t="str">
        <f aca="false">IF($E300="","",IF($L300="Cancelada",0,IF(OR($K300&lt;&gt;"",$L300="Concluída"),1,0)))</f>
        <v/>
      </c>
    </row>
    <row r="301" customFormat="false" ht="15" hidden="false" customHeight="true" outlineLevel="0" collapsed="false">
      <c r="A301" s="31" t="str">
        <f aca="false">IF($E301="","",COUNTA($E$5:$E301))</f>
        <v/>
      </c>
      <c r="B301" s="32"/>
      <c r="C301" s="32"/>
      <c r="D301" s="32"/>
      <c r="E301" s="32"/>
      <c r="F301" s="33"/>
      <c r="G301" s="32"/>
      <c r="H301" s="34"/>
      <c r="I301" s="35"/>
      <c r="J301" s="36" t="str">
        <f aca="false">IF(OR($H301="",$I301=""),"",$H301+MATCH($I301,Listas!$F$5:$F$11,0)-1)</f>
        <v/>
      </c>
      <c r="K301" s="37"/>
      <c r="L301" s="33"/>
      <c r="M301" s="37"/>
      <c r="N301" s="32"/>
      <c r="O301" s="32"/>
      <c r="P301" s="38" t="str">
        <f aca="true">IF($E301="","",IF($L301="Cancelada","Cancelada",IF(OR($K301&lt;&gt;"",$L301="Concluída"),IF(OR($J301="",$K301="",$K301&lt;=$J301),"Concluída","Concluída com atraso"),IF($J301="","Na carteira",IF($J301&lt;TODAY(),"VENCIDA",IF($L301="Em execução","Em execução",IF($J301=TODAY(),"Hoje","Programada")))))))</f>
        <v/>
      </c>
      <c r="Q301" s="31" t="str">
        <f aca="false">IF($E301="","",IF(ISNUMBER(SEARCH("(externo)",$G301)),"Terceirizada","Interna"))</f>
        <v/>
      </c>
      <c r="R301" s="36" t="str">
        <f aca="false">IF($J301="","",IF($M301="",$J301,$M301))</f>
        <v/>
      </c>
      <c r="S301" s="31" t="str">
        <f aca="false">IF($E301="","",IF(OR($K301="",$J301=""),0,IF($K301&lt;=$J301,1,0)))</f>
        <v/>
      </c>
      <c r="T301" s="31" t="str">
        <f aca="false">IF($E301="","",IF(OR($K301="",$R301=""),0,IF($K301&lt;=$R301,1,0)))</f>
        <v/>
      </c>
      <c r="U301" s="38" t="str">
        <f aca="false">IF(OR($K301="",$J301=""),"",MAX(0,$K301-$J301))</f>
        <v/>
      </c>
      <c r="V301" s="31" t="str">
        <f aca="false">IF($E301="","",IF(AND($M301&lt;&gt;"",$J301&lt;&gt;"",$M301&lt;&gt;$J301),1,0))</f>
        <v/>
      </c>
      <c r="W301" s="39" t="str">
        <f aca="false">IF($E301="","",IF($L301="Cancelada",0,IF(OR($K301&lt;&gt;"",$L301="Concluída"),1,0)))</f>
        <v/>
      </c>
    </row>
    <row r="302" customFormat="false" ht="15" hidden="false" customHeight="true" outlineLevel="0" collapsed="false">
      <c r="A302" s="31" t="str">
        <f aca="false">IF($E302="","",COUNTA($E$5:$E302))</f>
        <v/>
      </c>
      <c r="B302" s="32"/>
      <c r="C302" s="32"/>
      <c r="D302" s="32"/>
      <c r="E302" s="32"/>
      <c r="F302" s="33"/>
      <c r="G302" s="32"/>
      <c r="H302" s="34"/>
      <c r="I302" s="35"/>
      <c r="J302" s="36" t="str">
        <f aca="false">IF(OR($H302="",$I302=""),"",$H302+MATCH($I302,Listas!$F$5:$F$11,0)-1)</f>
        <v/>
      </c>
      <c r="K302" s="37"/>
      <c r="L302" s="33"/>
      <c r="M302" s="37"/>
      <c r="N302" s="32"/>
      <c r="O302" s="32"/>
      <c r="P302" s="38" t="str">
        <f aca="true">IF($E302="","",IF($L302="Cancelada","Cancelada",IF(OR($K302&lt;&gt;"",$L302="Concluída"),IF(OR($J302="",$K302="",$K302&lt;=$J302),"Concluída","Concluída com atraso"),IF($J302="","Na carteira",IF($J302&lt;TODAY(),"VENCIDA",IF($L302="Em execução","Em execução",IF($J302=TODAY(),"Hoje","Programada")))))))</f>
        <v/>
      </c>
      <c r="Q302" s="31" t="str">
        <f aca="false">IF($E302="","",IF(ISNUMBER(SEARCH("(externo)",$G302)),"Terceirizada","Interna"))</f>
        <v/>
      </c>
      <c r="R302" s="36" t="str">
        <f aca="false">IF($J302="","",IF($M302="",$J302,$M302))</f>
        <v/>
      </c>
      <c r="S302" s="31" t="str">
        <f aca="false">IF($E302="","",IF(OR($K302="",$J302=""),0,IF($K302&lt;=$J302,1,0)))</f>
        <v/>
      </c>
      <c r="T302" s="31" t="str">
        <f aca="false">IF($E302="","",IF(OR($K302="",$R302=""),0,IF($K302&lt;=$R302,1,0)))</f>
        <v/>
      </c>
      <c r="U302" s="38" t="str">
        <f aca="false">IF(OR($K302="",$J302=""),"",MAX(0,$K302-$J302))</f>
        <v/>
      </c>
      <c r="V302" s="31" t="str">
        <f aca="false">IF($E302="","",IF(AND($M302&lt;&gt;"",$J302&lt;&gt;"",$M302&lt;&gt;$J302),1,0))</f>
        <v/>
      </c>
      <c r="W302" s="39" t="str">
        <f aca="false">IF($E302="","",IF($L302="Cancelada",0,IF(OR($K302&lt;&gt;"",$L302="Concluída"),1,0)))</f>
        <v/>
      </c>
    </row>
    <row r="303" customFormat="false" ht="15" hidden="false" customHeight="true" outlineLevel="0" collapsed="false">
      <c r="A303" s="31" t="str">
        <f aca="false">IF($E303="","",COUNTA($E$5:$E303))</f>
        <v/>
      </c>
      <c r="B303" s="32"/>
      <c r="C303" s="32"/>
      <c r="D303" s="32"/>
      <c r="E303" s="32"/>
      <c r="F303" s="33"/>
      <c r="G303" s="32"/>
      <c r="H303" s="34"/>
      <c r="I303" s="35"/>
      <c r="J303" s="36" t="str">
        <f aca="false">IF(OR($H303="",$I303=""),"",$H303+MATCH($I303,Listas!$F$5:$F$11,0)-1)</f>
        <v/>
      </c>
      <c r="K303" s="37"/>
      <c r="L303" s="33"/>
      <c r="M303" s="37"/>
      <c r="N303" s="32"/>
      <c r="O303" s="32"/>
      <c r="P303" s="38" t="str">
        <f aca="true">IF($E303="","",IF($L303="Cancelada","Cancelada",IF(OR($K303&lt;&gt;"",$L303="Concluída"),IF(OR($J303="",$K303="",$K303&lt;=$J303),"Concluída","Concluída com atraso"),IF($J303="","Na carteira",IF($J303&lt;TODAY(),"VENCIDA",IF($L303="Em execução","Em execução",IF($J303=TODAY(),"Hoje","Programada")))))))</f>
        <v/>
      </c>
      <c r="Q303" s="31" t="str">
        <f aca="false">IF($E303="","",IF(ISNUMBER(SEARCH("(externo)",$G303)),"Terceirizada","Interna"))</f>
        <v/>
      </c>
      <c r="R303" s="36" t="str">
        <f aca="false">IF($J303="","",IF($M303="",$J303,$M303))</f>
        <v/>
      </c>
      <c r="S303" s="31" t="str">
        <f aca="false">IF($E303="","",IF(OR($K303="",$J303=""),0,IF($K303&lt;=$J303,1,0)))</f>
        <v/>
      </c>
      <c r="T303" s="31" t="str">
        <f aca="false">IF($E303="","",IF(OR($K303="",$R303=""),0,IF($K303&lt;=$R303,1,0)))</f>
        <v/>
      </c>
      <c r="U303" s="38" t="str">
        <f aca="false">IF(OR($K303="",$J303=""),"",MAX(0,$K303-$J303))</f>
        <v/>
      </c>
      <c r="V303" s="31" t="str">
        <f aca="false">IF($E303="","",IF(AND($M303&lt;&gt;"",$J303&lt;&gt;"",$M303&lt;&gt;$J303),1,0))</f>
        <v/>
      </c>
      <c r="W303" s="39" t="str">
        <f aca="false">IF($E303="","",IF($L303="Cancelada",0,IF(OR($K303&lt;&gt;"",$L303="Concluída"),1,0)))</f>
        <v/>
      </c>
    </row>
    <row r="304" customFormat="false" ht="15" hidden="false" customHeight="true" outlineLevel="0" collapsed="false">
      <c r="A304" s="31" t="str">
        <f aca="false">IF($E304="","",COUNTA($E$5:$E304))</f>
        <v/>
      </c>
      <c r="B304" s="32"/>
      <c r="C304" s="32"/>
      <c r="D304" s="32"/>
      <c r="E304" s="32"/>
      <c r="F304" s="33"/>
      <c r="G304" s="32"/>
      <c r="H304" s="34"/>
      <c r="I304" s="35"/>
      <c r="J304" s="36" t="str">
        <f aca="false">IF(OR($H304="",$I304=""),"",$H304+MATCH($I304,Listas!$F$5:$F$11,0)-1)</f>
        <v/>
      </c>
      <c r="K304" s="37"/>
      <c r="L304" s="33"/>
      <c r="M304" s="37"/>
      <c r="N304" s="32"/>
      <c r="O304" s="32"/>
      <c r="P304" s="38" t="str">
        <f aca="true">IF($E304="","",IF($L304="Cancelada","Cancelada",IF(OR($K304&lt;&gt;"",$L304="Concluída"),IF(OR($J304="",$K304="",$K304&lt;=$J304),"Concluída","Concluída com atraso"),IF($J304="","Na carteira",IF($J304&lt;TODAY(),"VENCIDA",IF($L304="Em execução","Em execução",IF($J304=TODAY(),"Hoje","Programada")))))))</f>
        <v/>
      </c>
      <c r="Q304" s="31" t="str">
        <f aca="false">IF($E304="","",IF(ISNUMBER(SEARCH("(externo)",$G304)),"Terceirizada","Interna"))</f>
        <v/>
      </c>
      <c r="R304" s="36" t="str">
        <f aca="false">IF($J304="","",IF($M304="",$J304,$M304))</f>
        <v/>
      </c>
      <c r="S304" s="31" t="str">
        <f aca="false">IF($E304="","",IF(OR($K304="",$J304=""),0,IF($K304&lt;=$J304,1,0)))</f>
        <v/>
      </c>
      <c r="T304" s="31" t="str">
        <f aca="false">IF($E304="","",IF(OR($K304="",$R304=""),0,IF($K304&lt;=$R304,1,0)))</f>
        <v/>
      </c>
      <c r="U304" s="38" t="str">
        <f aca="false">IF(OR($K304="",$J304=""),"",MAX(0,$K304-$J304))</f>
        <v/>
      </c>
      <c r="V304" s="31" t="str">
        <f aca="false">IF($E304="","",IF(AND($M304&lt;&gt;"",$J304&lt;&gt;"",$M304&lt;&gt;$J304),1,0))</f>
        <v/>
      </c>
      <c r="W304" s="39" t="str">
        <f aca="false">IF($E304="","",IF($L304="Cancelada",0,IF(OR($K304&lt;&gt;"",$L304="Concluída"),1,0)))</f>
        <v/>
      </c>
    </row>
    <row r="305" customFormat="false" ht="15" hidden="false" customHeight="true" outlineLevel="0" collapsed="false">
      <c r="A305" s="31" t="str">
        <f aca="false">IF($E305="","",COUNTA($E$5:$E305))</f>
        <v/>
      </c>
      <c r="B305" s="32"/>
      <c r="C305" s="32"/>
      <c r="D305" s="32"/>
      <c r="E305" s="32"/>
      <c r="F305" s="33"/>
      <c r="G305" s="32"/>
      <c r="H305" s="34"/>
      <c r="I305" s="35"/>
      <c r="J305" s="36" t="str">
        <f aca="false">IF(OR($H305="",$I305=""),"",$H305+MATCH($I305,Listas!$F$5:$F$11,0)-1)</f>
        <v/>
      </c>
      <c r="K305" s="37"/>
      <c r="L305" s="33"/>
      <c r="M305" s="37"/>
      <c r="N305" s="32"/>
      <c r="O305" s="32"/>
      <c r="P305" s="38" t="str">
        <f aca="true">IF($E305="","",IF($L305="Cancelada","Cancelada",IF(OR($K305&lt;&gt;"",$L305="Concluída"),IF(OR($J305="",$K305="",$K305&lt;=$J305),"Concluída","Concluída com atraso"),IF($J305="","Na carteira",IF($J305&lt;TODAY(),"VENCIDA",IF($L305="Em execução","Em execução",IF($J305=TODAY(),"Hoje","Programada")))))))</f>
        <v/>
      </c>
      <c r="Q305" s="31" t="str">
        <f aca="false">IF($E305="","",IF(ISNUMBER(SEARCH("(externo)",$G305)),"Terceirizada","Interna"))</f>
        <v/>
      </c>
      <c r="R305" s="36" t="str">
        <f aca="false">IF($J305="","",IF($M305="",$J305,$M305))</f>
        <v/>
      </c>
      <c r="S305" s="31" t="str">
        <f aca="false">IF($E305="","",IF(OR($K305="",$J305=""),0,IF($K305&lt;=$J305,1,0)))</f>
        <v/>
      </c>
      <c r="T305" s="31" t="str">
        <f aca="false">IF($E305="","",IF(OR($K305="",$R305=""),0,IF($K305&lt;=$R305,1,0)))</f>
        <v/>
      </c>
      <c r="U305" s="38" t="str">
        <f aca="false">IF(OR($K305="",$J305=""),"",MAX(0,$K305-$J305))</f>
        <v/>
      </c>
      <c r="V305" s="31" t="str">
        <f aca="false">IF($E305="","",IF(AND($M305&lt;&gt;"",$J305&lt;&gt;"",$M305&lt;&gt;$J305),1,0))</f>
        <v/>
      </c>
      <c r="W305" s="39" t="str">
        <f aca="false">IF($E305="","",IF($L305="Cancelada",0,IF(OR($K305&lt;&gt;"",$L305="Concluída"),1,0)))</f>
        <v/>
      </c>
    </row>
    <row r="306" customFormat="false" ht="15" hidden="false" customHeight="true" outlineLevel="0" collapsed="false">
      <c r="A306" s="31" t="str">
        <f aca="false">IF($E306="","",COUNTA($E$5:$E306))</f>
        <v/>
      </c>
      <c r="B306" s="32"/>
      <c r="C306" s="32"/>
      <c r="D306" s="32"/>
      <c r="E306" s="32"/>
      <c r="F306" s="33"/>
      <c r="G306" s="32"/>
      <c r="H306" s="34"/>
      <c r="I306" s="35"/>
      <c r="J306" s="36" t="str">
        <f aca="false">IF(OR($H306="",$I306=""),"",$H306+MATCH($I306,Listas!$F$5:$F$11,0)-1)</f>
        <v/>
      </c>
      <c r="K306" s="37"/>
      <c r="L306" s="33"/>
      <c r="M306" s="37"/>
      <c r="N306" s="32"/>
      <c r="O306" s="32"/>
      <c r="P306" s="38" t="str">
        <f aca="true">IF($E306="","",IF($L306="Cancelada","Cancelada",IF(OR($K306&lt;&gt;"",$L306="Concluída"),IF(OR($J306="",$K306="",$K306&lt;=$J306),"Concluída","Concluída com atraso"),IF($J306="","Na carteira",IF($J306&lt;TODAY(),"VENCIDA",IF($L306="Em execução","Em execução",IF($J306=TODAY(),"Hoje","Programada")))))))</f>
        <v/>
      </c>
      <c r="Q306" s="31" t="str">
        <f aca="false">IF($E306="","",IF(ISNUMBER(SEARCH("(externo)",$G306)),"Terceirizada","Interna"))</f>
        <v/>
      </c>
      <c r="R306" s="36" t="str">
        <f aca="false">IF($J306="","",IF($M306="",$J306,$M306))</f>
        <v/>
      </c>
      <c r="S306" s="31" t="str">
        <f aca="false">IF($E306="","",IF(OR($K306="",$J306=""),0,IF($K306&lt;=$J306,1,0)))</f>
        <v/>
      </c>
      <c r="T306" s="31" t="str">
        <f aca="false">IF($E306="","",IF(OR($K306="",$R306=""),0,IF($K306&lt;=$R306,1,0)))</f>
        <v/>
      </c>
      <c r="U306" s="38" t="str">
        <f aca="false">IF(OR($K306="",$J306=""),"",MAX(0,$K306-$J306))</f>
        <v/>
      </c>
      <c r="V306" s="31" t="str">
        <f aca="false">IF($E306="","",IF(AND($M306&lt;&gt;"",$J306&lt;&gt;"",$M306&lt;&gt;$J306),1,0))</f>
        <v/>
      </c>
      <c r="W306" s="39" t="str">
        <f aca="false">IF($E306="","",IF($L306="Cancelada",0,IF(OR($K306&lt;&gt;"",$L306="Concluída"),1,0)))</f>
        <v/>
      </c>
    </row>
    <row r="307" customFormat="false" ht="15" hidden="false" customHeight="true" outlineLevel="0" collapsed="false">
      <c r="A307" s="31" t="str">
        <f aca="false">IF($E307="","",COUNTA($E$5:$E307))</f>
        <v/>
      </c>
      <c r="B307" s="32"/>
      <c r="C307" s="32"/>
      <c r="D307" s="32"/>
      <c r="E307" s="32"/>
      <c r="F307" s="33"/>
      <c r="G307" s="32"/>
      <c r="H307" s="34"/>
      <c r="I307" s="35"/>
      <c r="J307" s="36" t="str">
        <f aca="false">IF(OR($H307="",$I307=""),"",$H307+MATCH($I307,Listas!$F$5:$F$11,0)-1)</f>
        <v/>
      </c>
      <c r="K307" s="37"/>
      <c r="L307" s="33"/>
      <c r="M307" s="37"/>
      <c r="N307" s="32"/>
      <c r="O307" s="32"/>
      <c r="P307" s="38" t="str">
        <f aca="true">IF($E307="","",IF($L307="Cancelada","Cancelada",IF(OR($K307&lt;&gt;"",$L307="Concluída"),IF(OR($J307="",$K307="",$K307&lt;=$J307),"Concluída","Concluída com atraso"),IF($J307="","Na carteira",IF($J307&lt;TODAY(),"VENCIDA",IF($L307="Em execução","Em execução",IF($J307=TODAY(),"Hoje","Programada")))))))</f>
        <v/>
      </c>
      <c r="Q307" s="31" t="str">
        <f aca="false">IF($E307="","",IF(ISNUMBER(SEARCH("(externo)",$G307)),"Terceirizada","Interna"))</f>
        <v/>
      </c>
      <c r="R307" s="36" t="str">
        <f aca="false">IF($J307="","",IF($M307="",$J307,$M307))</f>
        <v/>
      </c>
      <c r="S307" s="31" t="str">
        <f aca="false">IF($E307="","",IF(OR($K307="",$J307=""),0,IF($K307&lt;=$J307,1,0)))</f>
        <v/>
      </c>
      <c r="T307" s="31" t="str">
        <f aca="false">IF($E307="","",IF(OR($K307="",$R307=""),0,IF($K307&lt;=$R307,1,0)))</f>
        <v/>
      </c>
      <c r="U307" s="38" t="str">
        <f aca="false">IF(OR($K307="",$J307=""),"",MAX(0,$K307-$J307))</f>
        <v/>
      </c>
      <c r="V307" s="31" t="str">
        <f aca="false">IF($E307="","",IF(AND($M307&lt;&gt;"",$J307&lt;&gt;"",$M307&lt;&gt;$J307),1,0))</f>
        <v/>
      </c>
      <c r="W307" s="39" t="str">
        <f aca="false">IF($E307="","",IF($L307="Cancelada",0,IF(OR($K307&lt;&gt;"",$L307="Concluída"),1,0)))</f>
        <v/>
      </c>
    </row>
    <row r="308" customFormat="false" ht="15" hidden="false" customHeight="true" outlineLevel="0" collapsed="false">
      <c r="A308" s="31" t="str">
        <f aca="false">IF($E308="","",COUNTA($E$5:$E308))</f>
        <v/>
      </c>
      <c r="B308" s="32"/>
      <c r="C308" s="32"/>
      <c r="D308" s="32"/>
      <c r="E308" s="32"/>
      <c r="F308" s="33"/>
      <c r="G308" s="32"/>
      <c r="H308" s="34"/>
      <c r="I308" s="35"/>
      <c r="J308" s="36" t="str">
        <f aca="false">IF(OR($H308="",$I308=""),"",$H308+MATCH($I308,Listas!$F$5:$F$11,0)-1)</f>
        <v/>
      </c>
      <c r="K308" s="37"/>
      <c r="L308" s="33"/>
      <c r="M308" s="37"/>
      <c r="N308" s="32"/>
      <c r="O308" s="32"/>
      <c r="P308" s="38" t="str">
        <f aca="true">IF($E308="","",IF($L308="Cancelada","Cancelada",IF(OR($K308&lt;&gt;"",$L308="Concluída"),IF(OR($J308="",$K308="",$K308&lt;=$J308),"Concluída","Concluída com atraso"),IF($J308="","Na carteira",IF($J308&lt;TODAY(),"VENCIDA",IF($L308="Em execução","Em execução",IF($J308=TODAY(),"Hoje","Programada")))))))</f>
        <v/>
      </c>
      <c r="Q308" s="31" t="str">
        <f aca="false">IF($E308="","",IF(ISNUMBER(SEARCH("(externo)",$G308)),"Terceirizada","Interna"))</f>
        <v/>
      </c>
      <c r="R308" s="36" t="str">
        <f aca="false">IF($J308="","",IF($M308="",$J308,$M308))</f>
        <v/>
      </c>
      <c r="S308" s="31" t="str">
        <f aca="false">IF($E308="","",IF(OR($K308="",$J308=""),0,IF($K308&lt;=$J308,1,0)))</f>
        <v/>
      </c>
      <c r="T308" s="31" t="str">
        <f aca="false">IF($E308="","",IF(OR($K308="",$R308=""),0,IF($K308&lt;=$R308,1,0)))</f>
        <v/>
      </c>
      <c r="U308" s="38" t="str">
        <f aca="false">IF(OR($K308="",$J308=""),"",MAX(0,$K308-$J308))</f>
        <v/>
      </c>
      <c r="V308" s="31" t="str">
        <f aca="false">IF($E308="","",IF(AND($M308&lt;&gt;"",$J308&lt;&gt;"",$M308&lt;&gt;$J308),1,0))</f>
        <v/>
      </c>
      <c r="W308" s="39" t="str">
        <f aca="false">IF($E308="","",IF($L308="Cancelada",0,IF(OR($K308&lt;&gt;"",$L308="Concluída"),1,0)))</f>
        <v/>
      </c>
    </row>
    <row r="309" customFormat="false" ht="15" hidden="false" customHeight="true" outlineLevel="0" collapsed="false">
      <c r="A309" s="31" t="str">
        <f aca="false">IF($E309="","",COUNTA($E$5:$E309))</f>
        <v/>
      </c>
      <c r="B309" s="32"/>
      <c r="C309" s="32"/>
      <c r="D309" s="32"/>
      <c r="E309" s="32"/>
      <c r="F309" s="33"/>
      <c r="G309" s="32"/>
      <c r="H309" s="34"/>
      <c r="I309" s="35"/>
      <c r="J309" s="36" t="str">
        <f aca="false">IF(OR($H309="",$I309=""),"",$H309+MATCH($I309,Listas!$F$5:$F$11,0)-1)</f>
        <v/>
      </c>
      <c r="K309" s="37"/>
      <c r="L309" s="33"/>
      <c r="M309" s="37"/>
      <c r="N309" s="32"/>
      <c r="O309" s="32"/>
      <c r="P309" s="38" t="str">
        <f aca="true">IF($E309="","",IF($L309="Cancelada","Cancelada",IF(OR($K309&lt;&gt;"",$L309="Concluída"),IF(OR($J309="",$K309="",$K309&lt;=$J309),"Concluída","Concluída com atraso"),IF($J309="","Na carteira",IF($J309&lt;TODAY(),"VENCIDA",IF($L309="Em execução","Em execução",IF($J309=TODAY(),"Hoje","Programada")))))))</f>
        <v/>
      </c>
      <c r="Q309" s="31" t="str">
        <f aca="false">IF($E309="","",IF(ISNUMBER(SEARCH("(externo)",$G309)),"Terceirizada","Interna"))</f>
        <v/>
      </c>
      <c r="R309" s="36" t="str">
        <f aca="false">IF($J309="","",IF($M309="",$J309,$M309))</f>
        <v/>
      </c>
      <c r="S309" s="31" t="str">
        <f aca="false">IF($E309="","",IF(OR($K309="",$J309=""),0,IF($K309&lt;=$J309,1,0)))</f>
        <v/>
      </c>
      <c r="T309" s="31" t="str">
        <f aca="false">IF($E309="","",IF(OR($K309="",$R309=""),0,IF($K309&lt;=$R309,1,0)))</f>
        <v/>
      </c>
      <c r="U309" s="38" t="str">
        <f aca="false">IF(OR($K309="",$J309=""),"",MAX(0,$K309-$J309))</f>
        <v/>
      </c>
      <c r="V309" s="31" t="str">
        <f aca="false">IF($E309="","",IF(AND($M309&lt;&gt;"",$J309&lt;&gt;"",$M309&lt;&gt;$J309),1,0))</f>
        <v/>
      </c>
      <c r="W309" s="39" t="str">
        <f aca="false">IF($E309="","",IF($L309="Cancelada",0,IF(OR($K309&lt;&gt;"",$L309="Concluída"),1,0)))</f>
        <v/>
      </c>
    </row>
    <row r="310" customFormat="false" ht="15" hidden="false" customHeight="true" outlineLevel="0" collapsed="false">
      <c r="A310" s="31" t="str">
        <f aca="false">IF($E310="","",COUNTA($E$5:$E310))</f>
        <v/>
      </c>
      <c r="B310" s="32"/>
      <c r="C310" s="32"/>
      <c r="D310" s="32"/>
      <c r="E310" s="32"/>
      <c r="F310" s="33"/>
      <c r="G310" s="32"/>
      <c r="H310" s="34"/>
      <c r="I310" s="35"/>
      <c r="J310" s="36" t="str">
        <f aca="false">IF(OR($H310="",$I310=""),"",$H310+MATCH($I310,Listas!$F$5:$F$11,0)-1)</f>
        <v/>
      </c>
      <c r="K310" s="37"/>
      <c r="L310" s="33"/>
      <c r="M310" s="37"/>
      <c r="N310" s="32"/>
      <c r="O310" s="32"/>
      <c r="P310" s="38" t="str">
        <f aca="true">IF($E310="","",IF($L310="Cancelada","Cancelada",IF(OR($K310&lt;&gt;"",$L310="Concluída"),IF(OR($J310="",$K310="",$K310&lt;=$J310),"Concluída","Concluída com atraso"),IF($J310="","Na carteira",IF($J310&lt;TODAY(),"VENCIDA",IF($L310="Em execução","Em execução",IF($J310=TODAY(),"Hoje","Programada")))))))</f>
        <v/>
      </c>
      <c r="Q310" s="31" t="str">
        <f aca="false">IF($E310="","",IF(ISNUMBER(SEARCH("(externo)",$G310)),"Terceirizada","Interna"))</f>
        <v/>
      </c>
      <c r="R310" s="36" t="str">
        <f aca="false">IF($J310="","",IF($M310="",$J310,$M310))</f>
        <v/>
      </c>
      <c r="S310" s="31" t="str">
        <f aca="false">IF($E310="","",IF(OR($K310="",$J310=""),0,IF($K310&lt;=$J310,1,0)))</f>
        <v/>
      </c>
      <c r="T310" s="31" t="str">
        <f aca="false">IF($E310="","",IF(OR($K310="",$R310=""),0,IF($K310&lt;=$R310,1,0)))</f>
        <v/>
      </c>
      <c r="U310" s="38" t="str">
        <f aca="false">IF(OR($K310="",$J310=""),"",MAX(0,$K310-$J310))</f>
        <v/>
      </c>
      <c r="V310" s="31" t="str">
        <f aca="false">IF($E310="","",IF(AND($M310&lt;&gt;"",$J310&lt;&gt;"",$M310&lt;&gt;$J310),1,0))</f>
        <v/>
      </c>
      <c r="W310" s="39" t="str">
        <f aca="false">IF($E310="","",IF($L310="Cancelada",0,IF(OR($K310&lt;&gt;"",$L310="Concluída"),1,0)))</f>
        <v/>
      </c>
    </row>
    <row r="311" customFormat="false" ht="15" hidden="false" customHeight="true" outlineLevel="0" collapsed="false">
      <c r="A311" s="31" t="str">
        <f aca="false">IF($E311="","",COUNTA($E$5:$E311))</f>
        <v/>
      </c>
      <c r="B311" s="32"/>
      <c r="C311" s="32"/>
      <c r="D311" s="32"/>
      <c r="E311" s="32"/>
      <c r="F311" s="33"/>
      <c r="G311" s="32"/>
      <c r="H311" s="34"/>
      <c r="I311" s="35"/>
      <c r="J311" s="36" t="str">
        <f aca="false">IF(OR($H311="",$I311=""),"",$H311+MATCH($I311,Listas!$F$5:$F$11,0)-1)</f>
        <v/>
      </c>
      <c r="K311" s="37"/>
      <c r="L311" s="33"/>
      <c r="M311" s="37"/>
      <c r="N311" s="32"/>
      <c r="O311" s="32"/>
      <c r="P311" s="38" t="str">
        <f aca="true">IF($E311="","",IF($L311="Cancelada","Cancelada",IF(OR($K311&lt;&gt;"",$L311="Concluída"),IF(OR($J311="",$K311="",$K311&lt;=$J311),"Concluída","Concluída com atraso"),IF($J311="","Na carteira",IF($J311&lt;TODAY(),"VENCIDA",IF($L311="Em execução","Em execução",IF($J311=TODAY(),"Hoje","Programada")))))))</f>
        <v/>
      </c>
      <c r="Q311" s="31" t="str">
        <f aca="false">IF($E311="","",IF(ISNUMBER(SEARCH("(externo)",$G311)),"Terceirizada","Interna"))</f>
        <v/>
      </c>
      <c r="R311" s="36" t="str">
        <f aca="false">IF($J311="","",IF($M311="",$J311,$M311))</f>
        <v/>
      </c>
      <c r="S311" s="31" t="str">
        <f aca="false">IF($E311="","",IF(OR($K311="",$J311=""),0,IF($K311&lt;=$J311,1,0)))</f>
        <v/>
      </c>
      <c r="T311" s="31" t="str">
        <f aca="false">IF($E311="","",IF(OR($K311="",$R311=""),0,IF($K311&lt;=$R311,1,0)))</f>
        <v/>
      </c>
      <c r="U311" s="38" t="str">
        <f aca="false">IF(OR($K311="",$J311=""),"",MAX(0,$K311-$J311))</f>
        <v/>
      </c>
      <c r="V311" s="31" t="str">
        <f aca="false">IF($E311="","",IF(AND($M311&lt;&gt;"",$J311&lt;&gt;"",$M311&lt;&gt;$J311),1,0))</f>
        <v/>
      </c>
      <c r="W311" s="39" t="str">
        <f aca="false">IF($E311="","",IF($L311="Cancelada",0,IF(OR($K311&lt;&gt;"",$L311="Concluída"),1,0)))</f>
        <v/>
      </c>
    </row>
    <row r="312" customFormat="false" ht="15" hidden="false" customHeight="true" outlineLevel="0" collapsed="false">
      <c r="A312" s="31" t="str">
        <f aca="false">IF($E312="","",COUNTA($E$5:$E312))</f>
        <v/>
      </c>
      <c r="B312" s="32"/>
      <c r="C312" s="32"/>
      <c r="D312" s="32"/>
      <c r="E312" s="32"/>
      <c r="F312" s="33"/>
      <c r="G312" s="32"/>
      <c r="H312" s="34"/>
      <c r="I312" s="35"/>
      <c r="J312" s="36" t="str">
        <f aca="false">IF(OR($H312="",$I312=""),"",$H312+MATCH($I312,Listas!$F$5:$F$11,0)-1)</f>
        <v/>
      </c>
      <c r="K312" s="37"/>
      <c r="L312" s="33"/>
      <c r="M312" s="37"/>
      <c r="N312" s="32"/>
      <c r="O312" s="32"/>
      <c r="P312" s="38" t="str">
        <f aca="true">IF($E312="","",IF($L312="Cancelada","Cancelada",IF(OR($K312&lt;&gt;"",$L312="Concluída"),IF(OR($J312="",$K312="",$K312&lt;=$J312),"Concluída","Concluída com atraso"),IF($J312="","Na carteira",IF($J312&lt;TODAY(),"VENCIDA",IF($L312="Em execução","Em execução",IF($J312=TODAY(),"Hoje","Programada")))))))</f>
        <v/>
      </c>
      <c r="Q312" s="31" t="str">
        <f aca="false">IF($E312="","",IF(ISNUMBER(SEARCH("(externo)",$G312)),"Terceirizada","Interna"))</f>
        <v/>
      </c>
      <c r="R312" s="36" t="str">
        <f aca="false">IF($J312="","",IF($M312="",$J312,$M312))</f>
        <v/>
      </c>
      <c r="S312" s="31" t="str">
        <f aca="false">IF($E312="","",IF(OR($K312="",$J312=""),0,IF($K312&lt;=$J312,1,0)))</f>
        <v/>
      </c>
      <c r="T312" s="31" t="str">
        <f aca="false">IF($E312="","",IF(OR($K312="",$R312=""),0,IF($K312&lt;=$R312,1,0)))</f>
        <v/>
      </c>
      <c r="U312" s="38" t="str">
        <f aca="false">IF(OR($K312="",$J312=""),"",MAX(0,$K312-$J312))</f>
        <v/>
      </c>
      <c r="V312" s="31" t="str">
        <f aca="false">IF($E312="","",IF(AND($M312&lt;&gt;"",$J312&lt;&gt;"",$M312&lt;&gt;$J312),1,0))</f>
        <v/>
      </c>
      <c r="W312" s="39" t="str">
        <f aca="false">IF($E312="","",IF($L312="Cancelada",0,IF(OR($K312&lt;&gt;"",$L312="Concluída"),1,0)))</f>
        <v/>
      </c>
    </row>
    <row r="313" customFormat="false" ht="15" hidden="false" customHeight="true" outlineLevel="0" collapsed="false">
      <c r="A313" s="31" t="str">
        <f aca="false">IF($E313="","",COUNTA($E$5:$E313))</f>
        <v/>
      </c>
      <c r="B313" s="32"/>
      <c r="C313" s="32"/>
      <c r="D313" s="32"/>
      <c r="E313" s="32"/>
      <c r="F313" s="33"/>
      <c r="G313" s="32"/>
      <c r="H313" s="34"/>
      <c r="I313" s="35"/>
      <c r="J313" s="36" t="str">
        <f aca="false">IF(OR($H313="",$I313=""),"",$H313+MATCH($I313,Listas!$F$5:$F$11,0)-1)</f>
        <v/>
      </c>
      <c r="K313" s="37"/>
      <c r="L313" s="33"/>
      <c r="M313" s="37"/>
      <c r="N313" s="32"/>
      <c r="O313" s="32"/>
      <c r="P313" s="38" t="str">
        <f aca="true">IF($E313="","",IF($L313="Cancelada","Cancelada",IF(OR($K313&lt;&gt;"",$L313="Concluída"),IF(OR($J313="",$K313="",$K313&lt;=$J313),"Concluída","Concluída com atraso"),IF($J313="","Na carteira",IF($J313&lt;TODAY(),"VENCIDA",IF($L313="Em execução","Em execução",IF($J313=TODAY(),"Hoje","Programada")))))))</f>
        <v/>
      </c>
      <c r="Q313" s="31" t="str">
        <f aca="false">IF($E313="","",IF(ISNUMBER(SEARCH("(externo)",$G313)),"Terceirizada","Interna"))</f>
        <v/>
      </c>
      <c r="R313" s="36" t="str">
        <f aca="false">IF($J313="","",IF($M313="",$J313,$M313))</f>
        <v/>
      </c>
      <c r="S313" s="31" t="str">
        <f aca="false">IF($E313="","",IF(OR($K313="",$J313=""),0,IF($K313&lt;=$J313,1,0)))</f>
        <v/>
      </c>
      <c r="T313" s="31" t="str">
        <f aca="false">IF($E313="","",IF(OR($K313="",$R313=""),0,IF($K313&lt;=$R313,1,0)))</f>
        <v/>
      </c>
      <c r="U313" s="38" t="str">
        <f aca="false">IF(OR($K313="",$J313=""),"",MAX(0,$K313-$J313))</f>
        <v/>
      </c>
      <c r="V313" s="31" t="str">
        <f aca="false">IF($E313="","",IF(AND($M313&lt;&gt;"",$J313&lt;&gt;"",$M313&lt;&gt;$J313),1,0))</f>
        <v/>
      </c>
      <c r="W313" s="39" t="str">
        <f aca="false">IF($E313="","",IF($L313="Cancelada",0,IF(OR($K313&lt;&gt;"",$L313="Concluída"),1,0)))</f>
        <v/>
      </c>
    </row>
    <row r="314" customFormat="false" ht="15" hidden="false" customHeight="true" outlineLevel="0" collapsed="false">
      <c r="A314" s="31" t="str">
        <f aca="false">IF($E314="","",COUNTA($E$5:$E314))</f>
        <v/>
      </c>
      <c r="B314" s="32"/>
      <c r="C314" s="32"/>
      <c r="D314" s="32"/>
      <c r="E314" s="32"/>
      <c r="F314" s="33"/>
      <c r="G314" s="32"/>
      <c r="H314" s="34"/>
      <c r="I314" s="35"/>
      <c r="J314" s="36" t="str">
        <f aca="false">IF(OR($H314="",$I314=""),"",$H314+MATCH($I314,Listas!$F$5:$F$11,0)-1)</f>
        <v/>
      </c>
      <c r="K314" s="37"/>
      <c r="L314" s="33"/>
      <c r="M314" s="37"/>
      <c r="N314" s="32"/>
      <c r="O314" s="32"/>
      <c r="P314" s="38" t="str">
        <f aca="true">IF($E314="","",IF($L314="Cancelada","Cancelada",IF(OR($K314&lt;&gt;"",$L314="Concluída"),IF(OR($J314="",$K314="",$K314&lt;=$J314),"Concluída","Concluída com atraso"),IF($J314="","Na carteira",IF($J314&lt;TODAY(),"VENCIDA",IF($L314="Em execução","Em execução",IF($J314=TODAY(),"Hoje","Programada")))))))</f>
        <v/>
      </c>
      <c r="Q314" s="31" t="str">
        <f aca="false">IF($E314="","",IF(ISNUMBER(SEARCH("(externo)",$G314)),"Terceirizada","Interna"))</f>
        <v/>
      </c>
      <c r="R314" s="36" t="str">
        <f aca="false">IF($J314="","",IF($M314="",$J314,$M314))</f>
        <v/>
      </c>
      <c r="S314" s="31" t="str">
        <f aca="false">IF($E314="","",IF(OR($K314="",$J314=""),0,IF($K314&lt;=$J314,1,0)))</f>
        <v/>
      </c>
      <c r="T314" s="31" t="str">
        <f aca="false">IF($E314="","",IF(OR($K314="",$R314=""),0,IF($K314&lt;=$R314,1,0)))</f>
        <v/>
      </c>
      <c r="U314" s="38" t="str">
        <f aca="false">IF(OR($K314="",$J314=""),"",MAX(0,$K314-$J314))</f>
        <v/>
      </c>
      <c r="V314" s="31" t="str">
        <f aca="false">IF($E314="","",IF(AND($M314&lt;&gt;"",$J314&lt;&gt;"",$M314&lt;&gt;$J314),1,0))</f>
        <v/>
      </c>
      <c r="W314" s="39" t="str">
        <f aca="false">IF($E314="","",IF($L314="Cancelada",0,IF(OR($K314&lt;&gt;"",$L314="Concluída"),1,0)))</f>
        <v/>
      </c>
    </row>
    <row r="315" customFormat="false" ht="15" hidden="false" customHeight="true" outlineLevel="0" collapsed="false">
      <c r="A315" s="31" t="str">
        <f aca="false">IF($E315="","",COUNTA($E$5:$E315))</f>
        <v/>
      </c>
      <c r="B315" s="32"/>
      <c r="C315" s="32"/>
      <c r="D315" s="32"/>
      <c r="E315" s="32"/>
      <c r="F315" s="33"/>
      <c r="G315" s="32"/>
      <c r="H315" s="34"/>
      <c r="I315" s="35"/>
      <c r="J315" s="36" t="str">
        <f aca="false">IF(OR($H315="",$I315=""),"",$H315+MATCH($I315,Listas!$F$5:$F$11,0)-1)</f>
        <v/>
      </c>
      <c r="K315" s="37"/>
      <c r="L315" s="33"/>
      <c r="M315" s="37"/>
      <c r="N315" s="32"/>
      <c r="O315" s="32"/>
      <c r="P315" s="38" t="str">
        <f aca="true">IF($E315="","",IF($L315="Cancelada","Cancelada",IF(OR($K315&lt;&gt;"",$L315="Concluída"),IF(OR($J315="",$K315="",$K315&lt;=$J315),"Concluída","Concluída com atraso"),IF($J315="","Na carteira",IF($J315&lt;TODAY(),"VENCIDA",IF($L315="Em execução","Em execução",IF($J315=TODAY(),"Hoje","Programada")))))))</f>
        <v/>
      </c>
      <c r="Q315" s="31" t="str">
        <f aca="false">IF($E315="","",IF(ISNUMBER(SEARCH("(externo)",$G315)),"Terceirizada","Interna"))</f>
        <v/>
      </c>
      <c r="R315" s="36" t="str">
        <f aca="false">IF($J315="","",IF($M315="",$J315,$M315))</f>
        <v/>
      </c>
      <c r="S315" s="31" t="str">
        <f aca="false">IF($E315="","",IF(OR($K315="",$J315=""),0,IF($K315&lt;=$J315,1,0)))</f>
        <v/>
      </c>
      <c r="T315" s="31" t="str">
        <f aca="false">IF($E315="","",IF(OR($K315="",$R315=""),0,IF($K315&lt;=$R315,1,0)))</f>
        <v/>
      </c>
      <c r="U315" s="38" t="str">
        <f aca="false">IF(OR($K315="",$J315=""),"",MAX(0,$K315-$J315))</f>
        <v/>
      </c>
      <c r="V315" s="31" t="str">
        <f aca="false">IF($E315="","",IF(AND($M315&lt;&gt;"",$J315&lt;&gt;"",$M315&lt;&gt;$J315),1,0))</f>
        <v/>
      </c>
      <c r="W315" s="39" t="str">
        <f aca="false">IF($E315="","",IF($L315="Cancelada",0,IF(OR($K315&lt;&gt;"",$L315="Concluída"),1,0)))</f>
        <v/>
      </c>
    </row>
    <row r="316" customFormat="false" ht="15" hidden="false" customHeight="true" outlineLevel="0" collapsed="false">
      <c r="A316" s="31" t="str">
        <f aca="false">IF($E316="","",COUNTA($E$5:$E316))</f>
        <v/>
      </c>
      <c r="B316" s="32"/>
      <c r="C316" s="32"/>
      <c r="D316" s="32"/>
      <c r="E316" s="32"/>
      <c r="F316" s="33"/>
      <c r="G316" s="32"/>
      <c r="H316" s="34"/>
      <c r="I316" s="35"/>
      <c r="J316" s="36" t="str">
        <f aca="false">IF(OR($H316="",$I316=""),"",$H316+MATCH($I316,Listas!$F$5:$F$11,0)-1)</f>
        <v/>
      </c>
      <c r="K316" s="37"/>
      <c r="L316" s="33"/>
      <c r="M316" s="37"/>
      <c r="N316" s="32"/>
      <c r="O316" s="32"/>
      <c r="P316" s="38" t="str">
        <f aca="true">IF($E316="","",IF($L316="Cancelada","Cancelada",IF(OR($K316&lt;&gt;"",$L316="Concluída"),IF(OR($J316="",$K316="",$K316&lt;=$J316),"Concluída","Concluída com atraso"),IF($J316="","Na carteira",IF($J316&lt;TODAY(),"VENCIDA",IF($L316="Em execução","Em execução",IF($J316=TODAY(),"Hoje","Programada")))))))</f>
        <v/>
      </c>
      <c r="Q316" s="31" t="str">
        <f aca="false">IF($E316="","",IF(ISNUMBER(SEARCH("(externo)",$G316)),"Terceirizada","Interna"))</f>
        <v/>
      </c>
      <c r="R316" s="36" t="str">
        <f aca="false">IF($J316="","",IF($M316="",$J316,$M316))</f>
        <v/>
      </c>
      <c r="S316" s="31" t="str">
        <f aca="false">IF($E316="","",IF(OR($K316="",$J316=""),0,IF($K316&lt;=$J316,1,0)))</f>
        <v/>
      </c>
      <c r="T316" s="31" t="str">
        <f aca="false">IF($E316="","",IF(OR($K316="",$R316=""),0,IF($K316&lt;=$R316,1,0)))</f>
        <v/>
      </c>
      <c r="U316" s="38" t="str">
        <f aca="false">IF(OR($K316="",$J316=""),"",MAX(0,$K316-$J316))</f>
        <v/>
      </c>
      <c r="V316" s="31" t="str">
        <f aca="false">IF($E316="","",IF(AND($M316&lt;&gt;"",$J316&lt;&gt;"",$M316&lt;&gt;$J316),1,0))</f>
        <v/>
      </c>
      <c r="W316" s="39" t="str">
        <f aca="false">IF($E316="","",IF($L316="Cancelada",0,IF(OR($K316&lt;&gt;"",$L316="Concluída"),1,0)))</f>
        <v/>
      </c>
    </row>
    <row r="317" customFormat="false" ht="15" hidden="false" customHeight="true" outlineLevel="0" collapsed="false">
      <c r="A317" s="31" t="str">
        <f aca="false">IF($E317="","",COUNTA($E$5:$E317))</f>
        <v/>
      </c>
      <c r="B317" s="32"/>
      <c r="C317" s="32"/>
      <c r="D317" s="32"/>
      <c r="E317" s="32"/>
      <c r="F317" s="33"/>
      <c r="G317" s="32"/>
      <c r="H317" s="34"/>
      <c r="I317" s="35"/>
      <c r="J317" s="36" t="str">
        <f aca="false">IF(OR($H317="",$I317=""),"",$H317+MATCH($I317,Listas!$F$5:$F$11,0)-1)</f>
        <v/>
      </c>
      <c r="K317" s="37"/>
      <c r="L317" s="33"/>
      <c r="M317" s="37"/>
      <c r="N317" s="32"/>
      <c r="O317" s="32"/>
      <c r="P317" s="38" t="str">
        <f aca="true">IF($E317="","",IF($L317="Cancelada","Cancelada",IF(OR($K317&lt;&gt;"",$L317="Concluída"),IF(OR($J317="",$K317="",$K317&lt;=$J317),"Concluída","Concluída com atraso"),IF($J317="","Na carteira",IF($J317&lt;TODAY(),"VENCIDA",IF($L317="Em execução","Em execução",IF($J317=TODAY(),"Hoje","Programada")))))))</f>
        <v/>
      </c>
      <c r="Q317" s="31" t="str">
        <f aca="false">IF($E317="","",IF(ISNUMBER(SEARCH("(externo)",$G317)),"Terceirizada","Interna"))</f>
        <v/>
      </c>
      <c r="R317" s="36" t="str">
        <f aca="false">IF($J317="","",IF($M317="",$J317,$M317))</f>
        <v/>
      </c>
      <c r="S317" s="31" t="str">
        <f aca="false">IF($E317="","",IF(OR($K317="",$J317=""),0,IF($K317&lt;=$J317,1,0)))</f>
        <v/>
      </c>
      <c r="T317" s="31" t="str">
        <f aca="false">IF($E317="","",IF(OR($K317="",$R317=""),0,IF($K317&lt;=$R317,1,0)))</f>
        <v/>
      </c>
      <c r="U317" s="38" t="str">
        <f aca="false">IF(OR($K317="",$J317=""),"",MAX(0,$K317-$J317))</f>
        <v/>
      </c>
      <c r="V317" s="31" t="str">
        <f aca="false">IF($E317="","",IF(AND($M317&lt;&gt;"",$J317&lt;&gt;"",$M317&lt;&gt;$J317),1,0))</f>
        <v/>
      </c>
      <c r="W317" s="39" t="str">
        <f aca="false">IF($E317="","",IF($L317="Cancelada",0,IF(OR($K317&lt;&gt;"",$L317="Concluída"),1,0)))</f>
        <v/>
      </c>
    </row>
    <row r="318" customFormat="false" ht="15" hidden="false" customHeight="true" outlineLevel="0" collapsed="false">
      <c r="A318" s="31" t="str">
        <f aca="false">IF($E318="","",COUNTA($E$5:$E318))</f>
        <v/>
      </c>
      <c r="B318" s="32"/>
      <c r="C318" s="32"/>
      <c r="D318" s="32"/>
      <c r="E318" s="32"/>
      <c r="F318" s="33"/>
      <c r="G318" s="32"/>
      <c r="H318" s="34"/>
      <c r="I318" s="35"/>
      <c r="J318" s="36" t="str">
        <f aca="false">IF(OR($H318="",$I318=""),"",$H318+MATCH($I318,Listas!$F$5:$F$11,0)-1)</f>
        <v/>
      </c>
      <c r="K318" s="37"/>
      <c r="L318" s="33"/>
      <c r="M318" s="37"/>
      <c r="N318" s="32"/>
      <c r="O318" s="32"/>
      <c r="P318" s="38" t="str">
        <f aca="true">IF($E318="","",IF($L318="Cancelada","Cancelada",IF(OR($K318&lt;&gt;"",$L318="Concluída"),IF(OR($J318="",$K318="",$K318&lt;=$J318),"Concluída","Concluída com atraso"),IF($J318="","Na carteira",IF($J318&lt;TODAY(),"VENCIDA",IF($L318="Em execução","Em execução",IF($J318=TODAY(),"Hoje","Programada")))))))</f>
        <v/>
      </c>
      <c r="Q318" s="31" t="str">
        <f aca="false">IF($E318="","",IF(ISNUMBER(SEARCH("(externo)",$G318)),"Terceirizada","Interna"))</f>
        <v/>
      </c>
      <c r="R318" s="36" t="str">
        <f aca="false">IF($J318="","",IF($M318="",$J318,$M318))</f>
        <v/>
      </c>
      <c r="S318" s="31" t="str">
        <f aca="false">IF($E318="","",IF(OR($K318="",$J318=""),0,IF($K318&lt;=$J318,1,0)))</f>
        <v/>
      </c>
      <c r="T318" s="31" t="str">
        <f aca="false">IF($E318="","",IF(OR($K318="",$R318=""),0,IF($K318&lt;=$R318,1,0)))</f>
        <v/>
      </c>
      <c r="U318" s="38" t="str">
        <f aca="false">IF(OR($K318="",$J318=""),"",MAX(0,$K318-$J318))</f>
        <v/>
      </c>
      <c r="V318" s="31" t="str">
        <f aca="false">IF($E318="","",IF(AND($M318&lt;&gt;"",$J318&lt;&gt;"",$M318&lt;&gt;$J318),1,0))</f>
        <v/>
      </c>
      <c r="W318" s="39" t="str">
        <f aca="false">IF($E318="","",IF($L318="Cancelada",0,IF(OR($K318&lt;&gt;"",$L318="Concluída"),1,0)))</f>
        <v/>
      </c>
    </row>
    <row r="319" customFormat="false" ht="15" hidden="false" customHeight="true" outlineLevel="0" collapsed="false">
      <c r="A319" s="31" t="str">
        <f aca="false">IF($E319="","",COUNTA($E$5:$E319))</f>
        <v/>
      </c>
      <c r="B319" s="32"/>
      <c r="C319" s="32"/>
      <c r="D319" s="32"/>
      <c r="E319" s="32"/>
      <c r="F319" s="33"/>
      <c r="G319" s="32"/>
      <c r="H319" s="34"/>
      <c r="I319" s="35"/>
      <c r="J319" s="36" t="str">
        <f aca="false">IF(OR($H319="",$I319=""),"",$H319+MATCH($I319,Listas!$F$5:$F$11,0)-1)</f>
        <v/>
      </c>
      <c r="K319" s="37"/>
      <c r="L319" s="33"/>
      <c r="M319" s="37"/>
      <c r="N319" s="32"/>
      <c r="O319" s="32"/>
      <c r="P319" s="38" t="str">
        <f aca="true">IF($E319="","",IF($L319="Cancelada","Cancelada",IF(OR($K319&lt;&gt;"",$L319="Concluída"),IF(OR($J319="",$K319="",$K319&lt;=$J319),"Concluída","Concluída com atraso"),IF($J319="","Na carteira",IF($J319&lt;TODAY(),"VENCIDA",IF($L319="Em execução","Em execução",IF($J319=TODAY(),"Hoje","Programada")))))))</f>
        <v/>
      </c>
      <c r="Q319" s="31" t="str">
        <f aca="false">IF($E319="","",IF(ISNUMBER(SEARCH("(externo)",$G319)),"Terceirizada","Interna"))</f>
        <v/>
      </c>
      <c r="R319" s="36" t="str">
        <f aca="false">IF($J319="","",IF($M319="",$J319,$M319))</f>
        <v/>
      </c>
      <c r="S319" s="31" t="str">
        <f aca="false">IF($E319="","",IF(OR($K319="",$J319=""),0,IF($K319&lt;=$J319,1,0)))</f>
        <v/>
      </c>
      <c r="T319" s="31" t="str">
        <f aca="false">IF($E319="","",IF(OR($K319="",$R319=""),0,IF($K319&lt;=$R319,1,0)))</f>
        <v/>
      </c>
      <c r="U319" s="38" t="str">
        <f aca="false">IF(OR($K319="",$J319=""),"",MAX(0,$K319-$J319))</f>
        <v/>
      </c>
      <c r="V319" s="31" t="str">
        <f aca="false">IF($E319="","",IF(AND($M319&lt;&gt;"",$J319&lt;&gt;"",$M319&lt;&gt;$J319),1,0))</f>
        <v/>
      </c>
      <c r="W319" s="39" t="str">
        <f aca="false">IF($E319="","",IF($L319="Cancelada",0,IF(OR($K319&lt;&gt;"",$L319="Concluída"),1,0)))</f>
        <v/>
      </c>
    </row>
    <row r="320" customFormat="false" ht="15" hidden="false" customHeight="true" outlineLevel="0" collapsed="false">
      <c r="A320" s="31" t="str">
        <f aca="false">IF($E320="","",COUNTA($E$5:$E320))</f>
        <v/>
      </c>
      <c r="B320" s="32"/>
      <c r="C320" s="32"/>
      <c r="D320" s="32"/>
      <c r="E320" s="32"/>
      <c r="F320" s="33"/>
      <c r="G320" s="32"/>
      <c r="H320" s="34"/>
      <c r="I320" s="35"/>
      <c r="J320" s="36" t="str">
        <f aca="false">IF(OR($H320="",$I320=""),"",$H320+MATCH($I320,Listas!$F$5:$F$11,0)-1)</f>
        <v/>
      </c>
      <c r="K320" s="37"/>
      <c r="L320" s="33"/>
      <c r="M320" s="37"/>
      <c r="N320" s="32"/>
      <c r="O320" s="32"/>
      <c r="P320" s="38" t="str">
        <f aca="true">IF($E320="","",IF($L320="Cancelada","Cancelada",IF(OR($K320&lt;&gt;"",$L320="Concluída"),IF(OR($J320="",$K320="",$K320&lt;=$J320),"Concluída","Concluída com atraso"),IF($J320="","Na carteira",IF($J320&lt;TODAY(),"VENCIDA",IF($L320="Em execução","Em execução",IF($J320=TODAY(),"Hoje","Programada")))))))</f>
        <v/>
      </c>
      <c r="Q320" s="31" t="str">
        <f aca="false">IF($E320="","",IF(ISNUMBER(SEARCH("(externo)",$G320)),"Terceirizada","Interna"))</f>
        <v/>
      </c>
      <c r="R320" s="36" t="str">
        <f aca="false">IF($J320="","",IF($M320="",$J320,$M320))</f>
        <v/>
      </c>
      <c r="S320" s="31" t="str">
        <f aca="false">IF($E320="","",IF(OR($K320="",$J320=""),0,IF($K320&lt;=$J320,1,0)))</f>
        <v/>
      </c>
      <c r="T320" s="31" t="str">
        <f aca="false">IF($E320="","",IF(OR($K320="",$R320=""),0,IF($K320&lt;=$R320,1,0)))</f>
        <v/>
      </c>
      <c r="U320" s="38" t="str">
        <f aca="false">IF(OR($K320="",$J320=""),"",MAX(0,$K320-$J320))</f>
        <v/>
      </c>
      <c r="V320" s="31" t="str">
        <f aca="false">IF($E320="","",IF(AND($M320&lt;&gt;"",$J320&lt;&gt;"",$M320&lt;&gt;$J320),1,0))</f>
        <v/>
      </c>
      <c r="W320" s="39" t="str">
        <f aca="false">IF($E320="","",IF($L320="Cancelada",0,IF(OR($K320&lt;&gt;"",$L320="Concluída"),1,0)))</f>
        <v/>
      </c>
    </row>
    <row r="321" customFormat="false" ht="15" hidden="false" customHeight="true" outlineLevel="0" collapsed="false">
      <c r="A321" s="31" t="str">
        <f aca="false">IF($E321="","",COUNTA($E$5:$E321))</f>
        <v/>
      </c>
      <c r="B321" s="32"/>
      <c r="C321" s="32"/>
      <c r="D321" s="32"/>
      <c r="E321" s="32"/>
      <c r="F321" s="33"/>
      <c r="G321" s="32"/>
      <c r="H321" s="34"/>
      <c r="I321" s="35"/>
      <c r="J321" s="36" t="str">
        <f aca="false">IF(OR($H321="",$I321=""),"",$H321+MATCH($I321,Listas!$F$5:$F$11,0)-1)</f>
        <v/>
      </c>
      <c r="K321" s="37"/>
      <c r="L321" s="33"/>
      <c r="M321" s="37"/>
      <c r="N321" s="32"/>
      <c r="O321" s="32"/>
      <c r="P321" s="38" t="str">
        <f aca="true">IF($E321="","",IF($L321="Cancelada","Cancelada",IF(OR($K321&lt;&gt;"",$L321="Concluída"),IF(OR($J321="",$K321="",$K321&lt;=$J321),"Concluída","Concluída com atraso"),IF($J321="","Na carteira",IF($J321&lt;TODAY(),"VENCIDA",IF($L321="Em execução","Em execução",IF($J321=TODAY(),"Hoje","Programada")))))))</f>
        <v/>
      </c>
      <c r="Q321" s="31" t="str">
        <f aca="false">IF($E321="","",IF(ISNUMBER(SEARCH("(externo)",$G321)),"Terceirizada","Interna"))</f>
        <v/>
      </c>
      <c r="R321" s="36" t="str">
        <f aca="false">IF($J321="","",IF($M321="",$J321,$M321))</f>
        <v/>
      </c>
      <c r="S321" s="31" t="str">
        <f aca="false">IF($E321="","",IF(OR($K321="",$J321=""),0,IF($K321&lt;=$J321,1,0)))</f>
        <v/>
      </c>
      <c r="T321" s="31" t="str">
        <f aca="false">IF($E321="","",IF(OR($K321="",$R321=""),0,IF($K321&lt;=$R321,1,0)))</f>
        <v/>
      </c>
      <c r="U321" s="38" t="str">
        <f aca="false">IF(OR($K321="",$J321=""),"",MAX(0,$K321-$J321))</f>
        <v/>
      </c>
      <c r="V321" s="31" t="str">
        <f aca="false">IF($E321="","",IF(AND($M321&lt;&gt;"",$J321&lt;&gt;"",$M321&lt;&gt;$J321),1,0))</f>
        <v/>
      </c>
      <c r="W321" s="39" t="str">
        <f aca="false">IF($E321="","",IF($L321="Cancelada",0,IF(OR($K321&lt;&gt;"",$L321="Concluída"),1,0)))</f>
        <v/>
      </c>
    </row>
    <row r="322" customFormat="false" ht="15" hidden="false" customHeight="true" outlineLevel="0" collapsed="false">
      <c r="A322" s="31" t="str">
        <f aca="false">IF($E322="","",COUNTA($E$5:$E322))</f>
        <v/>
      </c>
      <c r="B322" s="32"/>
      <c r="C322" s="32"/>
      <c r="D322" s="32"/>
      <c r="E322" s="32"/>
      <c r="F322" s="33"/>
      <c r="G322" s="32"/>
      <c r="H322" s="34"/>
      <c r="I322" s="35"/>
      <c r="J322" s="36" t="str">
        <f aca="false">IF(OR($H322="",$I322=""),"",$H322+MATCH($I322,Listas!$F$5:$F$11,0)-1)</f>
        <v/>
      </c>
      <c r="K322" s="37"/>
      <c r="L322" s="33"/>
      <c r="M322" s="37"/>
      <c r="N322" s="32"/>
      <c r="O322" s="32"/>
      <c r="P322" s="38" t="str">
        <f aca="true">IF($E322="","",IF($L322="Cancelada","Cancelada",IF(OR($K322&lt;&gt;"",$L322="Concluída"),IF(OR($J322="",$K322="",$K322&lt;=$J322),"Concluída","Concluída com atraso"),IF($J322="","Na carteira",IF($J322&lt;TODAY(),"VENCIDA",IF($L322="Em execução","Em execução",IF($J322=TODAY(),"Hoje","Programada")))))))</f>
        <v/>
      </c>
      <c r="Q322" s="31" t="str">
        <f aca="false">IF($E322="","",IF(ISNUMBER(SEARCH("(externo)",$G322)),"Terceirizada","Interna"))</f>
        <v/>
      </c>
      <c r="R322" s="36" t="str">
        <f aca="false">IF($J322="","",IF($M322="",$J322,$M322))</f>
        <v/>
      </c>
      <c r="S322" s="31" t="str">
        <f aca="false">IF($E322="","",IF(OR($K322="",$J322=""),0,IF($K322&lt;=$J322,1,0)))</f>
        <v/>
      </c>
      <c r="T322" s="31" t="str">
        <f aca="false">IF($E322="","",IF(OR($K322="",$R322=""),0,IF($K322&lt;=$R322,1,0)))</f>
        <v/>
      </c>
      <c r="U322" s="38" t="str">
        <f aca="false">IF(OR($K322="",$J322=""),"",MAX(0,$K322-$J322))</f>
        <v/>
      </c>
      <c r="V322" s="31" t="str">
        <f aca="false">IF($E322="","",IF(AND($M322&lt;&gt;"",$J322&lt;&gt;"",$M322&lt;&gt;$J322),1,0))</f>
        <v/>
      </c>
      <c r="W322" s="39" t="str">
        <f aca="false">IF($E322="","",IF($L322="Cancelada",0,IF(OR($K322&lt;&gt;"",$L322="Concluída"),1,0)))</f>
        <v/>
      </c>
    </row>
    <row r="323" customFormat="false" ht="15" hidden="false" customHeight="true" outlineLevel="0" collapsed="false">
      <c r="A323" s="31" t="str">
        <f aca="false">IF($E323="","",COUNTA($E$5:$E323))</f>
        <v/>
      </c>
      <c r="B323" s="32"/>
      <c r="C323" s="32"/>
      <c r="D323" s="32"/>
      <c r="E323" s="32"/>
      <c r="F323" s="33"/>
      <c r="G323" s="32"/>
      <c r="H323" s="34"/>
      <c r="I323" s="35"/>
      <c r="J323" s="36" t="str">
        <f aca="false">IF(OR($H323="",$I323=""),"",$H323+MATCH($I323,Listas!$F$5:$F$11,0)-1)</f>
        <v/>
      </c>
      <c r="K323" s="37"/>
      <c r="L323" s="33"/>
      <c r="M323" s="37"/>
      <c r="N323" s="32"/>
      <c r="O323" s="32"/>
      <c r="P323" s="38" t="str">
        <f aca="true">IF($E323="","",IF($L323="Cancelada","Cancelada",IF(OR($K323&lt;&gt;"",$L323="Concluída"),IF(OR($J323="",$K323="",$K323&lt;=$J323),"Concluída","Concluída com atraso"),IF($J323="","Na carteira",IF($J323&lt;TODAY(),"VENCIDA",IF($L323="Em execução","Em execução",IF($J323=TODAY(),"Hoje","Programada")))))))</f>
        <v/>
      </c>
      <c r="Q323" s="31" t="str">
        <f aca="false">IF($E323="","",IF(ISNUMBER(SEARCH("(externo)",$G323)),"Terceirizada","Interna"))</f>
        <v/>
      </c>
      <c r="R323" s="36" t="str">
        <f aca="false">IF($J323="","",IF($M323="",$J323,$M323))</f>
        <v/>
      </c>
      <c r="S323" s="31" t="str">
        <f aca="false">IF($E323="","",IF(OR($K323="",$J323=""),0,IF($K323&lt;=$J323,1,0)))</f>
        <v/>
      </c>
      <c r="T323" s="31" t="str">
        <f aca="false">IF($E323="","",IF(OR($K323="",$R323=""),0,IF($K323&lt;=$R323,1,0)))</f>
        <v/>
      </c>
      <c r="U323" s="38" t="str">
        <f aca="false">IF(OR($K323="",$J323=""),"",MAX(0,$K323-$J323))</f>
        <v/>
      </c>
      <c r="V323" s="31" t="str">
        <f aca="false">IF($E323="","",IF(AND($M323&lt;&gt;"",$J323&lt;&gt;"",$M323&lt;&gt;$J323),1,0))</f>
        <v/>
      </c>
      <c r="W323" s="39" t="str">
        <f aca="false">IF($E323="","",IF($L323="Cancelada",0,IF(OR($K323&lt;&gt;"",$L323="Concluída"),1,0)))</f>
        <v/>
      </c>
    </row>
    <row r="324" customFormat="false" ht="15" hidden="false" customHeight="true" outlineLevel="0" collapsed="false">
      <c r="A324" s="31" t="str">
        <f aca="false">IF($E324="","",COUNTA($E$5:$E324))</f>
        <v/>
      </c>
      <c r="B324" s="32"/>
      <c r="C324" s="32"/>
      <c r="D324" s="32"/>
      <c r="E324" s="32"/>
      <c r="F324" s="33"/>
      <c r="G324" s="32"/>
      <c r="H324" s="34"/>
      <c r="I324" s="35"/>
      <c r="J324" s="36" t="str">
        <f aca="false">IF(OR($H324="",$I324=""),"",$H324+MATCH($I324,Listas!$F$5:$F$11,0)-1)</f>
        <v/>
      </c>
      <c r="K324" s="37"/>
      <c r="L324" s="33"/>
      <c r="M324" s="37"/>
      <c r="N324" s="32"/>
      <c r="O324" s="32"/>
      <c r="P324" s="38" t="str">
        <f aca="true">IF($E324="","",IF($L324="Cancelada","Cancelada",IF(OR($K324&lt;&gt;"",$L324="Concluída"),IF(OR($J324="",$K324="",$K324&lt;=$J324),"Concluída","Concluída com atraso"),IF($J324="","Na carteira",IF($J324&lt;TODAY(),"VENCIDA",IF($L324="Em execução","Em execução",IF($J324=TODAY(),"Hoje","Programada")))))))</f>
        <v/>
      </c>
      <c r="Q324" s="31" t="str">
        <f aca="false">IF($E324="","",IF(ISNUMBER(SEARCH("(externo)",$G324)),"Terceirizada","Interna"))</f>
        <v/>
      </c>
      <c r="R324" s="36" t="str">
        <f aca="false">IF($J324="","",IF($M324="",$J324,$M324))</f>
        <v/>
      </c>
      <c r="S324" s="31" t="str">
        <f aca="false">IF($E324="","",IF(OR($K324="",$J324=""),0,IF($K324&lt;=$J324,1,0)))</f>
        <v/>
      </c>
      <c r="T324" s="31" t="str">
        <f aca="false">IF($E324="","",IF(OR($K324="",$R324=""),0,IF($K324&lt;=$R324,1,0)))</f>
        <v/>
      </c>
      <c r="U324" s="38" t="str">
        <f aca="false">IF(OR($K324="",$J324=""),"",MAX(0,$K324-$J324))</f>
        <v/>
      </c>
      <c r="V324" s="31" t="str">
        <f aca="false">IF($E324="","",IF(AND($M324&lt;&gt;"",$J324&lt;&gt;"",$M324&lt;&gt;$J324),1,0))</f>
        <v/>
      </c>
      <c r="W324" s="39" t="str">
        <f aca="false">IF($E324="","",IF($L324="Cancelada",0,IF(OR($K324&lt;&gt;"",$L324="Concluída"),1,0)))</f>
        <v/>
      </c>
    </row>
    <row r="325" customFormat="false" ht="15" hidden="false" customHeight="true" outlineLevel="0" collapsed="false">
      <c r="A325" s="31" t="str">
        <f aca="false">IF($E325="","",COUNTA($E$5:$E325))</f>
        <v/>
      </c>
      <c r="B325" s="32"/>
      <c r="C325" s="32"/>
      <c r="D325" s="32"/>
      <c r="E325" s="32"/>
      <c r="F325" s="33"/>
      <c r="G325" s="32"/>
      <c r="H325" s="34"/>
      <c r="I325" s="35"/>
      <c r="J325" s="36" t="str">
        <f aca="false">IF(OR($H325="",$I325=""),"",$H325+MATCH($I325,Listas!$F$5:$F$11,0)-1)</f>
        <v/>
      </c>
      <c r="K325" s="37"/>
      <c r="L325" s="33"/>
      <c r="M325" s="37"/>
      <c r="N325" s="32"/>
      <c r="O325" s="32"/>
      <c r="P325" s="38" t="str">
        <f aca="true">IF($E325="","",IF($L325="Cancelada","Cancelada",IF(OR($K325&lt;&gt;"",$L325="Concluída"),IF(OR($J325="",$K325="",$K325&lt;=$J325),"Concluída","Concluída com atraso"),IF($J325="","Na carteira",IF($J325&lt;TODAY(),"VENCIDA",IF($L325="Em execução","Em execução",IF($J325=TODAY(),"Hoje","Programada")))))))</f>
        <v/>
      </c>
      <c r="Q325" s="31" t="str">
        <f aca="false">IF($E325="","",IF(ISNUMBER(SEARCH("(externo)",$G325)),"Terceirizada","Interna"))</f>
        <v/>
      </c>
      <c r="R325" s="36" t="str">
        <f aca="false">IF($J325="","",IF($M325="",$J325,$M325))</f>
        <v/>
      </c>
      <c r="S325" s="31" t="str">
        <f aca="false">IF($E325="","",IF(OR($K325="",$J325=""),0,IF($K325&lt;=$J325,1,0)))</f>
        <v/>
      </c>
      <c r="T325" s="31" t="str">
        <f aca="false">IF($E325="","",IF(OR($K325="",$R325=""),0,IF($K325&lt;=$R325,1,0)))</f>
        <v/>
      </c>
      <c r="U325" s="38" t="str">
        <f aca="false">IF(OR($K325="",$J325=""),"",MAX(0,$K325-$J325))</f>
        <v/>
      </c>
      <c r="V325" s="31" t="str">
        <f aca="false">IF($E325="","",IF(AND($M325&lt;&gt;"",$J325&lt;&gt;"",$M325&lt;&gt;$J325),1,0))</f>
        <v/>
      </c>
      <c r="W325" s="39" t="str">
        <f aca="false">IF($E325="","",IF($L325="Cancelada",0,IF(OR($K325&lt;&gt;"",$L325="Concluída"),1,0)))</f>
        <v/>
      </c>
    </row>
    <row r="326" customFormat="false" ht="15" hidden="false" customHeight="true" outlineLevel="0" collapsed="false">
      <c r="A326" s="31" t="str">
        <f aca="false">IF($E326="","",COUNTA($E$5:$E326))</f>
        <v/>
      </c>
      <c r="B326" s="32"/>
      <c r="C326" s="32"/>
      <c r="D326" s="32"/>
      <c r="E326" s="32"/>
      <c r="F326" s="33"/>
      <c r="G326" s="32"/>
      <c r="H326" s="34"/>
      <c r="I326" s="35"/>
      <c r="J326" s="36" t="str">
        <f aca="false">IF(OR($H326="",$I326=""),"",$H326+MATCH($I326,Listas!$F$5:$F$11,0)-1)</f>
        <v/>
      </c>
      <c r="K326" s="37"/>
      <c r="L326" s="33"/>
      <c r="M326" s="37"/>
      <c r="N326" s="32"/>
      <c r="O326" s="32"/>
      <c r="P326" s="38" t="str">
        <f aca="true">IF($E326="","",IF($L326="Cancelada","Cancelada",IF(OR($K326&lt;&gt;"",$L326="Concluída"),IF(OR($J326="",$K326="",$K326&lt;=$J326),"Concluída","Concluída com atraso"),IF($J326="","Na carteira",IF($J326&lt;TODAY(),"VENCIDA",IF($L326="Em execução","Em execução",IF($J326=TODAY(),"Hoje","Programada")))))))</f>
        <v/>
      </c>
      <c r="Q326" s="31" t="str">
        <f aca="false">IF($E326="","",IF(ISNUMBER(SEARCH("(externo)",$G326)),"Terceirizada","Interna"))</f>
        <v/>
      </c>
      <c r="R326" s="36" t="str">
        <f aca="false">IF($J326="","",IF($M326="",$J326,$M326))</f>
        <v/>
      </c>
      <c r="S326" s="31" t="str">
        <f aca="false">IF($E326="","",IF(OR($K326="",$J326=""),0,IF($K326&lt;=$J326,1,0)))</f>
        <v/>
      </c>
      <c r="T326" s="31" t="str">
        <f aca="false">IF($E326="","",IF(OR($K326="",$R326=""),0,IF($K326&lt;=$R326,1,0)))</f>
        <v/>
      </c>
      <c r="U326" s="38" t="str">
        <f aca="false">IF(OR($K326="",$J326=""),"",MAX(0,$K326-$J326))</f>
        <v/>
      </c>
      <c r="V326" s="31" t="str">
        <f aca="false">IF($E326="","",IF(AND($M326&lt;&gt;"",$J326&lt;&gt;"",$M326&lt;&gt;$J326),1,0))</f>
        <v/>
      </c>
      <c r="W326" s="39" t="str">
        <f aca="false">IF($E326="","",IF($L326="Cancelada",0,IF(OR($K326&lt;&gt;"",$L326="Concluída"),1,0)))</f>
        <v/>
      </c>
    </row>
    <row r="327" customFormat="false" ht="15" hidden="false" customHeight="true" outlineLevel="0" collapsed="false">
      <c r="A327" s="31" t="str">
        <f aca="false">IF($E327="","",COUNTA($E$5:$E327))</f>
        <v/>
      </c>
      <c r="B327" s="32"/>
      <c r="C327" s="32"/>
      <c r="D327" s="32"/>
      <c r="E327" s="32"/>
      <c r="F327" s="33"/>
      <c r="G327" s="32"/>
      <c r="H327" s="34"/>
      <c r="I327" s="35"/>
      <c r="J327" s="36" t="str">
        <f aca="false">IF(OR($H327="",$I327=""),"",$H327+MATCH($I327,Listas!$F$5:$F$11,0)-1)</f>
        <v/>
      </c>
      <c r="K327" s="37"/>
      <c r="L327" s="33"/>
      <c r="M327" s="37"/>
      <c r="N327" s="32"/>
      <c r="O327" s="32"/>
      <c r="P327" s="38" t="str">
        <f aca="true">IF($E327="","",IF($L327="Cancelada","Cancelada",IF(OR($K327&lt;&gt;"",$L327="Concluída"),IF(OR($J327="",$K327="",$K327&lt;=$J327),"Concluída","Concluída com atraso"),IF($J327="","Na carteira",IF($J327&lt;TODAY(),"VENCIDA",IF($L327="Em execução","Em execução",IF($J327=TODAY(),"Hoje","Programada")))))))</f>
        <v/>
      </c>
      <c r="Q327" s="31" t="str">
        <f aca="false">IF($E327="","",IF(ISNUMBER(SEARCH("(externo)",$G327)),"Terceirizada","Interna"))</f>
        <v/>
      </c>
      <c r="R327" s="36" t="str">
        <f aca="false">IF($J327="","",IF($M327="",$J327,$M327))</f>
        <v/>
      </c>
      <c r="S327" s="31" t="str">
        <f aca="false">IF($E327="","",IF(OR($K327="",$J327=""),0,IF($K327&lt;=$J327,1,0)))</f>
        <v/>
      </c>
      <c r="T327" s="31" t="str">
        <f aca="false">IF($E327="","",IF(OR($K327="",$R327=""),0,IF($K327&lt;=$R327,1,0)))</f>
        <v/>
      </c>
      <c r="U327" s="38" t="str">
        <f aca="false">IF(OR($K327="",$J327=""),"",MAX(0,$K327-$J327))</f>
        <v/>
      </c>
      <c r="V327" s="31" t="str">
        <f aca="false">IF($E327="","",IF(AND($M327&lt;&gt;"",$J327&lt;&gt;"",$M327&lt;&gt;$J327),1,0))</f>
        <v/>
      </c>
      <c r="W327" s="39" t="str">
        <f aca="false">IF($E327="","",IF($L327="Cancelada",0,IF(OR($K327&lt;&gt;"",$L327="Concluída"),1,0)))</f>
        <v/>
      </c>
    </row>
    <row r="328" customFormat="false" ht="15" hidden="false" customHeight="true" outlineLevel="0" collapsed="false">
      <c r="A328" s="31" t="str">
        <f aca="false">IF($E328="","",COUNTA($E$5:$E328))</f>
        <v/>
      </c>
      <c r="B328" s="32"/>
      <c r="C328" s="32"/>
      <c r="D328" s="32"/>
      <c r="E328" s="32"/>
      <c r="F328" s="33"/>
      <c r="G328" s="32"/>
      <c r="H328" s="34"/>
      <c r="I328" s="35"/>
      <c r="J328" s="36" t="str">
        <f aca="false">IF(OR($H328="",$I328=""),"",$H328+MATCH($I328,Listas!$F$5:$F$11,0)-1)</f>
        <v/>
      </c>
      <c r="K328" s="37"/>
      <c r="L328" s="33"/>
      <c r="M328" s="37"/>
      <c r="N328" s="32"/>
      <c r="O328" s="32"/>
      <c r="P328" s="38" t="str">
        <f aca="true">IF($E328="","",IF($L328="Cancelada","Cancelada",IF(OR($K328&lt;&gt;"",$L328="Concluída"),IF(OR($J328="",$K328="",$K328&lt;=$J328),"Concluída","Concluída com atraso"),IF($J328="","Na carteira",IF($J328&lt;TODAY(),"VENCIDA",IF($L328="Em execução","Em execução",IF($J328=TODAY(),"Hoje","Programada")))))))</f>
        <v/>
      </c>
      <c r="Q328" s="31" t="str">
        <f aca="false">IF($E328="","",IF(ISNUMBER(SEARCH("(externo)",$G328)),"Terceirizada","Interna"))</f>
        <v/>
      </c>
      <c r="R328" s="36" t="str">
        <f aca="false">IF($J328="","",IF($M328="",$J328,$M328))</f>
        <v/>
      </c>
      <c r="S328" s="31" t="str">
        <f aca="false">IF($E328="","",IF(OR($K328="",$J328=""),0,IF($K328&lt;=$J328,1,0)))</f>
        <v/>
      </c>
      <c r="T328" s="31" t="str">
        <f aca="false">IF($E328="","",IF(OR($K328="",$R328=""),0,IF($K328&lt;=$R328,1,0)))</f>
        <v/>
      </c>
      <c r="U328" s="38" t="str">
        <f aca="false">IF(OR($K328="",$J328=""),"",MAX(0,$K328-$J328))</f>
        <v/>
      </c>
      <c r="V328" s="31" t="str">
        <f aca="false">IF($E328="","",IF(AND($M328&lt;&gt;"",$J328&lt;&gt;"",$M328&lt;&gt;$J328),1,0))</f>
        <v/>
      </c>
      <c r="W328" s="39" t="str">
        <f aca="false">IF($E328="","",IF($L328="Cancelada",0,IF(OR($K328&lt;&gt;"",$L328="Concluída"),1,0)))</f>
        <v/>
      </c>
    </row>
    <row r="329" customFormat="false" ht="15" hidden="false" customHeight="true" outlineLevel="0" collapsed="false">
      <c r="A329" s="31" t="str">
        <f aca="false">IF($E329="","",COUNTA($E$5:$E329))</f>
        <v/>
      </c>
      <c r="B329" s="32"/>
      <c r="C329" s="32"/>
      <c r="D329" s="32"/>
      <c r="E329" s="32"/>
      <c r="F329" s="33"/>
      <c r="G329" s="32"/>
      <c r="H329" s="34"/>
      <c r="I329" s="35"/>
      <c r="J329" s="36" t="str">
        <f aca="false">IF(OR($H329="",$I329=""),"",$H329+MATCH($I329,Listas!$F$5:$F$11,0)-1)</f>
        <v/>
      </c>
      <c r="K329" s="37"/>
      <c r="L329" s="33"/>
      <c r="M329" s="37"/>
      <c r="N329" s="32"/>
      <c r="O329" s="32"/>
      <c r="P329" s="38" t="str">
        <f aca="true">IF($E329="","",IF($L329="Cancelada","Cancelada",IF(OR($K329&lt;&gt;"",$L329="Concluída"),IF(OR($J329="",$K329="",$K329&lt;=$J329),"Concluída","Concluída com atraso"),IF($J329="","Na carteira",IF($J329&lt;TODAY(),"VENCIDA",IF($L329="Em execução","Em execução",IF($J329=TODAY(),"Hoje","Programada")))))))</f>
        <v/>
      </c>
      <c r="Q329" s="31" t="str">
        <f aca="false">IF($E329="","",IF(ISNUMBER(SEARCH("(externo)",$G329)),"Terceirizada","Interna"))</f>
        <v/>
      </c>
      <c r="R329" s="36" t="str">
        <f aca="false">IF($J329="","",IF($M329="",$J329,$M329))</f>
        <v/>
      </c>
      <c r="S329" s="31" t="str">
        <f aca="false">IF($E329="","",IF(OR($K329="",$J329=""),0,IF($K329&lt;=$J329,1,0)))</f>
        <v/>
      </c>
      <c r="T329" s="31" t="str">
        <f aca="false">IF($E329="","",IF(OR($K329="",$R329=""),0,IF($K329&lt;=$R329,1,0)))</f>
        <v/>
      </c>
      <c r="U329" s="38" t="str">
        <f aca="false">IF(OR($K329="",$J329=""),"",MAX(0,$K329-$J329))</f>
        <v/>
      </c>
      <c r="V329" s="31" t="str">
        <f aca="false">IF($E329="","",IF(AND($M329&lt;&gt;"",$J329&lt;&gt;"",$M329&lt;&gt;$J329),1,0))</f>
        <v/>
      </c>
      <c r="W329" s="39" t="str">
        <f aca="false">IF($E329="","",IF($L329="Cancelada",0,IF(OR($K329&lt;&gt;"",$L329="Concluída"),1,0)))</f>
        <v/>
      </c>
    </row>
    <row r="330" customFormat="false" ht="15" hidden="false" customHeight="true" outlineLevel="0" collapsed="false">
      <c r="A330" s="31" t="str">
        <f aca="false">IF($E330="","",COUNTA($E$5:$E330))</f>
        <v/>
      </c>
      <c r="B330" s="32"/>
      <c r="C330" s="32"/>
      <c r="D330" s="32"/>
      <c r="E330" s="32"/>
      <c r="F330" s="33"/>
      <c r="G330" s="32"/>
      <c r="H330" s="34"/>
      <c r="I330" s="35"/>
      <c r="J330" s="36" t="str">
        <f aca="false">IF(OR($H330="",$I330=""),"",$H330+MATCH($I330,Listas!$F$5:$F$11,0)-1)</f>
        <v/>
      </c>
      <c r="K330" s="37"/>
      <c r="L330" s="33"/>
      <c r="M330" s="37"/>
      <c r="N330" s="32"/>
      <c r="O330" s="32"/>
      <c r="P330" s="38" t="str">
        <f aca="true">IF($E330="","",IF($L330="Cancelada","Cancelada",IF(OR($K330&lt;&gt;"",$L330="Concluída"),IF(OR($J330="",$K330="",$K330&lt;=$J330),"Concluída","Concluída com atraso"),IF($J330="","Na carteira",IF($J330&lt;TODAY(),"VENCIDA",IF($L330="Em execução","Em execução",IF($J330=TODAY(),"Hoje","Programada")))))))</f>
        <v/>
      </c>
      <c r="Q330" s="31" t="str">
        <f aca="false">IF($E330="","",IF(ISNUMBER(SEARCH("(externo)",$G330)),"Terceirizada","Interna"))</f>
        <v/>
      </c>
      <c r="R330" s="36" t="str">
        <f aca="false">IF($J330="","",IF($M330="",$J330,$M330))</f>
        <v/>
      </c>
      <c r="S330" s="31" t="str">
        <f aca="false">IF($E330="","",IF(OR($K330="",$J330=""),0,IF($K330&lt;=$J330,1,0)))</f>
        <v/>
      </c>
      <c r="T330" s="31" t="str">
        <f aca="false">IF($E330="","",IF(OR($K330="",$R330=""),0,IF($K330&lt;=$R330,1,0)))</f>
        <v/>
      </c>
      <c r="U330" s="38" t="str">
        <f aca="false">IF(OR($K330="",$J330=""),"",MAX(0,$K330-$J330))</f>
        <v/>
      </c>
      <c r="V330" s="31" t="str">
        <f aca="false">IF($E330="","",IF(AND($M330&lt;&gt;"",$J330&lt;&gt;"",$M330&lt;&gt;$J330),1,0))</f>
        <v/>
      </c>
      <c r="W330" s="39" t="str">
        <f aca="false">IF($E330="","",IF($L330="Cancelada",0,IF(OR($K330&lt;&gt;"",$L330="Concluída"),1,0)))</f>
        <v/>
      </c>
    </row>
    <row r="331" customFormat="false" ht="15" hidden="false" customHeight="true" outlineLevel="0" collapsed="false">
      <c r="A331" s="31" t="str">
        <f aca="false">IF($E331="","",COUNTA($E$5:$E331))</f>
        <v/>
      </c>
      <c r="B331" s="32"/>
      <c r="C331" s="32"/>
      <c r="D331" s="32"/>
      <c r="E331" s="32"/>
      <c r="F331" s="33"/>
      <c r="G331" s="32"/>
      <c r="H331" s="34"/>
      <c r="I331" s="35"/>
      <c r="J331" s="36" t="str">
        <f aca="false">IF(OR($H331="",$I331=""),"",$H331+MATCH($I331,Listas!$F$5:$F$11,0)-1)</f>
        <v/>
      </c>
      <c r="K331" s="37"/>
      <c r="L331" s="33"/>
      <c r="M331" s="37"/>
      <c r="N331" s="32"/>
      <c r="O331" s="32"/>
      <c r="P331" s="38" t="str">
        <f aca="true">IF($E331="","",IF($L331="Cancelada","Cancelada",IF(OR($K331&lt;&gt;"",$L331="Concluída"),IF(OR($J331="",$K331="",$K331&lt;=$J331),"Concluída","Concluída com atraso"),IF($J331="","Na carteira",IF($J331&lt;TODAY(),"VENCIDA",IF($L331="Em execução","Em execução",IF($J331=TODAY(),"Hoje","Programada")))))))</f>
        <v/>
      </c>
      <c r="Q331" s="31" t="str">
        <f aca="false">IF($E331="","",IF(ISNUMBER(SEARCH("(externo)",$G331)),"Terceirizada","Interna"))</f>
        <v/>
      </c>
      <c r="R331" s="36" t="str">
        <f aca="false">IF($J331="","",IF($M331="",$J331,$M331))</f>
        <v/>
      </c>
      <c r="S331" s="31" t="str">
        <f aca="false">IF($E331="","",IF(OR($K331="",$J331=""),0,IF($K331&lt;=$J331,1,0)))</f>
        <v/>
      </c>
      <c r="T331" s="31" t="str">
        <f aca="false">IF($E331="","",IF(OR($K331="",$R331=""),0,IF($K331&lt;=$R331,1,0)))</f>
        <v/>
      </c>
      <c r="U331" s="38" t="str">
        <f aca="false">IF(OR($K331="",$J331=""),"",MAX(0,$K331-$J331))</f>
        <v/>
      </c>
      <c r="V331" s="31" t="str">
        <f aca="false">IF($E331="","",IF(AND($M331&lt;&gt;"",$J331&lt;&gt;"",$M331&lt;&gt;$J331),1,0))</f>
        <v/>
      </c>
      <c r="W331" s="39" t="str">
        <f aca="false">IF($E331="","",IF($L331="Cancelada",0,IF(OR($K331&lt;&gt;"",$L331="Concluída"),1,0)))</f>
        <v/>
      </c>
    </row>
    <row r="332" customFormat="false" ht="15" hidden="false" customHeight="true" outlineLevel="0" collapsed="false">
      <c r="A332" s="31" t="str">
        <f aca="false">IF($E332="","",COUNTA($E$5:$E332))</f>
        <v/>
      </c>
      <c r="B332" s="32"/>
      <c r="C332" s="32"/>
      <c r="D332" s="32"/>
      <c r="E332" s="32"/>
      <c r="F332" s="33"/>
      <c r="G332" s="32"/>
      <c r="H332" s="34"/>
      <c r="I332" s="35"/>
      <c r="J332" s="36" t="str">
        <f aca="false">IF(OR($H332="",$I332=""),"",$H332+MATCH($I332,Listas!$F$5:$F$11,0)-1)</f>
        <v/>
      </c>
      <c r="K332" s="37"/>
      <c r="L332" s="33"/>
      <c r="M332" s="37"/>
      <c r="N332" s="32"/>
      <c r="O332" s="32"/>
      <c r="P332" s="38" t="str">
        <f aca="true">IF($E332="","",IF($L332="Cancelada","Cancelada",IF(OR($K332&lt;&gt;"",$L332="Concluída"),IF(OR($J332="",$K332="",$K332&lt;=$J332),"Concluída","Concluída com atraso"),IF($J332="","Na carteira",IF($J332&lt;TODAY(),"VENCIDA",IF($L332="Em execução","Em execução",IF($J332=TODAY(),"Hoje","Programada")))))))</f>
        <v/>
      </c>
      <c r="Q332" s="31" t="str">
        <f aca="false">IF($E332="","",IF(ISNUMBER(SEARCH("(externo)",$G332)),"Terceirizada","Interna"))</f>
        <v/>
      </c>
      <c r="R332" s="36" t="str">
        <f aca="false">IF($J332="","",IF($M332="",$J332,$M332))</f>
        <v/>
      </c>
      <c r="S332" s="31" t="str">
        <f aca="false">IF($E332="","",IF(OR($K332="",$J332=""),0,IF($K332&lt;=$J332,1,0)))</f>
        <v/>
      </c>
      <c r="T332" s="31" t="str">
        <f aca="false">IF($E332="","",IF(OR($K332="",$R332=""),0,IF($K332&lt;=$R332,1,0)))</f>
        <v/>
      </c>
      <c r="U332" s="38" t="str">
        <f aca="false">IF(OR($K332="",$J332=""),"",MAX(0,$K332-$J332))</f>
        <v/>
      </c>
      <c r="V332" s="31" t="str">
        <f aca="false">IF($E332="","",IF(AND($M332&lt;&gt;"",$J332&lt;&gt;"",$M332&lt;&gt;$J332),1,0))</f>
        <v/>
      </c>
      <c r="W332" s="39" t="str">
        <f aca="false">IF($E332="","",IF($L332="Cancelada",0,IF(OR($K332&lt;&gt;"",$L332="Concluída"),1,0)))</f>
        <v/>
      </c>
    </row>
    <row r="333" customFormat="false" ht="15" hidden="false" customHeight="true" outlineLevel="0" collapsed="false">
      <c r="A333" s="31" t="str">
        <f aca="false">IF($E333="","",COUNTA($E$5:$E333))</f>
        <v/>
      </c>
      <c r="B333" s="32"/>
      <c r="C333" s="32"/>
      <c r="D333" s="32"/>
      <c r="E333" s="32"/>
      <c r="F333" s="33"/>
      <c r="G333" s="32"/>
      <c r="H333" s="34"/>
      <c r="I333" s="35"/>
      <c r="J333" s="36" t="str">
        <f aca="false">IF(OR($H333="",$I333=""),"",$H333+MATCH($I333,Listas!$F$5:$F$11,0)-1)</f>
        <v/>
      </c>
      <c r="K333" s="37"/>
      <c r="L333" s="33"/>
      <c r="M333" s="37"/>
      <c r="N333" s="32"/>
      <c r="O333" s="32"/>
      <c r="P333" s="38" t="str">
        <f aca="true">IF($E333="","",IF($L333="Cancelada","Cancelada",IF(OR($K333&lt;&gt;"",$L333="Concluída"),IF(OR($J333="",$K333="",$K333&lt;=$J333),"Concluída","Concluída com atraso"),IF($J333="","Na carteira",IF($J333&lt;TODAY(),"VENCIDA",IF($L333="Em execução","Em execução",IF($J333=TODAY(),"Hoje","Programada")))))))</f>
        <v/>
      </c>
      <c r="Q333" s="31" t="str">
        <f aca="false">IF($E333="","",IF(ISNUMBER(SEARCH("(externo)",$G333)),"Terceirizada","Interna"))</f>
        <v/>
      </c>
      <c r="R333" s="36" t="str">
        <f aca="false">IF($J333="","",IF($M333="",$J333,$M333))</f>
        <v/>
      </c>
      <c r="S333" s="31" t="str">
        <f aca="false">IF($E333="","",IF(OR($K333="",$J333=""),0,IF($K333&lt;=$J333,1,0)))</f>
        <v/>
      </c>
      <c r="T333" s="31" t="str">
        <f aca="false">IF($E333="","",IF(OR($K333="",$R333=""),0,IF($K333&lt;=$R333,1,0)))</f>
        <v/>
      </c>
      <c r="U333" s="38" t="str">
        <f aca="false">IF(OR($K333="",$J333=""),"",MAX(0,$K333-$J333))</f>
        <v/>
      </c>
      <c r="V333" s="31" t="str">
        <f aca="false">IF($E333="","",IF(AND($M333&lt;&gt;"",$J333&lt;&gt;"",$M333&lt;&gt;$J333),1,0))</f>
        <v/>
      </c>
      <c r="W333" s="39" t="str">
        <f aca="false">IF($E333="","",IF($L333="Cancelada",0,IF(OR($K333&lt;&gt;"",$L333="Concluída"),1,0)))</f>
        <v/>
      </c>
    </row>
    <row r="334" customFormat="false" ht="15" hidden="false" customHeight="true" outlineLevel="0" collapsed="false">
      <c r="A334" s="31" t="str">
        <f aca="false">IF($E334="","",COUNTA($E$5:$E334))</f>
        <v/>
      </c>
      <c r="B334" s="32"/>
      <c r="C334" s="32"/>
      <c r="D334" s="32"/>
      <c r="E334" s="32"/>
      <c r="F334" s="33"/>
      <c r="G334" s="32"/>
      <c r="H334" s="34"/>
      <c r="I334" s="35"/>
      <c r="J334" s="36" t="str">
        <f aca="false">IF(OR($H334="",$I334=""),"",$H334+MATCH($I334,Listas!$F$5:$F$11,0)-1)</f>
        <v/>
      </c>
      <c r="K334" s="37"/>
      <c r="L334" s="33"/>
      <c r="M334" s="37"/>
      <c r="N334" s="32"/>
      <c r="O334" s="32"/>
      <c r="P334" s="38" t="str">
        <f aca="true">IF($E334="","",IF($L334="Cancelada","Cancelada",IF(OR($K334&lt;&gt;"",$L334="Concluída"),IF(OR($J334="",$K334="",$K334&lt;=$J334),"Concluída","Concluída com atraso"),IF($J334="","Na carteira",IF($J334&lt;TODAY(),"VENCIDA",IF($L334="Em execução","Em execução",IF($J334=TODAY(),"Hoje","Programada")))))))</f>
        <v/>
      </c>
      <c r="Q334" s="31" t="str">
        <f aca="false">IF($E334="","",IF(ISNUMBER(SEARCH("(externo)",$G334)),"Terceirizada","Interna"))</f>
        <v/>
      </c>
      <c r="R334" s="36" t="str">
        <f aca="false">IF($J334="","",IF($M334="",$J334,$M334))</f>
        <v/>
      </c>
      <c r="S334" s="31" t="str">
        <f aca="false">IF($E334="","",IF(OR($K334="",$J334=""),0,IF($K334&lt;=$J334,1,0)))</f>
        <v/>
      </c>
      <c r="T334" s="31" t="str">
        <f aca="false">IF($E334="","",IF(OR($K334="",$R334=""),0,IF($K334&lt;=$R334,1,0)))</f>
        <v/>
      </c>
      <c r="U334" s="38" t="str">
        <f aca="false">IF(OR($K334="",$J334=""),"",MAX(0,$K334-$J334))</f>
        <v/>
      </c>
      <c r="V334" s="31" t="str">
        <f aca="false">IF($E334="","",IF(AND($M334&lt;&gt;"",$J334&lt;&gt;"",$M334&lt;&gt;$J334),1,0))</f>
        <v/>
      </c>
      <c r="W334" s="39" t="str">
        <f aca="false">IF($E334="","",IF($L334="Cancelada",0,IF(OR($K334&lt;&gt;"",$L334="Concluída"),1,0)))</f>
        <v/>
      </c>
    </row>
    <row r="335" customFormat="false" ht="15" hidden="false" customHeight="true" outlineLevel="0" collapsed="false">
      <c r="A335" s="31" t="str">
        <f aca="false">IF($E335="","",COUNTA($E$5:$E335))</f>
        <v/>
      </c>
      <c r="B335" s="32"/>
      <c r="C335" s="32"/>
      <c r="D335" s="32"/>
      <c r="E335" s="32"/>
      <c r="F335" s="33"/>
      <c r="G335" s="32"/>
      <c r="H335" s="34"/>
      <c r="I335" s="35"/>
      <c r="J335" s="36" t="str">
        <f aca="false">IF(OR($H335="",$I335=""),"",$H335+MATCH($I335,Listas!$F$5:$F$11,0)-1)</f>
        <v/>
      </c>
      <c r="K335" s="37"/>
      <c r="L335" s="33"/>
      <c r="M335" s="37"/>
      <c r="N335" s="32"/>
      <c r="O335" s="32"/>
      <c r="P335" s="38" t="str">
        <f aca="true">IF($E335="","",IF($L335="Cancelada","Cancelada",IF(OR($K335&lt;&gt;"",$L335="Concluída"),IF(OR($J335="",$K335="",$K335&lt;=$J335),"Concluída","Concluída com atraso"),IF($J335="","Na carteira",IF($J335&lt;TODAY(),"VENCIDA",IF($L335="Em execução","Em execução",IF($J335=TODAY(),"Hoje","Programada")))))))</f>
        <v/>
      </c>
      <c r="Q335" s="31" t="str">
        <f aca="false">IF($E335="","",IF(ISNUMBER(SEARCH("(externo)",$G335)),"Terceirizada","Interna"))</f>
        <v/>
      </c>
      <c r="R335" s="36" t="str">
        <f aca="false">IF($J335="","",IF($M335="",$J335,$M335))</f>
        <v/>
      </c>
      <c r="S335" s="31" t="str">
        <f aca="false">IF($E335="","",IF(OR($K335="",$J335=""),0,IF($K335&lt;=$J335,1,0)))</f>
        <v/>
      </c>
      <c r="T335" s="31" t="str">
        <f aca="false">IF($E335="","",IF(OR($K335="",$R335=""),0,IF($K335&lt;=$R335,1,0)))</f>
        <v/>
      </c>
      <c r="U335" s="38" t="str">
        <f aca="false">IF(OR($K335="",$J335=""),"",MAX(0,$K335-$J335))</f>
        <v/>
      </c>
      <c r="V335" s="31" t="str">
        <f aca="false">IF($E335="","",IF(AND($M335&lt;&gt;"",$J335&lt;&gt;"",$M335&lt;&gt;$J335),1,0))</f>
        <v/>
      </c>
      <c r="W335" s="39" t="str">
        <f aca="false">IF($E335="","",IF($L335="Cancelada",0,IF(OR($K335&lt;&gt;"",$L335="Concluída"),1,0)))</f>
        <v/>
      </c>
    </row>
    <row r="336" customFormat="false" ht="15" hidden="false" customHeight="true" outlineLevel="0" collapsed="false">
      <c r="A336" s="31" t="str">
        <f aca="false">IF($E336="","",COUNTA($E$5:$E336))</f>
        <v/>
      </c>
      <c r="B336" s="32"/>
      <c r="C336" s="32"/>
      <c r="D336" s="32"/>
      <c r="E336" s="32"/>
      <c r="F336" s="33"/>
      <c r="G336" s="32"/>
      <c r="H336" s="34"/>
      <c r="I336" s="35"/>
      <c r="J336" s="36" t="str">
        <f aca="false">IF(OR($H336="",$I336=""),"",$H336+MATCH($I336,Listas!$F$5:$F$11,0)-1)</f>
        <v/>
      </c>
      <c r="K336" s="37"/>
      <c r="L336" s="33"/>
      <c r="M336" s="37"/>
      <c r="N336" s="32"/>
      <c r="O336" s="32"/>
      <c r="P336" s="38" t="str">
        <f aca="true">IF($E336="","",IF($L336="Cancelada","Cancelada",IF(OR($K336&lt;&gt;"",$L336="Concluída"),IF(OR($J336="",$K336="",$K336&lt;=$J336),"Concluída","Concluída com atraso"),IF($J336="","Na carteira",IF($J336&lt;TODAY(),"VENCIDA",IF($L336="Em execução","Em execução",IF($J336=TODAY(),"Hoje","Programada")))))))</f>
        <v/>
      </c>
      <c r="Q336" s="31" t="str">
        <f aca="false">IF($E336="","",IF(ISNUMBER(SEARCH("(externo)",$G336)),"Terceirizada","Interna"))</f>
        <v/>
      </c>
      <c r="R336" s="36" t="str">
        <f aca="false">IF($J336="","",IF($M336="",$J336,$M336))</f>
        <v/>
      </c>
      <c r="S336" s="31" t="str">
        <f aca="false">IF($E336="","",IF(OR($K336="",$J336=""),0,IF($K336&lt;=$J336,1,0)))</f>
        <v/>
      </c>
      <c r="T336" s="31" t="str">
        <f aca="false">IF($E336="","",IF(OR($K336="",$R336=""),0,IF($K336&lt;=$R336,1,0)))</f>
        <v/>
      </c>
      <c r="U336" s="38" t="str">
        <f aca="false">IF(OR($K336="",$J336=""),"",MAX(0,$K336-$J336))</f>
        <v/>
      </c>
      <c r="V336" s="31" t="str">
        <f aca="false">IF($E336="","",IF(AND($M336&lt;&gt;"",$J336&lt;&gt;"",$M336&lt;&gt;$J336),1,0))</f>
        <v/>
      </c>
      <c r="W336" s="39" t="str">
        <f aca="false">IF($E336="","",IF($L336="Cancelada",0,IF(OR($K336&lt;&gt;"",$L336="Concluída"),1,0)))</f>
        <v/>
      </c>
    </row>
    <row r="337" customFormat="false" ht="15" hidden="false" customHeight="true" outlineLevel="0" collapsed="false">
      <c r="A337" s="31" t="str">
        <f aca="false">IF($E337="","",COUNTA($E$5:$E337))</f>
        <v/>
      </c>
      <c r="B337" s="32"/>
      <c r="C337" s="32"/>
      <c r="D337" s="32"/>
      <c r="E337" s="32"/>
      <c r="F337" s="33"/>
      <c r="G337" s="32"/>
      <c r="H337" s="34"/>
      <c r="I337" s="35"/>
      <c r="J337" s="36" t="str">
        <f aca="false">IF(OR($H337="",$I337=""),"",$H337+MATCH($I337,Listas!$F$5:$F$11,0)-1)</f>
        <v/>
      </c>
      <c r="K337" s="37"/>
      <c r="L337" s="33"/>
      <c r="M337" s="37"/>
      <c r="N337" s="32"/>
      <c r="O337" s="32"/>
      <c r="P337" s="38" t="str">
        <f aca="true">IF($E337="","",IF($L337="Cancelada","Cancelada",IF(OR($K337&lt;&gt;"",$L337="Concluída"),IF(OR($J337="",$K337="",$K337&lt;=$J337),"Concluída","Concluída com atraso"),IF($J337="","Na carteira",IF($J337&lt;TODAY(),"VENCIDA",IF($L337="Em execução","Em execução",IF($J337=TODAY(),"Hoje","Programada")))))))</f>
        <v/>
      </c>
      <c r="Q337" s="31" t="str">
        <f aca="false">IF($E337="","",IF(ISNUMBER(SEARCH("(externo)",$G337)),"Terceirizada","Interna"))</f>
        <v/>
      </c>
      <c r="R337" s="36" t="str">
        <f aca="false">IF($J337="","",IF($M337="",$J337,$M337))</f>
        <v/>
      </c>
      <c r="S337" s="31" t="str">
        <f aca="false">IF($E337="","",IF(OR($K337="",$J337=""),0,IF($K337&lt;=$J337,1,0)))</f>
        <v/>
      </c>
      <c r="T337" s="31" t="str">
        <f aca="false">IF($E337="","",IF(OR($K337="",$R337=""),0,IF($K337&lt;=$R337,1,0)))</f>
        <v/>
      </c>
      <c r="U337" s="38" t="str">
        <f aca="false">IF(OR($K337="",$J337=""),"",MAX(0,$K337-$J337))</f>
        <v/>
      </c>
      <c r="V337" s="31" t="str">
        <f aca="false">IF($E337="","",IF(AND($M337&lt;&gt;"",$J337&lt;&gt;"",$M337&lt;&gt;$J337),1,0))</f>
        <v/>
      </c>
      <c r="W337" s="39" t="str">
        <f aca="false">IF($E337="","",IF($L337="Cancelada",0,IF(OR($K337&lt;&gt;"",$L337="Concluída"),1,0)))</f>
        <v/>
      </c>
    </row>
    <row r="338" customFormat="false" ht="15" hidden="false" customHeight="true" outlineLevel="0" collapsed="false">
      <c r="A338" s="31" t="str">
        <f aca="false">IF($E338="","",COUNTA($E$5:$E338))</f>
        <v/>
      </c>
      <c r="B338" s="32"/>
      <c r="C338" s="32"/>
      <c r="D338" s="32"/>
      <c r="E338" s="32"/>
      <c r="F338" s="33"/>
      <c r="G338" s="32"/>
      <c r="H338" s="34"/>
      <c r="I338" s="35"/>
      <c r="J338" s="36" t="str">
        <f aca="false">IF(OR($H338="",$I338=""),"",$H338+MATCH($I338,Listas!$F$5:$F$11,0)-1)</f>
        <v/>
      </c>
      <c r="K338" s="37"/>
      <c r="L338" s="33"/>
      <c r="M338" s="37"/>
      <c r="N338" s="32"/>
      <c r="O338" s="32"/>
      <c r="P338" s="38" t="str">
        <f aca="true">IF($E338="","",IF($L338="Cancelada","Cancelada",IF(OR($K338&lt;&gt;"",$L338="Concluída"),IF(OR($J338="",$K338="",$K338&lt;=$J338),"Concluída","Concluída com atraso"),IF($J338="","Na carteira",IF($J338&lt;TODAY(),"VENCIDA",IF($L338="Em execução","Em execução",IF($J338=TODAY(),"Hoje","Programada")))))))</f>
        <v/>
      </c>
      <c r="Q338" s="31" t="str">
        <f aca="false">IF($E338="","",IF(ISNUMBER(SEARCH("(externo)",$G338)),"Terceirizada","Interna"))</f>
        <v/>
      </c>
      <c r="R338" s="36" t="str">
        <f aca="false">IF($J338="","",IF($M338="",$J338,$M338))</f>
        <v/>
      </c>
      <c r="S338" s="31" t="str">
        <f aca="false">IF($E338="","",IF(OR($K338="",$J338=""),0,IF($K338&lt;=$J338,1,0)))</f>
        <v/>
      </c>
      <c r="T338" s="31" t="str">
        <f aca="false">IF($E338="","",IF(OR($K338="",$R338=""),0,IF($K338&lt;=$R338,1,0)))</f>
        <v/>
      </c>
      <c r="U338" s="38" t="str">
        <f aca="false">IF(OR($K338="",$J338=""),"",MAX(0,$K338-$J338))</f>
        <v/>
      </c>
      <c r="V338" s="31" t="str">
        <f aca="false">IF($E338="","",IF(AND($M338&lt;&gt;"",$J338&lt;&gt;"",$M338&lt;&gt;$J338),1,0))</f>
        <v/>
      </c>
      <c r="W338" s="39" t="str">
        <f aca="false">IF($E338="","",IF($L338="Cancelada",0,IF(OR($K338&lt;&gt;"",$L338="Concluída"),1,0)))</f>
        <v/>
      </c>
    </row>
    <row r="339" customFormat="false" ht="15" hidden="false" customHeight="true" outlineLevel="0" collapsed="false">
      <c r="A339" s="31" t="str">
        <f aca="false">IF($E339="","",COUNTA($E$5:$E339))</f>
        <v/>
      </c>
      <c r="B339" s="32"/>
      <c r="C339" s="32"/>
      <c r="D339" s="32"/>
      <c r="E339" s="32"/>
      <c r="F339" s="33"/>
      <c r="G339" s="32"/>
      <c r="H339" s="34"/>
      <c r="I339" s="35"/>
      <c r="J339" s="36" t="str">
        <f aca="false">IF(OR($H339="",$I339=""),"",$H339+MATCH($I339,Listas!$F$5:$F$11,0)-1)</f>
        <v/>
      </c>
      <c r="K339" s="37"/>
      <c r="L339" s="33"/>
      <c r="M339" s="37"/>
      <c r="N339" s="32"/>
      <c r="O339" s="32"/>
      <c r="P339" s="38" t="str">
        <f aca="true">IF($E339="","",IF($L339="Cancelada","Cancelada",IF(OR($K339&lt;&gt;"",$L339="Concluída"),IF(OR($J339="",$K339="",$K339&lt;=$J339),"Concluída","Concluída com atraso"),IF($J339="","Na carteira",IF($J339&lt;TODAY(),"VENCIDA",IF($L339="Em execução","Em execução",IF($J339=TODAY(),"Hoje","Programada")))))))</f>
        <v/>
      </c>
      <c r="Q339" s="31" t="str">
        <f aca="false">IF($E339="","",IF(ISNUMBER(SEARCH("(externo)",$G339)),"Terceirizada","Interna"))</f>
        <v/>
      </c>
      <c r="R339" s="36" t="str">
        <f aca="false">IF($J339="","",IF($M339="",$J339,$M339))</f>
        <v/>
      </c>
      <c r="S339" s="31" t="str">
        <f aca="false">IF($E339="","",IF(OR($K339="",$J339=""),0,IF($K339&lt;=$J339,1,0)))</f>
        <v/>
      </c>
      <c r="T339" s="31" t="str">
        <f aca="false">IF($E339="","",IF(OR($K339="",$R339=""),0,IF($K339&lt;=$R339,1,0)))</f>
        <v/>
      </c>
      <c r="U339" s="38" t="str">
        <f aca="false">IF(OR($K339="",$J339=""),"",MAX(0,$K339-$J339))</f>
        <v/>
      </c>
      <c r="V339" s="31" t="str">
        <f aca="false">IF($E339="","",IF(AND($M339&lt;&gt;"",$J339&lt;&gt;"",$M339&lt;&gt;$J339),1,0))</f>
        <v/>
      </c>
      <c r="W339" s="39" t="str">
        <f aca="false">IF($E339="","",IF($L339="Cancelada",0,IF(OR($K339&lt;&gt;"",$L339="Concluída"),1,0)))</f>
        <v/>
      </c>
    </row>
    <row r="340" customFormat="false" ht="15" hidden="false" customHeight="true" outlineLevel="0" collapsed="false">
      <c r="A340" s="31" t="str">
        <f aca="false">IF($E340="","",COUNTA($E$5:$E340))</f>
        <v/>
      </c>
      <c r="B340" s="32"/>
      <c r="C340" s="32"/>
      <c r="D340" s="32"/>
      <c r="E340" s="32"/>
      <c r="F340" s="33"/>
      <c r="G340" s="32"/>
      <c r="H340" s="34"/>
      <c r="I340" s="35"/>
      <c r="J340" s="36" t="str">
        <f aca="false">IF(OR($H340="",$I340=""),"",$H340+MATCH($I340,Listas!$F$5:$F$11,0)-1)</f>
        <v/>
      </c>
      <c r="K340" s="37"/>
      <c r="L340" s="33"/>
      <c r="M340" s="37"/>
      <c r="N340" s="32"/>
      <c r="O340" s="32"/>
      <c r="P340" s="38" t="str">
        <f aca="true">IF($E340="","",IF($L340="Cancelada","Cancelada",IF(OR($K340&lt;&gt;"",$L340="Concluída"),IF(OR($J340="",$K340="",$K340&lt;=$J340),"Concluída","Concluída com atraso"),IF($J340="","Na carteira",IF($J340&lt;TODAY(),"VENCIDA",IF($L340="Em execução","Em execução",IF($J340=TODAY(),"Hoje","Programada")))))))</f>
        <v/>
      </c>
      <c r="Q340" s="31" t="str">
        <f aca="false">IF($E340="","",IF(ISNUMBER(SEARCH("(externo)",$G340)),"Terceirizada","Interna"))</f>
        <v/>
      </c>
      <c r="R340" s="36" t="str">
        <f aca="false">IF($J340="","",IF($M340="",$J340,$M340))</f>
        <v/>
      </c>
      <c r="S340" s="31" t="str">
        <f aca="false">IF($E340="","",IF(OR($K340="",$J340=""),0,IF($K340&lt;=$J340,1,0)))</f>
        <v/>
      </c>
      <c r="T340" s="31" t="str">
        <f aca="false">IF($E340="","",IF(OR($K340="",$R340=""),0,IF($K340&lt;=$R340,1,0)))</f>
        <v/>
      </c>
      <c r="U340" s="38" t="str">
        <f aca="false">IF(OR($K340="",$J340=""),"",MAX(0,$K340-$J340))</f>
        <v/>
      </c>
      <c r="V340" s="31" t="str">
        <f aca="false">IF($E340="","",IF(AND($M340&lt;&gt;"",$J340&lt;&gt;"",$M340&lt;&gt;$J340),1,0))</f>
        <v/>
      </c>
      <c r="W340" s="39" t="str">
        <f aca="false">IF($E340="","",IF($L340="Cancelada",0,IF(OR($K340&lt;&gt;"",$L340="Concluída"),1,0)))</f>
        <v/>
      </c>
    </row>
    <row r="341" customFormat="false" ht="15" hidden="false" customHeight="true" outlineLevel="0" collapsed="false">
      <c r="A341" s="31" t="str">
        <f aca="false">IF($E341="","",COUNTA($E$5:$E341))</f>
        <v/>
      </c>
      <c r="B341" s="32"/>
      <c r="C341" s="32"/>
      <c r="D341" s="32"/>
      <c r="E341" s="32"/>
      <c r="F341" s="33"/>
      <c r="G341" s="32"/>
      <c r="H341" s="34"/>
      <c r="I341" s="35"/>
      <c r="J341" s="36" t="str">
        <f aca="false">IF(OR($H341="",$I341=""),"",$H341+MATCH($I341,Listas!$F$5:$F$11,0)-1)</f>
        <v/>
      </c>
      <c r="K341" s="37"/>
      <c r="L341" s="33"/>
      <c r="M341" s="37"/>
      <c r="N341" s="32"/>
      <c r="O341" s="32"/>
      <c r="P341" s="38" t="str">
        <f aca="true">IF($E341="","",IF($L341="Cancelada","Cancelada",IF(OR($K341&lt;&gt;"",$L341="Concluída"),IF(OR($J341="",$K341="",$K341&lt;=$J341),"Concluída","Concluída com atraso"),IF($J341="","Na carteira",IF($J341&lt;TODAY(),"VENCIDA",IF($L341="Em execução","Em execução",IF($J341=TODAY(),"Hoje","Programada")))))))</f>
        <v/>
      </c>
      <c r="Q341" s="31" t="str">
        <f aca="false">IF($E341="","",IF(ISNUMBER(SEARCH("(externo)",$G341)),"Terceirizada","Interna"))</f>
        <v/>
      </c>
      <c r="R341" s="36" t="str">
        <f aca="false">IF($J341="","",IF($M341="",$J341,$M341))</f>
        <v/>
      </c>
      <c r="S341" s="31" t="str">
        <f aca="false">IF($E341="","",IF(OR($K341="",$J341=""),0,IF($K341&lt;=$J341,1,0)))</f>
        <v/>
      </c>
      <c r="T341" s="31" t="str">
        <f aca="false">IF($E341="","",IF(OR($K341="",$R341=""),0,IF($K341&lt;=$R341,1,0)))</f>
        <v/>
      </c>
      <c r="U341" s="38" t="str">
        <f aca="false">IF(OR($K341="",$J341=""),"",MAX(0,$K341-$J341))</f>
        <v/>
      </c>
      <c r="V341" s="31" t="str">
        <f aca="false">IF($E341="","",IF(AND($M341&lt;&gt;"",$J341&lt;&gt;"",$M341&lt;&gt;$J341),1,0))</f>
        <v/>
      </c>
      <c r="W341" s="39" t="str">
        <f aca="false">IF($E341="","",IF($L341="Cancelada",0,IF(OR($K341&lt;&gt;"",$L341="Concluída"),1,0)))</f>
        <v/>
      </c>
    </row>
    <row r="342" customFormat="false" ht="15" hidden="false" customHeight="true" outlineLevel="0" collapsed="false">
      <c r="A342" s="31" t="str">
        <f aca="false">IF($E342="","",COUNTA($E$5:$E342))</f>
        <v/>
      </c>
      <c r="B342" s="32"/>
      <c r="C342" s="32"/>
      <c r="D342" s="32"/>
      <c r="E342" s="32"/>
      <c r="F342" s="33"/>
      <c r="G342" s="32"/>
      <c r="H342" s="34"/>
      <c r="I342" s="35"/>
      <c r="J342" s="36" t="str">
        <f aca="false">IF(OR($H342="",$I342=""),"",$H342+MATCH($I342,Listas!$F$5:$F$11,0)-1)</f>
        <v/>
      </c>
      <c r="K342" s="37"/>
      <c r="L342" s="33"/>
      <c r="M342" s="37"/>
      <c r="N342" s="32"/>
      <c r="O342" s="32"/>
      <c r="P342" s="38" t="str">
        <f aca="true">IF($E342="","",IF($L342="Cancelada","Cancelada",IF(OR($K342&lt;&gt;"",$L342="Concluída"),IF(OR($J342="",$K342="",$K342&lt;=$J342),"Concluída","Concluída com atraso"),IF($J342="","Na carteira",IF($J342&lt;TODAY(),"VENCIDA",IF($L342="Em execução","Em execução",IF($J342=TODAY(),"Hoje","Programada")))))))</f>
        <v/>
      </c>
      <c r="Q342" s="31" t="str">
        <f aca="false">IF($E342="","",IF(ISNUMBER(SEARCH("(externo)",$G342)),"Terceirizada","Interna"))</f>
        <v/>
      </c>
      <c r="R342" s="36" t="str">
        <f aca="false">IF($J342="","",IF($M342="",$J342,$M342))</f>
        <v/>
      </c>
      <c r="S342" s="31" t="str">
        <f aca="false">IF($E342="","",IF(OR($K342="",$J342=""),0,IF($K342&lt;=$J342,1,0)))</f>
        <v/>
      </c>
      <c r="T342" s="31" t="str">
        <f aca="false">IF($E342="","",IF(OR($K342="",$R342=""),0,IF($K342&lt;=$R342,1,0)))</f>
        <v/>
      </c>
      <c r="U342" s="38" t="str">
        <f aca="false">IF(OR($K342="",$J342=""),"",MAX(0,$K342-$J342))</f>
        <v/>
      </c>
      <c r="V342" s="31" t="str">
        <f aca="false">IF($E342="","",IF(AND($M342&lt;&gt;"",$J342&lt;&gt;"",$M342&lt;&gt;$J342),1,0))</f>
        <v/>
      </c>
      <c r="W342" s="39" t="str">
        <f aca="false">IF($E342="","",IF($L342="Cancelada",0,IF(OR($K342&lt;&gt;"",$L342="Concluída"),1,0)))</f>
        <v/>
      </c>
    </row>
    <row r="343" customFormat="false" ht="15" hidden="false" customHeight="true" outlineLevel="0" collapsed="false">
      <c r="A343" s="31" t="str">
        <f aca="false">IF($E343="","",COUNTA($E$5:$E343))</f>
        <v/>
      </c>
      <c r="B343" s="32"/>
      <c r="C343" s="32"/>
      <c r="D343" s="32"/>
      <c r="E343" s="32"/>
      <c r="F343" s="33"/>
      <c r="G343" s="32"/>
      <c r="H343" s="34"/>
      <c r="I343" s="35"/>
      <c r="J343" s="36" t="str">
        <f aca="false">IF(OR($H343="",$I343=""),"",$H343+MATCH($I343,Listas!$F$5:$F$11,0)-1)</f>
        <v/>
      </c>
      <c r="K343" s="37"/>
      <c r="L343" s="33"/>
      <c r="M343" s="37"/>
      <c r="N343" s="32"/>
      <c r="O343" s="32"/>
      <c r="P343" s="38" t="str">
        <f aca="true">IF($E343="","",IF($L343="Cancelada","Cancelada",IF(OR($K343&lt;&gt;"",$L343="Concluída"),IF(OR($J343="",$K343="",$K343&lt;=$J343),"Concluída","Concluída com atraso"),IF($J343="","Na carteira",IF($J343&lt;TODAY(),"VENCIDA",IF($L343="Em execução","Em execução",IF($J343=TODAY(),"Hoje","Programada")))))))</f>
        <v/>
      </c>
      <c r="Q343" s="31" t="str">
        <f aca="false">IF($E343="","",IF(ISNUMBER(SEARCH("(externo)",$G343)),"Terceirizada","Interna"))</f>
        <v/>
      </c>
      <c r="R343" s="36" t="str">
        <f aca="false">IF($J343="","",IF($M343="",$J343,$M343))</f>
        <v/>
      </c>
      <c r="S343" s="31" t="str">
        <f aca="false">IF($E343="","",IF(OR($K343="",$J343=""),0,IF($K343&lt;=$J343,1,0)))</f>
        <v/>
      </c>
      <c r="T343" s="31" t="str">
        <f aca="false">IF($E343="","",IF(OR($K343="",$R343=""),0,IF($K343&lt;=$R343,1,0)))</f>
        <v/>
      </c>
      <c r="U343" s="38" t="str">
        <f aca="false">IF(OR($K343="",$J343=""),"",MAX(0,$K343-$J343))</f>
        <v/>
      </c>
      <c r="V343" s="31" t="str">
        <f aca="false">IF($E343="","",IF(AND($M343&lt;&gt;"",$J343&lt;&gt;"",$M343&lt;&gt;$J343),1,0))</f>
        <v/>
      </c>
      <c r="W343" s="39" t="str">
        <f aca="false">IF($E343="","",IF($L343="Cancelada",0,IF(OR($K343&lt;&gt;"",$L343="Concluída"),1,0)))</f>
        <v/>
      </c>
    </row>
    <row r="344" customFormat="false" ht="15" hidden="false" customHeight="true" outlineLevel="0" collapsed="false">
      <c r="A344" s="31" t="str">
        <f aca="false">IF($E344="","",COUNTA($E$5:$E344))</f>
        <v/>
      </c>
      <c r="B344" s="32"/>
      <c r="C344" s="32"/>
      <c r="D344" s="32"/>
      <c r="E344" s="32"/>
      <c r="F344" s="33"/>
      <c r="G344" s="32"/>
      <c r="H344" s="34"/>
      <c r="I344" s="35"/>
      <c r="J344" s="36" t="str">
        <f aca="false">IF(OR($H344="",$I344=""),"",$H344+MATCH($I344,Listas!$F$5:$F$11,0)-1)</f>
        <v/>
      </c>
      <c r="K344" s="37"/>
      <c r="L344" s="33"/>
      <c r="M344" s="37"/>
      <c r="N344" s="32"/>
      <c r="O344" s="32"/>
      <c r="P344" s="38" t="str">
        <f aca="true">IF($E344="","",IF($L344="Cancelada","Cancelada",IF(OR($K344&lt;&gt;"",$L344="Concluída"),IF(OR($J344="",$K344="",$K344&lt;=$J344),"Concluída","Concluída com atraso"),IF($J344="","Na carteira",IF($J344&lt;TODAY(),"VENCIDA",IF($L344="Em execução","Em execução",IF($J344=TODAY(),"Hoje","Programada")))))))</f>
        <v/>
      </c>
      <c r="Q344" s="31" t="str">
        <f aca="false">IF($E344="","",IF(ISNUMBER(SEARCH("(externo)",$G344)),"Terceirizada","Interna"))</f>
        <v/>
      </c>
      <c r="R344" s="36" t="str">
        <f aca="false">IF($J344="","",IF($M344="",$J344,$M344))</f>
        <v/>
      </c>
      <c r="S344" s="31" t="str">
        <f aca="false">IF($E344="","",IF(OR($K344="",$J344=""),0,IF($K344&lt;=$J344,1,0)))</f>
        <v/>
      </c>
      <c r="T344" s="31" t="str">
        <f aca="false">IF($E344="","",IF(OR($K344="",$R344=""),0,IF($K344&lt;=$R344,1,0)))</f>
        <v/>
      </c>
      <c r="U344" s="38" t="str">
        <f aca="false">IF(OR($K344="",$J344=""),"",MAX(0,$K344-$J344))</f>
        <v/>
      </c>
      <c r="V344" s="31" t="str">
        <f aca="false">IF($E344="","",IF(AND($M344&lt;&gt;"",$J344&lt;&gt;"",$M344&lt;&gt;$J344),1,0))</f>
        <v/>
      </c>
      <c r="W344" s="39" t="str">
        <f aca="false">IF($E344="","",IF($L344="Cancelada",0,IF(OR($K344&lt;&gt;"",$L344="Concluída"),1,0)))</f>
        <v/>
      </c>
    </row>
    <row r="345" customFormat="false" ht="15" hidden="false" customHeight="true" outlineLevel="0" collapsed="false">
      <c r="A345" s="31" t="str">
        <f aca="false">IF($E345="","",COUNTA($E$5:$E345))</f>
        <v/>
      </c>
      <c r="B345" s="32"/>
      <c r="C345" s="32"/>
      <c r="D345" s="32"/>
      <c r="E345" s="32"/>
      <c r="F345" s="33"/>
      <c r="G345" s="32"/>
      <c r="H345" s="34"/>
      <c r="I345" s="35"/>
      <c r="J345" s="36" t="str">
        <f aca="false">IF(OR($H345="",$I345=""),"",$H345+MATCH($I345,Listas!$F$5:$F$11,0)-1)</f>
        <v/>
      </c>
      <c r="K345" s="37"/>
      <c r="L345" s="33"/>
      <c r="M345" s="37"/>
      <c r="N345" s="32"/>
      <c r="O345" s="32"/>
      <c r="P345" s="38" t="str">
        <f aca="true">IF($E345="","",IF($L345="Cancelada","Cancelada",IF(OR($K345&lt;&gt;"",$L345="Concluída"),IF(OR($J345="",$K345="",$K345&lt;=$J345),"Concluída","Concluída com atraso"),IF($J345="","Na carteira",IF($J345&lt;TODAY(),"VENCIDA",IF($L345="Em execução","Em execução",IF($J345=TODAY(),"Hoje","Programada")))))))</f>
        <v/>
      </c>
      <c r="Q345" s="31" t="str">
        <f aca="false">IF($E345="","",IF(ISNUMBER(SEARCH("(externo)",$G345)),"Terceirizada","Interna"))</f>
        <v/>
      </c>
      <c r="R345" s="36" t="str">
        <f aca="false">IF($J345="","",IF($M345="",$J345,$M345))</f>
        <v/>
      </c>
      <c r="S345" s="31" t="str">
        <f aca="false">IF($E345="","",IF(OR($K345="",$J345=""),0,IF($K345&lt;=$J345,1,0)))</f>
        <v/>
      </c>
      <c r="T345" s="31" t="str">
        <f aca="false">IF($E345="","",IF(OR($K345="",$R345=""),0,IF($K345&lt;=$R345,1,0)))</f>
        <v/>
      </c>
      <c r="U345" s="38" t="str">
        <f aca="false">IF(OR($K345="",$J345=""),"",MAX(0,$K345-$J345))</f>
        <v/>
      </c>
      <c r="V345" s="31" t="str">
        <f aca="false">IF($E345="","",IF(AND($M345&lt;&gt;"",$J345&lt;&gt;"",$M345&lt;&gt;$J345),1,0))</f>
        <v/>
      </c>
      <c r="W345" s="39" t="str">
        <f aca="false">IF($E345="","",IF($L345="Cancelada",0,IF(OR($K345&lt;&gt;"",$L345="Concluída"),1,0)))</f>
        <v/>
      </c>
    </row>
    <row r="346" customFormat="false" ht="15" hidden="false" customHeight="true" outlineLevel="0" collapsed="false">
      <c r="A346" s="31" t="str">
        <f aca="false">IF($E346="","",COUNTA($E$5:$E346))</f>
        <v/>
      </c>
      <c r="B346" s="32"/>
      <c r="C346" s="32"/>
      <c r="D346" s="32"/>
      <c r="E346" s="32"/>
      <c r="F346" s="33"/>
      <c r="G346" s="32"/>
      <c r="H346" s="34"/>
      <c r="I346" s="35"/>
      <c r="J346" s="36" t="str">
        <f aca="false">IF(OR($H346="",$I346=""),"",$H346+MATCH($I346,Listas!$F$5:$F$11,0)-1)</f>
        <v/>
      </c>
      <c r="K346" s="37"/>
      <c r="L346" s="33"/>
      <c r="M346" s="37"/>
      <c r="N346" s="32"/>
      <c r="O346" s="32"/>
      <c r="P346" s="38" t="str">
        <f aca="true">IF($E346="","",IF($L346="Cancelada","Cancelada",IF(OR($K346&lt;&gt;"",$L346="Concluída"),IF(OR($J346="",$K346="",$K346&lt;=$J346),"Concluída","Concluída com atraso"),IF($J346="","Na carteira",IF($J346&lt;TODAY(),"VENCIDA",IF($L346="Em execução","Em execução",IF($J346=TODAY(),"Hoje","Programada")))))))</f>
        <v/>
      </c>
      <c r="Q346" s="31" t="str">
        <f aca="false">IF($E346="","",IF(ISNUMBER(SEARCH("(externo)",$G346)),"Terceirizada","Interna"))</f>
        <v/>
      </c>
      <c r="R346" s="36" t="str">
        <f aca="false">IF($J346="","",IF($M346="",$J346,$M346))</f>
        <v/>
      </c>
      <c r="S346" s="31" t="str">
        <f aca="false">IF($E346="","",IF(OR($K346="",$J346=""),0,IF($K346&lt;=$J346,1,0)))</f>
        <v/>
      </c>
      <c r="T346" s="31" t="str">
        <f aca="false">IF($E346="","",IF(OR($K346="",$R346=""),0,IF($K346&lt;=$R346,1,0)))</f>
        <v/>
      </c>
      <c r="U346" s="38" t="str">
        <f aca="false">IF(OR($K346="",$J346=""),"",MAX(0,$K346-$J346))</f>
        <v/>
      </c>
      <c r="V346" s="31" t="str">
        <f aca="false">IF($E346="","",IF(AND($M346&lt;&gt;"",$J346&lt;&gt;"",$M346&lt;&gt;$J346),1,0))</f>
        <v/>
      </c>
      <c r="W346" s="39" t="str">
        <f aca="false">IF($E346="","",IF($L346="Cancelada",0,IF(OR($K346&lt;&gt;"",$L346="Concluída"),1,0)))</f>
        <v/>
      </c>
    </row>
    <row r="347" customFormat="false" ht="15" hidden="false" customHeight="true" outlineLevel="0" collapsed="false">
      <c r="A347" s="31" t="str">
        <f aca="false">IF($E347="","",COUNTA($E$5:$E347))</f>
        <v/>
      </c>
      <c r="B347" s="32"/>
      <c r="C347" s="32"/>
      <c r="D347" s="32"/>
      <c r="E347" s="32"/>
      <c r="F347" s="33"/>
      <c r="G347" s="32"/>
      <c r="H347" s="34"/>
      <c r="I347" s="35"/>
      <c r="J347" s="36" t="str">
        <f aca="false">IF(OR($H347="",$I347=""),"",$H347+MATCH($I347,Listas!$F$5:$F$11,0)-1)</f>
        <v/>
      </c>
      <c r="K347" s="37"/>
      <c r="L347" s="33"/>
      <c r="M347" s="37"/>
      <c r="N347" s="32"/>
      <c r="O347" s="32"/>
      <c r="P347" s="38" t="str">
        <f aca="true">IF($E347="","",IF($L347="Cancelada","Cancelada",IF(OR($K347&lt;&gt;"",$L347="Concluída"),IF(OR($J347="",$K347="",$K347&lt;=$J347),"Concluída","Concluída com atraso"),IF($J347="","Na carteira",IF($J347&lt;TODAY(),"VENCIDA",IF($L347="Em execução","Em execução",IF($J347=TODAY(),"Hoje","Programada")))))))</f>
        <v/>
      </c>
      <c r="Q347" s="31" t="str">
        <f aca="false">IF($E347="","",IF(ISNUMBER(SEARCH("(externo)",$G347)),"Terceirizada","Interna"))</f>
        <v/>
      </c>
      <c r="R347" s="36" t="str">
        <f aca="false">IF($J347="","",IF($M347="",$J347,$M347))</f>
        <v/>
      </c>
      <c r="S347" s="31" t="str">
        <f aca="false">IF($E347="","",IF(OR($K347="",$J347=""),0,IF($K347&lt;=$J347,1,0)))</f>
        <v/>
      </c>
      <c r="T347" s="31" t="str">
        <f aca="false">IF($E347="","",IF(OR($K347="",$R347=""),0,IF($K347&lt;=$R347,1,0)))</f>
        <v/>
      </c>
      <c r="U347" s="38" t="str">
        <f aca="false">IF(OR($K347="",$J347=""),"",MAX(0,$K347-$J347))</f>
        <v/>
      </c>
      <c r="V347" s="31" t="str">
        <f aca="false">IF($E347="","",IF(AND($M347&lt;&gt;"",$J347&lt;&gt;"",$M347&lt;&gt;$J347),1,0))</f>
        <v/>
      </c>
      <c r="W347" s="39" t="str">
        <f aca="false">IF($E347="","",IF($L347="Cancelada",0,IF(OR($K347&lt;&gt;"",$L347="Concluída"),1,0)))</f>
        <v/>
      </c>
    </row>
    <row r="348" customFormat="false" ht="15" hidden="false" customHeight="true" outlineLevel="0" collapsed="false">
      <c r="A348" s="31" t="str">
        <f aca="false">IF($E348="","",COUNTA($E$5:$E348))</f>
        <v/>
      </c>
      <c r="B348" s="32"/>
      <c r="C348" s="32"/>
      <c r="D348" s="32"/>
      <c r="E348" s="32"/>
      <c r="F348" s="33"/>
      <c r="G348" s="32"/>
      <c r="H348" s="34"/>
      <c r="I348" s="35"/>
      <c r="J348" s="36" t="str">
        <f aca="false">IF(OR($H348="",$I348=""),"",$H348+MATCH($I348,Listas!$F$5:$F$11,0)-1)</f>
        <v/>
      </c>
      <c r="K348" s="37"/>
      <c r="L348" s="33"/>
      <c r="M348" s="37"/>
      <c r="N348" s="32"/>
      <c r="O348" s="32"/>
      <c r="P348" s="38" t="str">
        <f aca="true">IF($E348="","",IF($L348="Cancelada","Cancelada",IF(OR($K348&lt;&gt;"",$L348="Concluída"),IF(OR($J348="",$K348="",$K348&lt;=$J348),"Concluída","Concluída com atraso"),IF($J348="","Na carteira",IF($J348&lt;TODAY(),"VENCIDA",IF($L348="Em execução","Em execução",IF($J348=TODAY(),"Hoje","Programada")))))))</f>
        <v/>
      </c>
      <c r="Q348" s="31" t="str">
        <f aca="false">IF($E348="","",IF(ISNUMBER(SEARCH("(externo)",$G348)),"Terceirizada","Interna"))</f>
        <v/>
      </c>
      <c r="R348" s="36" t="str">
        <f aca="false">IF($J348="","",IF($M348="",$J348,$M348))</f>
        <v/>
      </c>
      <c r="S348" s="31" t="str">
        <f aca="false">IF($E348="","",IF(OR($K348="",$J348=""),0,IF($K348&lt;=$J348,1,0)))</f>
        <v/>
      </c>
      <c r="T348" s="31" t="str">
        <f aca="false">IF($E348="","",IF(OR($K348="",$R348=""),0,IF($K348&lt;=$R348,1,0)))</f>
        <v/>
      </c>
      <c r="U348" s="38" t="str">
        <f aca="false">IF(OR($K348="",$J348=""),"",MAX(0,$K348-$J348))</f>
        <v/>
      </c>
      <c r="V348" s="31" t="str">
        <f aca="false">IF($E348="","",IF(AND($M348&lt;&gt;"",$J348&lt;&gt;"",$M348&lt;&gt;$J348),1,0))</f>
        <v/>
      </c>
      <c r="W348" s="39" t="str">
        <f aca="false">IF($E348="","",IF($L348="Cancelada",0,IF(OR($K348&lt;&gt;"",$L348="Concluída"),1,0)))</f>
        <v/>
      </c>
    </row>
    <row r="349" customFormat="false" ht="15" hidden="false" customHeight="true" outlineLevel="0" collapsed="false">
      <c r="A349" s="31" t="str">
        <f aca="false">IF($E349="","",COUNTA($E$5:$E349))</f>
        <v/>
      </c>
      <c r="B349" s="32"/>
      <c r="C349" s="32"/>
      <c r="D349" s="32"/>
      <c r="E349" s="32"/>
      <c r="F349" s="33"/>
      <c r="G349" s="32"/>
      <c r="H349" s="34"/>
      <c r="I349" s="35"/>
      <c r="J349" s="36" t="str">
        <f aca="false">IF(OR($H349="",$I349=""),"",$H349+MATCH($I349,Listas!$F$5:$F$11,0)-1)</f>
        <v/>
      </c>
      <c r="K349" s="37"/>
      <c r="L349" s="33"/>
      <c r="M349" s="37"/>
      <c r="N349" s="32"/>
      <c r="O349" s="32"/>
      <c r="P349" s="38" t="str">
        <f aca="true">IF($E349="","",IF($L349="Cancelada","Cancelada",IF(OR($K349&lt;&gt;"",$L349="Concluída"),IF(OR($J349="",$K349="",$K349&lt;=$J349),"Concluída","Concluída com atraso"),IF($J349="","Na carteira",IF($J349&lt;TODAY(),"VENCIDA",IF($L349="Em execução","Em execução",IF($J349=TODAY(),"Hoje","Programada")))))))</f>
        <v/>
      </c>
      <c r="Q349" s="31" t="str">
        <f aca="false">IF($E349="","",IF(ISNUMBER(SEARCH("(externo)",$G349)),"Terceirizada","Interna"))</f>
        <v/>
      </c>
      <c r="R349" s="36" t="str">
        <f aca="false">IF($J349="","",IF($M349="",$J349,$M349))</f>
        <v/>
      </c>
      <c r="S349" s="31" t="str">
        <f aca="false">IF($E349="","",IF(OR($K349="",$J349=""),0,IF($K349&lt;=$J349,1,0)))</f>
        <v/>
      </c>
      <c r="T349" s="31" t="str">
        <f aca="false">IF($E349="","",IF(OR($K349="",$R349=""),0,IF($K349&lt;=$R349,1,0)))</f>
        <v/>
      </c>
      <c r="U349" s="38" t="str">
        <f aca="false">IF(OR($K349="",$J349=""),"",MAX(0,$K349-$J349))</f>
        <v/>
      </c>
      <c r="V349" s="31" t="str">
        <f aca="false">IF($E349="","",IF(AND($M349&lt;&gt;"",$J349&lt;&gt;"",$M349&lt;&gt;$J349),1,0))</f>
        <v/>
      </c>
      <c r="W349" s="39" t="str">
        <f aca="false">IF($E349="","",IF($L349="Cancelada",0,IF(OR($K349&lt;&gt;"",$L349="Concluída"),1,0)))</f>
        <v/>
      </c>
    </row>
    <row r="350" customFormat="false" ht="15" hidden="false" customHeight="true" outlineLevel="0" collapsed="false">
      <c r="A350" s="31" t="str">
        <f aca="false">IF($E350="","",COUNTA($E$5:$E350))</f>
        <v/>
      </c>
      <c r="B350" s="32"/>
      <c r="C350" s="32"/>
      <c r="D350" s="32"/>
      <c r="E350" s="32"/>
      <c r="F350" s="33"/>
      <c r="G350" s="32"/>
      <c r="H350" s="34"/>
      <c r="I350" s="35"/>
      <c r="J350" s="36" t="str">
        <f aca="false">IF(OR($H350="",$I350=""),"",$H350+MATCH($I350,Listas!$F$5:$F$11,0)-1)</f>
        <v/>
      </c>
      <c r="K350" s="37"/>
      <c r="L350" s="33"/>
      <c r="M350" s="37"/>
      <c r="N350" s="32"/>
      <c r="O350" s="32"/>
      <c r="P350" s="38" t="str">
        <f aca="true">IF($E350="","",IF($L350="Cancelada","Cancelada",IF(OR($K350&lt;&gt;"",$L350="Concluída"),IF(OR($J350="",$K350="",$K350&lt;=$J350),"Concluída","Concluída com atraso"),IF($J350="","Na carteira",IF($J350&lt;TODAY(),"VENCIDA",IF($L350="Em execução","Em execução",IF($J350=TODAY(),"Hoje","Programada")))))))</f>
        <v/>
      </c>
      <c r="Q350" s="31" t="str">
        <f aca="false">IF($E350="","",IF(ISNUMBER(SEARCH("(externo)",$G350)),"Terceirizada","Interna"))</f>
        <v/>
      </c>
      <c r="R350" s="36" t="str">
        <f aca="false">IF($J350="","",IF($M350="",$J350,$M350))</f>
        <v/>
      </c>
      <c r="S350" s="31" t="str">
        <f aca="false">IF($E350="","",IF(OR($K350="",$J350=""),0,IF($K350&lt;=$J350,1,0)))</f>
        <v/>
      </c>
      <c r="T350" s="31" t="str">
        <f aca="false">IF($E350="","",IF(OR($K350="",$R350=""),0,IF($K350&lt;=$R350,1,0)))</f>
        <v/>
      </c>
      <c r="U350" s="38" t="str">
        <f aca="false">IF(OR($K350="",$J350=""),"",MAX(0,$K350-$J350))</f>
        <v/>
      </c>
      <c r="V350" s="31" t="str">
        <f aca="false">IF($E350="","",IF(AND($M350&lt;&gt;"",$J350&lt;&gt;"",$M350&lt;&gt;$J350),1,0))</f>
        <v/>
      </c>
      <c r="W350" s="39" t="str">
        <f aca="false">IF($E350="","",IF($L350="Cancelada",0,IF(OR($K350&lt;&gt;"",$L350="Concluída"),1,0)))</f>
        <v/>
      </c>
    </row>
    <row r="351" customFormat="false" ht="15" hidden="false" customHeight="true" outlineLevel="0" collapsed="false">
      <c r="A351" s="31" t="str">
        <f aca="false">IF($E351="","",COUNTA($E$5:$E351))</f>
        <v/>
      </c>
      <c r="B351" s="32"/>
      <c r="C351" s="32"/>
      <c r="D351" s="32"/>
      <c r="E351" s="32"/>
      <c r="F351" s="33"/>
      <c r="G351" s="32"/>
      <c r="H351" s="34"/>
      <c r="I351" s="35"/>
      <c r="J351" s="36" t="str">
        <f aca="false">IF(OR($H351="",$I351=""),"",$H351+MATCH($I351,Listas!$F$5:$F$11,0)-1)</f>
        <v/>
      </c>
      <c r="K351" s="37"/>
      <c r="L351" s="33"/>
      <c r="M351" s="37"/>
      <c r="N351" s="32"/>
      <c r="O351" s="32"/>
      <c r="P351" s="38" t="str">
        <f aca="true">IF($E351="","",IF($L351="Cancelada","Cancelada",IF(OR($K351&lt;&gt;"",$L351="Concluída"),IF(OR($J351="",$K351="",$K351&lt;=$J351),"Concluída","Concluída com atraso"),IF($J351="","Na carteira",IF($J351&lt;TODAY(),"VENCIDA",IF($L351="Em execução","Em execução",IF($J351=TODAY(),"Hoje","Programada")))))))</f>
        <v/>
      </c>
      <c r="Q351" s="31" t="str">
        <f aca="false">IF($E351="","",IF(ISNUMBER(SEARCH("(externo)",$G351)),"Terceirizada","Interna"))</f>
        <v/>
      </c>
      <c r="R351" s="36" t="str">
        <f aca="false">IF($J351="","",IF($M351="",$J351,$M351))</f>
        <v/>
      </c>
      <c r="S351" s="31" t="str">
        <f aca="false">IF($E351="","",IF(OR($K351="",$J351=""),0,IF($K351&lt;=$J351,1,0)))</f>
        <v/>
      </c>
      <c r="T351" s="31" t="str">
        <f aca="false">IF($E351="","",IF(OR($K351="",$R351=""),0,IF($K351&lt;=$R351,1,0)))</f>
        <v/>
      </c>
      <c r="U351" s="38" t="str">
        <f aca="false">IF(OR($K351="",$J351=""),"",MAX(0,$K351-$J351))</f>
        <v/>
      </c>
      <c r="V351" s="31" t="str">
        <f aca="false">IF($E351="","",IF(AND($M351&lt;&gt;"",$J351&lt;&gt;"",$M351&lt;&gt;$J351),1,0))</f>
        <v/>
      </c>
      <c r="W351" s="39" t="str">
        <f aca="false">IF($E351="","",IF($L351="Cancelada",0,IF(OR($K351&lt;&gt;"",$L351="Concluída"),1,0)))</f>
        <v/>
      </c>
    </row>
    <row r="352" customFormat="false" ht="15" hidden="false" customHeight="true" outlineLevel="0" collapsed="false">
      <c r="A352" s="31" t="str">
        <f aca="false">IF($E352="","",COUNTA($E$5:$E352))</f>
        <v/>
      </c>
      <c r="B352" s="32"/>
      <c r="C352" s="32"/>
      <c r="D352" s="32"/>
      <c r="E352" s="32"/>
      <c r="F352" s="33"/>
      <c r="G352" s="32"/>
      <c r="H352" s="34"/>
      <c r="I352" s="35"/>
      <c r="J352" s="36" t="str">
        <f aca="false">IF(OR($H352="",$I352=""),"",$H352+MATCH($I352,Listas!$F$5:$F$11,0)-1)</f>
        <v/>
      </c>
      <c r="K352" s="37"/>
      <c r="L352" s="33"/>
      <c r="M352" s="37"/>
      <c r="N352" s="32"/>
      <c r="O352" s="32"/>
      <c r="P352" s="38" t="str">
        <f aca="true">IF($E352="","",IF($L352="Cancelada","Cancelada",IF(OR($K352&lt;&gt;"",$L352="Concluída"),IF(OR($J352="",$K352="",$K352&lt;=$J352),"Concluída","Concluída com atraso"),IF($J352="","Na carteira",IF($J352&lt;TODAY(),"VENCIDA",IF($L352="Em execução","Em execução",IF($J352=TODAY(),"Hoje","Programada")))))))</f>
        <v/>
      </c>
      <c r="Q352" s="31" t="str">
        <f aca="false">IF($E352="","",IF(ISNUMBER(SEARCH("(externo)",$G352)),"Terceirizada","Interna"))</f>
        <v/>
      </c>
      <c r="R352" s="36" t="str">
        <f aca="false">IF($J352="","",IF($M352="",$J352,$M352))</f>
        <v/>
      </c>
      <c r="S352" s="31" t="str">
        <f aca="false">IF($E352="","",IF(OR($K352="",$J352=""),0,IF($K352&lt;=$J352,1,0)))</f>
        <v/>
      </c>
      <c r="T352" s="31" t="str">
        <f aca="false">IF($E352="","",IF(OR($K352="",$R352=""),0,IF($K352&lt;=$R352,1,0)))</f>
        <v/>
      </c>
      <c r="U352" s="38" t="str">
        <f aca="false">IF(OR($K352="",$J352=""),"",MAX(0,$K352-$J352))</f>
        <v/>
      </c>
      <c r="V352" s="31" t="str">
        <f aca="false">IF($E352="","",IF(AND($M352&lt;&gt;"",$J352&lt;&gt;"",$M352&lt;&gt;$J352),1,0))</f>
        <v/>
      </c>
      <c r="W352" s="39" t="str">
        <f aca="false">IF($E352="","",IF($L352="Cancelada",0,IF(OR($K352&lt;&gt;"",$L352="Concluída"),1,0)))</f>
        <v/>
      </c>
    </row>
    <row r="353" customFormat="false" ht="15" hidden="false" customHeight="true" outlineLevel="0" collapsed="false">
      <c r="A353" s="31" t="str">
        <f aca="false">IF($E353="","",COUNTA($E$5:$E353))</f>
        <v/>
      </c>
      <c r="B353" s="32"/>
      <c r="C353" s="32"/>
      <c r="D353" s="32"/>
      <c r="E353" s="32"/>
      <c r="F353" s="33"/>
      <c r="G353" s="32"/>
      <c r="H353" s="34"/>
      <c r="I353" s="35"/>
      <c r="J353" s="36" t="str">
        <f aca="false">IF(OR($H353="",$I353=""),"",$H353+MATCH($I353,Listas!$F$5:$F$11,0)-1)</f>
        <v/>
      </c>
      <c r="K353" s="37"/>
      <c r="L353" s="33"/>
      <c r="M353" s="37"/>
      <c r="N353" s="32"/>
      <c r="O353" s="32"/>
      <c r="P353" s="38" t="str">
        <f aca="true">IF($E353="","",IF($L353="Cancelada","Cancelada",IF(OR($K353&lt;&gt;"",$L353="Concluída"),IF(OR($J353="",$K353="",$K353&lt;=$J353),"Concluída","Concluída com atraso"),IF($J353="","Na carteira",IF($J353&lt;TODAY(),"VENCIDA",IF($L353="Em execução","Em execução",IF($J353=TODAY(),"Hoje","Programada")))))))</f>
        <v/>
      </c>
      <c r="Q353" s="31" t="str">
        <f aca="false">IF($E353="","",IF(ISNUMBER(SEARCH("(externo)",$G353)),"Terceirizada","Interna"))</f>
        <v/>
      </c>
      <c r="R353" s="36" t="str">
        <f aca="false">IF($J353="","",IF($M353="",$J353,$M353))</f>
        <v/>
      </c>
      <c r="S353" s="31" t="str">
        <f aca="false">IF($E353="","",IF(OR($K353="",$J353=""),0,IF($K353&lt;=$J353,1,0)))</f>
        <v/>
      </c>
      <c r="T353" s="31" t="str">
        <f aca="false">IF($E353="","",IF(OR($K353="",$R353=""),0,IF($K353&lt;=$R353,1,0)))</f>
        <v/>
      </c>
      <c r="U353" s="38" t="str">
        <f aca="false">IF(OR($K353="",$J353=""),"",MAX(0,$K353-$J353))</f>
        <v/>
      </c>
      <c r="V353" s="31" t="str">
        <f aca="false">IF($E353="","",IF(AND($M353&lt;&gt;"",$J353&lt;&gt;"",$M353&lt;&gt;$J353),1,0))</f>
        <v/>
      </c>
      <c r="W353" s="39" t="str">
        <f aca="false">IF($E353="","",IF($L353="Cancelada",0,IF(OR($K353&lt;&gt;"",$L353="Concluída"),1,0)))</f>
        <v/>
      </c>
    </row>
    <row r="354" customFormat="false" ht="15" hidden="false" customHeight="true" outlineLevel="0" collapsed="false">
      <c r="A354" s="31" t="str">
        <f aca="false">IF($E354="","",COUNTA($E$5:$E354))</f>
        <v/>
      </c>
      <c r="B354" s="32"/>
      <c r="C354" s="32"/>
      <c r="D354" s="32"/>
      <c r="E354" s="32"/>
      <c r="F354" s="33"/>
      <c r="G354" s="32"/>
      <c r="H354" s="34"/>
      <c r="I354" s="35"/>
      <c r="J354" s="36" t="str">
        <f aca="false">IF(OR($H354="",$I354=""),"",$H354+MATCH($I354,Listas!$F$5:$F$11,0)-1)</f>
        <v/>
      </c>
      <c r="K354" s="37"/>
      <c r="L354" s="33"/>
      <c r="M354" s="37"/>
      <c r="N354" s="32"/>
      <c r="O354" s="32"/>
      <c r="P354" s="38" t="str">
        <f aca="true">IF($E354="","",IF($L354="Cancelada","Cancelada",IF(OR($K354&lt;&gt;"",$L354="Concluída"),IF(OR($J354="",$K354="",$K354&lt;=$J354),"Concluída","Concluída com atraso"),IF($J354="","Na carteira",IF($J354&lt;TODAY(),"VENCIDA",IF($L354="Em execução","Em execução",IF($J354=TODAY(),"Hoje","Programada")))))))</f>
        <v/>
      </c>
      <c r="Q354" s="31" t="str">
        <f aca="false">IF($E354="","",IF(ISNUMBER(SEARCH("(externo)",$G354)),"Terceirizada","Interna"))</f>
        <v/>
      </c>
      <c r="R354" s="36" t="str">
        <f aca="false">IF($J354="","",IF($M354="",$J354,$M354))</f>
        <v/>
      </c>
      <c r="S354" s="31" t="str">
        <f aca="false">IF($E354="","",IF(OR($K354="",$J354=""),0,IF($K354&lt;=$J354,1,0)))</f>
        <v/>
      </c>
      <c r="T354" s="31" t="str">
        <f aca="false">IF($E354="","",IF(OR($K354="",$R354=""),0,IF($K354&lt;=$R354,1,0)))</f>
        <v/>
      </c>
      <c r="U354" s="38" t="str">
        <f aca="false">IF(OR($K354="",$J354=""),"",MAX(0,$K354-$J354))</f>
        <v/>
      </c>
      <c r="V354" s="31" t="str">
        <f aca="false">IF($E354="","",IF(AND($M354&lt;&gt;"",$J354&lt;&gt;"",$M354&lt;&gt;$J354),1,0))</f>
        <v/>
      </c>
      <c r="W354" s="39" t="str">
        <f aca="false">IF($E354="","",IF($L354="Cancelada",0,IF(OR($K354&lt;&gt;"",$L354="Concluída"),1,0)))</f>
        <v/>
      </c>
    </row>
    <row r="355" customFormat="false" ht="15" hidden="false" customHeight="true" outlineLevel="0" collapsed="false">
      <c r="A355" s="31" t="str">
        <f aca="false">IF($E355="","",COUNTA($E$5:$E355))</f>
        <v/>
      </c>
      <c r="B355" s="32"/>
      <c r="C355" s="32"/>
      <c r="D355" s="32"/>
      <c r="E355" s="32"/>
      <c r="F355" s="33"/>
      <c r="G355" s="32"/>
      <c r="H355" s="34"/>
      <c r="I355" s="35"/>
      <c r="J355" s="36" t="str">
        <f aca="false">IF(OR($H355="",$I355=""),"",$H355+MATCH($I355,Listas!$F$5:$F$11,0)-1)</f>
        <v/>
      </c>
      <c r="K355" s="37"/>
      <c r="L355" s="33"/>
      <c r="M355" s="37"/>
      <c r="N355" s="32"/>
      <c r="O355" s="32"/>
      <c r="P355" s="38" t="str">
        <f aca="true">IF($E355="","",IF($L355="Cancelada","Cancelada",IF(OR($K355&lt;&gt;"",$L355="Concluída"),IF(OR($J355="",$K355="",$K355&lt;=$J355),"Concluída","Concluída com atraso"),IF($J355="","Na carteira",IF($J355&lt;TODAY(),"VENCIDA",IF($L355="Em execução","Em execução",IF($J355=TODAY(),"Hoje","Programada")))))))</f>
        <v/>
      </c>
      <c r="Q355" s="31" t="str">
        <f aca="false">IF($E355="","",IF(ISNUMBER(SEARCH("(externo)",$G355)),"Terceirizada","Interna"))</f>
        <v/>
      </c>
      <c r="R355" s="36" t="str">
        <f aca="false">IF($J355="","",IF($M355="",$J355,$M355))</f>
        <v/>
      </c>
      <c r="S355" s="31" t="str">
        <f aca="false">IF($E355="","",IF(OR($K355="",$J355=""),0,IF($K355&lt;=$J355,1,0)))</f>
        <v/>
      </c>
      <c r="T355" s="31" t="str">
        <f aca="false">IF($E355="","",IF(OR($K355="",$R355=""),0,IF($K355&lt;=$R355,1,0)))</f>
        <v/>
      </c>
      <c r="U355" s="38" t="str">
        <f aca="false">IF(OR($K355="",$J355=""),"",MAX(0,$K355-$J355))</f>
        <v/>
      </c>
      <c r="V355" s="31" t="str">
        <f aca="false">IF($E355="","",IF(AND($M355&lt;&gt;"",$J355&lt;&gt;"",$M355&lt;&gt;$J355),1,0))</f>
        <v/>
      </c>
      <c r="W355" s="39" t="str">
        <f aca="false">IF($E355="","",IF($L355="Cancelada",0,IF(OR($K355&lt;&gt;"",$L355="Concluída"),1,0)))</f>
        <v/>
      </c>
    </row>
    <row r="356" customFormat="false" ht="15" hidden="false" customHeight="true" outlineLevel="0" collapsed="false">
      <c r="A356" s="31" t="str">
        <f aca="false">IF($E356="","",COUNTA($E$5:$E356))</f>
        <v/>
      </c>
      <c r="B356" s="32"/>
      <c r="C356" s="32"/>
      <c r="D356" s="32"/>
      <c r="E356" s="32"/>
      <c r="F356" s="33"/>
      <c r="G356" s="32"/>
      <c r="H356" s="34"/>
      <c r="I356" s="35"/>
      <c r="J356" s="36" t="str">
        <f aca="false">IF(OR($H356="",$I356=""),"",$H356+MATCH($I356,Listas!$F$5:$F$11,0)-1)</f>
        <v/>
      </c>
      <c r="K356" s="37"/>
      <c r="L356" s="33"/>
      <c r="M356" s="37"/>
      <c r="N356" s="32"/>
      <c r="O356" s="32"/>
      <c r="P356" s="38" t="str">
        <f aca="true">IF($E356="","",IF($L356="Cancelada","Cancelada",IF(OR($K356&lt;&gt;"",$L356="Concluída"),IF(OR($J356="",$K356="",$K356&lt;=$J356),"Concluída","Concluída com atraso"),IF($J356="","Na carteira",IF($J356&lt;TODAY(),"VENCIDA",IF($L356="Em execução","Em execução",IF($J356=TODAY(),"Hoje","Programada")))))))</f>
        <v/>
      </c>
      <c r="Q356" s="31" t="str">
        <f aca="false">IF($E356="","",IF(ISNUMBER(SEARCH("(externo)",$G356)),"Terceirizada","Interna"))</f>
        <v/>
      </c>
      <c r="R356" s="36" t="str">
        <f aca="false">IF($J356="","",IF($M356="",$J356,$M356))</f>
        <v/>
      </c>
      <c r="S356" s="31" t="str">
        <f aca="false">IF($E356="","",IF(OR($K356="",$J356=""),0,IF($K356&lt;=$J356,1,0)))</f>
        <v/>
      </c>
      <c r="T356" s="31" t="str">
        <f aca="false">IF($E356="","",IF(OR($K356="",$R356=""),0,IF($K356&lt;=$R356,1,0)))</f>
        <v/>
      </c>
      <c r="U356" s="38" t="str">
        <f aca="false">IF(OR($K356="",$J356=""),"",MAX(0,$K356-$J356))</f>
        <v/>
      </c>
      <c r="V356" s="31" t="str">
        <f aca="false">IF($E356="","",IF(AND($M356&lt;&gt;"",$J356&lt;&gt;"",$M356&lt;&gt;$J356),1,0))</f>
        <v/>
      </c>
      <c r="W356" s="39" t="str">
        <f aca="false">IF($E356="","",IF($L356="Cancelada",0,IF(OR($K356&lt;&gt;"",$L356="Concluída"),1,0)))</f>
        <v/>
      </c>
    </row>
    <row r="357" customFormat="false" ht="15" hidden="false" customHeight="true" outlineLevel="0" collapsed="false">
      <c r="A357" s="31" t="str">
        <f aca="false">IF($E357="","",COUNTA($E$5:$E357))</f>
        <v/>
      </c>
      <c r="B357" s="32"/>
      <c r="C357" s="32"/>
      <c r="D357" s="32"/>
      <c r="E357" s="32"/>
      <c r="F357" s="33"/>
      <c r="G357" s="32"/>
      <c r="H357" s="34"/>
      <c r="I357" s="35"/>
      <c r="J357" s="36" t="str">
        <f aca="false">IF(OR($H357="",$I357=""),"",$H357+MATCH($I357,Listas!$F$5:$F$11,0)-1)</f>
        <v/>
      </c>
      <c r="K357" s="37"/>
      <c r="L357" s="33"/>
      <c r="M357" s="37"/>
      <c r="N357" s="32"/>
      <c r="O357" s="32"/>
      <c r="P357" s="38" t="str">
        <f aca="true">IF($E357="","",IF($L357="Cancelada","Cancelada",IF(OR($K357&lt;&gt;"",$L357="Concluída"),IF(OR($J357="",$K357="",$K357&lt;=$J357),"Concluída","Concluída com atraso"),IF($J357="","Na carteira",IF($J357&lt;TODAY(),"VENCIDA",IF($L357="Em execução","Em execução",IF($J357=TODAY(),"Hoje","Programada")))))))</f>
        <v/>
      </c>
      <c r="Q357" s="31" t="str">
        <f aca="false">IF($E357="","",IF(ISNUMBER(SEARCH("(externo)",$G357)),"Terceirizada","Interna"))</f>
        <v/>
      </c>
      <c r="R357" s="36" t="str">
        <f aca="false">IF($J357="","",IF($M357="",$J357,$M357))</f>
        <v/>
      </c>
      <c r="S357" s="31" t="str">
        <f aca="false">IF($E357="","",IF(OR($K357="",$J357=""),0,IF($K357&lt;=$J357,1,0)))</f>
        <v/>
      </c>
      <c r="T357" s="31" t="str">
        <f aca="false">IF($E357="","",IF(OR($K357="",$R357=""),0,IF($K357&lt;=$R357,1,0)))</f>
        <v/>
      </c>
      <c r="U357" s="38" t="str">
        <f aca="false">IF(OR($K357="",$J357=""),"",MAX(0,$K357-$J357))</f>
        <v/>
      </c>
      <c r="V357" s="31" t="str">
        <f aca="false">IF($E357="","",IF(AND($M357&lt;&gt;"",$J357&lt;&gt;"",$M357&lt;&gt;$J357),1,0))</f>
        <v/>
      </c>
      <c r="W357" s="39" t="str">
        <f aca="false">IF($E357="","",IF($L357="Cancelada",0,IF(OR($K357&lt;&gt;"",$L357="Concluída"),1,0)))</f>
        <v/>
      </c>
    </row>
    <row r="358" customFormat="false" ht="15" hidden="false" customHeight="true" outlineLevel="0" collapsed="false">
      <c r="A358" s="31" t="str">
        <f aca="false">IF($E358="","",COUNTA($E$5:$E358))</f>
        <v/>
      </c>
      <c r="B358" s="32"/>
      <c r="C358" s="32"/>
      <c r="D358" s="32"/>
      <c r="E358" s="32"/>
      <c r="F358" s="33"/>
      <c r="G358" s="32"/>
      <c r="H358" s="34"/>
      <c r="I358" s="35"/>
      <c r="J358" s="36" t="str">
        <f aca="false">IF(OR($H358="",$I358=""),"",$H358+MATCH($I358,Listas!$F$5:$F$11,0)-1)</f>
        <v/>
      </c>
      <c r="K358" s="37"/>
      <c r="L358" s="33"/>
      <c r="M358" s="37"/>
      <c r="N358" s="32"/>
      <c r="O358" s="32"/>
      <c r="P358" s="38" t="str">
        <f aca="true">IF($E358="","",IF($L358="Cancelada","Cancelada",IF(OR($K358&lt;&gt;"",$L358="Concluída"),IF(OR($J358="",$K358="",$K358&lt;=$J358),"Concluída","Concluída com atraso"),IF($J358="","Na carteira",IF($J358&lt;TODAY(),"VENCIDA",IF($L358="Em execução","Em execução",IF($J358=TODAY(),"Hoje","Programada")))))))</f>
        <v/>
      </c>
      <c r="Q358" s="31" t="str">
        <f aca="false">IF($E358="","",IF(ISNUMBER(SEARCH("(externo)",$G358)),"Terceirizada","Interna"))</f>
        <v/>
      </c>
      <c r="R358" s="36" t="str">
        <f aca="false">IF($J358="","",IF($M358="",$J358,$M358))</f>
        <v/>
      </c>
      <c r="S358" s="31" t="str">
        <f aca="false">IF($E358="","",IF(OR($K358="",$J358=""),0,IF($K358&lt;=$J358,1,0)))</f>
        <v/>
      </c>
      <c r="T358" s="31" t="str">
        <f aca="false">IF($E358="","",IF(OR($K358="",$R358=""),0,IF($K358&lt;=$R358,1,0)))</f>
        <v/>
      </c>
      <c r="U358" s="38" t="str">
        <f aca="false">IF(OR($K358="",$J358=""),"",MAX(0,$K358-$J358))</f>
        <v/>
      </c>
      <c r="V358" s="31" t="str">
        <f aca="false">IF($E358="","",IF(AND($M358&lt;&gt;"",$J358&lt;&gt;"",$M358&lt;&gt;$J358),1,0))</f>
        <v/>
      </c>
      <c r="W358" s="39" t="str">
        <f aca="false">IF($E358="","",IF($L358="Cancelada",0,IF(OR($K358&lt;&gt;"",$L358="Concluída"),1,0)))</f>
        <v/>
      </c>
    </row>
    <row r="359" customFormat="false" ht="15" hidden="false" customHeight="true" outlineLevel="0" collapsed="false">
      <c r="A359" s="31" t="str">
        <f aca="false">IF($E359="","",COUNTA($E$5:$E359))</f>
        <v/>
      </c>
      <c r="B359" s="32"/>
      <c r="C359" s="32"/>
      <c r="D359" s="32"/>
      <c r="E359" s="32"/>
      <c r="F359" s="33"/>
      <c r="G359" s="32"/>
      <c r="H359" s="34"/>
      <c r="I359" s="35"/>
      <c r="J359" s="36" t="str">
        <f aca="false">IF(OR($H359="",$I359=""),"",$H359+MATCH($I359,Listas!$F$5:$F$11,0)-1)</f>
        <v/>
      </c>
      <c r="K359" s="37"/>
      <c r="L359" s="33"/>
      <c r="M359" s="37"/>
      <c r="N359" s="32"/>
      <c r="O359" s="32"/>
      <c r="P359" s="38" t="str">
        <f aca="true">IF($E359="","",IF($L359="Cancelada","Cancelada",IF(OR($K359&lt;&gt;"",$L359="Concluída"),IF(OR($J359="",$K359="",$K359&lt;=$J359),"Concluída","Concluída com atraso"),IF($J359="","Na carteira",IF($J359&lt;TODAY(),"VENCIDA",IF($L359="Em execução","Em execução",IF($J359=TODAY(),"Hoje","Programada")))))))</f>
        <v/>
      </c>
      <c r="Q359" s="31" t="str">
        <f aca="false">IF($E359="","",IF(ISNUMBER(SEARCH("(externo)",$G359)),"Terceirizada","Interna"))</f>
        <v/>
      </c>
      <c r="R359" s="36" t="str">
        <f aca="false">IF($J359="","",IF($M359="",$J359,$M359))</f>
        <v/>
      </c>
      <c r="S359" s="31" t="str">
        <f aca="false">IF($E359="","",IF(OR($K359="",$J359=""),0,IF($K359&lt;=$J359,1,0)))</f>
        <v/>
      </c>
      <c r="T359" s="31" t="str">
        <f aca="false">IF($E359="","",IF(OR($K359="",$R359=""),0,IF($K359&lt;=$R359,1,0)))</f>
        <v/>
      </c>
      <c r="U359" s="38" t="str">
        <f aca="false">IF(OR($K359="",$J359=""),"",MAX(0,$K359-$J359))</f>
        <v/>
      </c>
      <c r="V359" s="31" t="str">
        <f aca="false">IF($E359="","",IF(AND($M359&lt;&gt;"",$J359&lt;&gt;"",$M359&lt;&gt;$J359),1,0))</f>
        <v/>
      </c>
      <c r="W359" s="39" t="str">
        <f aca="false">IF($E359="","",IF($L359="Cancelada",0,IF(OR($K359&lt;&gt;"",$L359="Concluída"),1,0)))</f>
        <v/>
      </c>
    </row>
    <row r="360" customFormat="false" ht="15" hidden="false" customHeight="true" outlineLevel="0" collapsed="false">
      <c r="A360" s="31" t="str">
        <f aca="false">IF($E360="","",COUNTA($E$5:$E360))</f>
        <v/>
      </c>
      <c r="B360" s="32"/>
      <c r="C360" s="32"/>
      <c r="D360" s="32"/>
      <c r="E360" s="32"/>
      <c r="F360" s="33"/>
      <c r="G360" s="32"/>
      <c r="H360" s="34"/>
      <c r="I360" s="35"/>
      <c r="J360" s="36" t="str">
        <f aca="false">IF(OR($H360="",$I360=""),"",$H360+MATCH($I360,Listas!$F$5:$F$11,0)-1)</f>
        <v/>
      </c>
      <c r="K360" s="37"/>
      <c r="L360" s="33"/>
      <c r="M360" s="37"/>
      <c r="N360" s="32"/>
      <c r="O360" s="32"/>
      <c r="P360" s="38" t="str">
        <f aca="true">IF($E360="","",IF($L360="Cancelada","Cancelada",IF(OR($K360&lt;&gt;"",$L360="Concluída"),IF(OR($J360="",$K360="",$K360&lt;=$J360),"Concluída","Concluída com atraso"),IF($J360="","Na carteira",IF($J360&lt;TODAY(),"VENCIDA",IF($L360="Em execução","Em execução",IF($J360=TODAY(),"Hoje","Programada")))))))</f>
        <v/>
      </c>
      <c r="Q360" s="31" t="str">
        <f aca="false">IF($E360="","",IF(ISNUMBER(SEARCH("(externo)",$G360)),"Terceirizada","Interna"))</f>
        <v/>
      </c>
      <c r="R360" s="36" t="str">
        <f aca="false">IF($J360="","",IF($M360="",$J360,$M360))</f>
        <v/>
      </c>
      <c r="S360" s="31" t="str">
        <f aca="false">IF($E360="","",IF(OR($K360="",$J360=""),0,IF($K360&lt;=$J360,1,0)))</f>
        <v/>
      </c>
      <c r="T360" s="31" t="str">
        <f aca="false">IF($E360="","",IF(OR($K360="",$R360=""),0,IF($K360&lt;=$R360,1,0)))</f>
        <v/>
      </c>
      <c r="U360" s="38" t="str">
        <f aca="false">IF(OR($K360="",$J360=""),"",MAX(0,$K360-$J360))</f>
        <v/>
      </c>
      <c r="V360" s="31" t="str">
        <f aca="false">IF($E360="","",IF(AND($M360&lt;&gt;"",$J360&lt;&gt;"",$M360&lt;&gt;$J360),1,0))</f>
        <v/>
      </c>
      <c r="W360" s="39" t="str">
        <f aca="false">IF($E360="","",IF($L360="Cancelada",0,IF(OR($K360&lt;&gt;"",$L360="Concluída"),1,0)))</f>
        <v/>
      </c>
    </row>
    <row r="361" customFormat="false" ht="15" hidden="false" customHeight="true" outlineLevel="0" collapsed="false">
      <c r="A361" s="31" t="str">
        <f aca="false">IF($E361="","",COUNTA($E$5:$E361))</f>
        <v/>
      </c>
      <c r="B361" s="32"/>
      <c r="C361" s="32"/>
      <c r="D361" s="32"/>
      <c r="E361" s="32"/>
      <c r="F361" s="33"/>
      <c r="G361" s="32"/>
      <c r="H361" s="34"/>
      <c r="I361" s="35"/>
      <c r="J361" s="36" t="str">
        <f aca="false">IF(OR($H361="",$I361=""),"",$H361+MATCH($I361,Listas!$F$5:$F$11,0)-1)</f>
        <v/>
      </c>
      <c r="K361" s="37"/>
      <c r="L361" s="33"/>
      <c r="M361" s="37"/>
      <c r="N361" s="32"/>
      <c r="O361" s="32"/>
      <c r="P361" s="38" t="str">
        <f aca="true">IF($E361="","",IF($L361="Cancelada","Cancelada",IF(OR($K361&lt;&gt;"",$L361="Concluída"),IF(OR($J361="",$K361="",$K361&lt;=$J361),"Concluída","Concluída com atraso"),IF($J361="","Na carteira",IF($J361&lt;TODAY(),"VENCIDA",IF($L361="Em execução","Em execução",IF($J361=TODAY(),"Hoje","Programada")))))))</f>
        <v/>
      </c>
      <c r="Q361" s="31" t="str">
        <f aca="false">IF($E361="","",IF(ISNUMBER(SEARCH("(externo)",$G361)),"Terceirizada","Interna"))</f>
        <v/>
      </c>
      <c r="R361" s="36" t="str">
        <f aca="false">IF($J361="","",IF($M361="",$J361,$M361))</f>
        <v/>
      </c>
      <c r="S361" s="31" t="str">
        <f aca="false">IF($E361="","",IF(OR($K361="",$J361=""),0,IF($K361&lt;=$J361,1,0)))</f>
        <v/>
      </c>
      <c r="T361" s="31" t="str">
        <f aca="false">IF($E361="","",IF(OR($K361="",$R361=""),0,IF($K361&lt;=$R361,1,0)))</f>
        <v/>
      </c>
      <c r="U361" s="38" t="str">
        <f aca="false">IF(OR($K361="",$J361=""),"",MAX(0,$K361-$J361))</f>
        <v/>
      </c>
      <c r="V361" s="31" t="str">
        <f aca="false">IF($E361="","",IF(AND($M361&lt;&gt;"",$J361&lt;&gt;"",$M361&lt;&gt;$J361),1,0))</f>
        <v/>
      </c>
      <c r="W361" s="39" t="str">
        <f aca="false">IF($E361="","",IF($L361="Cancelada",0,IF(OR($K361&lt;&gt;"",$L361="Concluída"),1,0)))</f>
        <v/>
      </c>
    </row>
    <row r="362" customFormat="false" ht="15" hidden="false" customHeight="true" outlineLevel="0" collapsed="false">
      <c r="A362" s="31" t="str">
        <f aca="false">IF($E362="","",COUNTA($E$5:$E362))</f>
        <v/>
      </c>
      <c r="B362" s="32"/>
      <c r="C362" s="32"/>
      <c r="D362" s="32"/>
      <c r="E362" s="32"/>
      <c r="F362" s="33"/>
      <c r="G362" s="32"/>
      <c r="H362" s="34"/>
      <c r="I362" s="35"/>
      <c r="J362" s="36" t="str">
        <f aca="false">IF(OR($H362="",$I362=""),"",$H362+MATCH($I362,Listas!$F$5:$F$11,0)-1)</f>
        <v/>
      </c>
      <c r="K362" s="37"/>
      <c r="L362" s="33"/>
      <c r="M362" s="37"/>
      <c r="N362" s="32"/>
      <c r="O362" s="32"/>
      <c r="P362" s="38" t="str">
        <f aca="true">IF($E362="","",IF($L362="Cancelada","Cancelada",IF(OR($K362&lt;&gt;"",$L362="Concluída"),IF(OR($J362="",$K362="",$K362&lt;=$J362),"Concluída","Concluída com atraso"),IF($J362="","Na carteira",IF($J362&lt;TODAY(),"VENCIDA",IF($L362="Em execução","Em execução",IF($J362=TODAY(),"Hoje","Programada")))))))</f>
        <v/>
      </c>
      <c r="Q362" s="31" t="str">
        <f aca="false">IF($E362="","",IF(ISNUMBER(SEARCH("(externo)",$G362)),"Terceirizada","Interna"))</f>
        <v/>
      </c>
      <c r="R362" s="36" t="str">
        <f aca="false">IF($J362="","",IF($M362="",$J362,$M362))</f>
        <v/>
      </c>
      <c r="S362" s="31" t="str">
        <f aca="false">IF($E362="","",IF(OR($K362="",$J362=""),0,IF($K362&lt;=$J362,1,0)))</f>
        <v/>
      </c>
      <c r="T362" s="31" t="str">
        <f aca="false">IF($E362="","",IF(OR($K362="",$R362=""),0,IF($K362&lt;=$R362,1,0)))</f>
        <v/>
      </c>
      <c r="U362" s="38" t="str">
        <f aca="false">IF(OR($K362="",$J362=""),"",MAX(0,$K362-$J362))</f>
        <v/>
      </c>
      <c r="V362" s="31" t="str">
        <f aca="false">IF($E362="","",IF(AND($M362&lt;&gt;"",$J362&lt;&gt;"",$M362&lt;&gt;$J362),1,0))</f>
        <v/>
      </c>
      <c r="W362" s="39" t="str">
        <f aca="false">IF($E362="","",IF($L362="Cancelada",0,IF(OR($K362&lt;&gt;"",$L362="Concluída"),1,0)))</f>
        <v/>
      </c>
    </row>
    <row r="363" customFormat="false" ht="15" hidden="false" customHeight="true" outlineLevel="0" collapsed="false">
      <c r="A363" s="31" t="str">
        <f aca="false">IF($E363="","",COUNTA($E$5:$E363))</f>
        <v/>
      </c>
      <c r="B363" s="32"/>
      <c r="C363" s="32"/>
      <c r="D363" s="32"/>
      <c r="E363" s="32"/>
      <c r="F363" s="33"/>
      <c r="G363" s="32"/>
      <c r="H363" s="34"/>
      <c r="I363" s="35"/>
      <c r="J363" s="36" t="str">
        <f aca="false">IF(OR($H363="",$I363=""),"",$H363+MATCH($I363,Listas!$F$5:$F$11,0)-1)</f>
        <v/>
      </c>
      <c r="K363" s="37"/>
      <c r="L363" s="33"/>
      <c r="M363" s="37"/>
      <c r="N363" s="32"/>
      <c r="O363" s="32"/>
      <c r="P363" s="38" t="str">
        <f aca="true">IF($E363="","",IF($L363="Cancelada","Cancelada",IF(OR($K363&lt;&gt;"",$L363="Concluída"),IF(OR($J363="",$K363="",$K363&lt;=$J363),"Concluída","Concluída com atraso"),IF($J363="","Na carteira",IF($J363&lt;TODAY(),"VENCIDA",IF($L363="Em execução","Em execução",IF($J363=TODAY(),"Hoje","Programada")))))))</f>
        <v/>
      </c>
      <c r="Q363" s="31" t="str">
        <f aca="false">IF($E363="","",IF(ISNUMBER(SEARCH("(externo)",$G363)),"Terceirizada","Interna"))</f>
        <v/>
      </c>
      <c r="R363" s="36" t="str">
        <f aca="false">IF($J363="","",IF($M363="",$J363,$M363))</f>
        <v/>
      </c>
      <c r="S363" s="31" t="str">
        <f aca="false">IF($E363="","",IF(OR($K363="",$J363=""),0,IF($K363&lt;=$J363,1,0)))</f>
        <v/>
      </c>
      <c r="T363" s="31" t="str">
        <f aca="false">IF($E363="","",IF(OR($K363="",$R363=""),0,IF($K363&lt;=$R363,1,0)))</f>
        <v/>
      </c>
      <c r="U363" s="38" t="str">
        <f aca="false">IF(OR($K363="",$J363=""),"",MAX(0,$K363-$J363))</f>
        <v/>
      </c>
      <c r="V363" s="31" t="str">
        <f aca="false">IF($E363="","",IF(AND($M363&lt;&gt;"",$J363&lt;&gt;"",$M363&lt;&gt;$J363),1,0))</f>
        <v/>
      </c>
      <c r="W363" s="39" t="str">
        <f aca="false">IF($E363="","",IF($L363="Cancelada",0,IF(OR($K363&lt;&gt;"",$L363="Concluída"),1,0)))</f>
        <v/>
      </c>
    </row>
    <row r="364" customFormat="false" ht="15" hidden="false" customHeight="true" outlineLevel="0" collapsed="false">
      <c r="A364" s="31" t="str">
        <f aca="false">IF($E364="","",COUNTA($E$5:$E364))</f>
        <v/>
      </c>
      <c r="B364" s="32"/>
      <c r="C364" s="32"/>
      <c r="D364" s="32"/>
      <c r="E364" s="32"/>
      <c r="F364" s="33"/>
      <c r="G364" s="32"/>
      <c r="H364" s="34"/>
      <c r="I364" s="35"/>
      <c r="J364" s="36" t="str">
        <f aca="false">IF(OR($H364="",$I364=""),"",$H364+MATCH($I364,Listas!$F$5:$F$11,0)-1)</f>
        <v/>
      </c>
      <c r="K364" s="37"/>
      <c r="L364" s="33"/>
      <c r="M364" s="37"/>
      <c r="N364" s="32"/>
      <c r="O364" s="32"/>
      <c r="P364" s="38" t="str">
        <f aca="true">IF($E364="","",IF($L364="Cancelada","Cancelada",IF(OR($K364&lt;&gt;"",$L364="Concluída"),IF(OR($J364="",$K364="",$K364&lt;=$J364),"Concluída","Concluída com atraso"),IF($J364="","Na carteira",IF($J364&lt;TODAY(),"VENCIDA",IF($L364="Em execução","Em execução",IF($J364=TODAY(),"Hoje","Programada")))))))</f>
        <v/>
      </c>
      <c r="Q364" s="31" t="str">
        <f aca="false">IF($E364="","",IF(ISNUMBER(SEARCH("(externo)",$G364)),"Terceirizada","Interna"))</f>
        <v/>
      </c>
      <c r="R364" s="36" t="str">
        <f aca="false">IF($J364="","",IF($M364="",$J364,$M364))</f>
        <v/>
      </c>
      <c r="S364" s="31" t="str">
        <f aca="false">IF($E364="","",IF(OR($K364="",$J364=""),0,IF($K364&lt;=$J364,1,0)))</f>
        <v/>
      </c>
      <c r="T364" s="31" t="str">
        <f aca="false">IF($E364="","",IF(OR($K364="",$R364=""),0,IF($K364&lt;=$R364,1,0)))</f>
        <v/>
      </c>
      <c r="U364" s="38" t="str">
        <f aca="false">IF(OR($K364="",$J364=""),"",MAX(0,$K364-$J364))</f>
        <v/>
      </c>
      <c r="V364" s="31" t="str">
        <f aca="false">IF($E364="","",IF(AND($M364&lt;&gt;"",$J364&lt;&gt;"",$M364&lt;&gt;$J364),1,0))</f>
        <v/>
      </c>
      <c r="W364" s="39" t="str">
        <f aca="false">IF($E364="","",IF($L364="Cancelada",0,IF(OR($K364&lt;&gt;"",$L364="Concluída"),1,0)))</f>
        <v/>
      </c>
    </row>
    <row r="365" customFormat="false" ht="15" hidden="false" customHeight="true" outlineLevel="0" collapsed="false">
      <c r="A365" s="31" t="str">
        <f aca="false">IF($E365="","",COUNTA($E$5:$E365))</f>
        <v/>
      </c>
      <c r="B365" s="32"/>
      <c r="C365" s="32"/>
      <c r="D365" s="32"/>
      <c r="E365" s="32"/>
      <c r="F365" s="33"/>
      <c r="G365" s="32"/>
      <c r="H365" s="34"/>
      <c r="I365" s="35"/>
      <c r="J365" s="36" t="str">
        <f aca="false">IF(OR($H365="",$I365=""),"",$H365+MATCH($I365,Listas!$F$5:$F$11,0)-1)</f>
        <v/>
      </c>
      <c r="K365" s="37"/>
      <c r="L365" s="33"/>
      <c r="M365" s="37"/>
      <c r="N365" s="32"/>
      <c r="O365" s="32"/>
      <c r="P365" s="38" t="str">
        <f aca="true">IF($E365="","",IF($L365="Cancelada","Cancelada",IF(OR($K365&lt;&gt;"",$L365="Concluída"),IF(OR($J365="",$K365="",$K365&lt;=$J365),"Concluída","Concluída com atraso"),IF($J365="","Na carteira",IF($J365&lt;TODAY(),"VENCIDA",IF($L365="Em execução","Em execução",IF($J365=TODAY(),"Hoje","Programada")))))))</f>
        <v/>
      </c>
      <c r="Q365" s="31" t="str">
        <f aca="false">IF($E365="","",IF(ISNUMBER(SEARCH("(externo)",$G365)),"Terceirizada","Interna"))</f>
        <v/>
      </c>
      <c r="R365" s="36" t="str">
        <f aca="false">IF($J365="","",IF($M365="",$J365,$M365))</f>
        <v/>
      </c>
      <c r="S365" s="31" t="str">
        <f aca="false">IF($E365="","",IF(OR($K365="",$J365=""),0,IF($K365&lt;=$J365,1,0)))</f>
        <v/>
      </c>
      <c r="T365" s="31" t="str">
        <f aca="false">IF($E365="","",IF(OR($K365="",$R365=""),0,IF($K365&lt;=$R365,1,0)))</f>
        <v/>
      </c>
      <c r="U365" s="38" t="str">
        <f aca="false">IF(OR($K365="",$J365=""),"",MAX(0,$K365-$J365))</f>
        <v/>
      </c>
      <c r="V365" s="31" t="str">
        <f aca="false">IF($E365="","",IF(AND($M365&lt;&gt;"",$J365&lt;&gt;"",$M365&lt;&gt;$J365),1,0))</f>
        <v/>
      </c>
      <c r="W365" s="39" t="str">
        <f aca="false">IF($E365="","",IF($L365="Cancelada",0,IF(OR($K365&lt;&gt;"",$L365="Concluída"),1,0)))</f>
        <v/>
      </c>
    </row>
    <row r="366" customFormat="false" ht="15" hidden="false" customHeight="true" outlineLevel="0" collapsed="false">
      <c r="A366" s="31" t="str">
        <f aca="false">IF($E366="","",COUNTA($E$5:$E366))</f>
        <v/>
      </c>
      <c r="B366" s="32"/>
      <c r="C366" s="32"/>
      <c r="D366" s="32"/>
      <c r="E366" s="32"/>
      <c r="F366" s="33"/>
      <c r="G366" s="32"/>
      <c r="H366" s="34"/>
      <c r="I366" s="35"/>
      <c r="J366" s="36" t="str">
        <f aca="false">IF(OR($H366="",$I366=""),"",$H366+MATCH($I366,Listas!$F$5:$F$11,0)-1)</f>
        <v/>
      </c>
      <c r="K366" s="37"/>
      <c r="L366" s="33"/>
      <c r="M366" s="37"/>
      <c r="N366" s="32"/>
      <c r="O366" s="32"/>
      <c r="P366" s="38" t="str">
        <f aca="true">IF($E366="","",IF($L366="Cancelada","Cancelada",IF(OR($K366&lt;&gt;"",$L366="Concluída"),IF(OR($J366="",$K366="",$K366&lt;=$J366),"Concluída","Concluída com atraso"),IF($J366="","Na carteira",IF($J366&lt;TODAY(),"VENCIDA",IF($L366="Em execução","Em execução",IF($J366=TODAY(),"Hoje","Programada")))))))</f>
        <v/>
      </c>
      <c r="Q366" s="31" t="str">
        <f aca="false">IF($E366="","",IF(ISNUMBER(SEARCH("(externo)",$G366)),"Terceirizada","Interna"))</f>
        <v/>
      </c>
      <c r="R366" s="36" t="str">
        <f aca="false">IF($J366="","",IF($M366="",$J366,$M366))</f>
        <v/>
      </c>
      <c r="S366" s="31" t="str">
        <f aca="false">IF($E366="","",IF(OR($K366="",$J366=""),0,IF($K366&lt;=$J366,1,0)))</f>
        <v/>
      </c>
      <c r="T366" s="31" t="str">
        <f aca="false">IF($E366="","",IF(OR($K366="",$R366=""),0,IF($K366&lt;=$R366,1,0)))</f>
        <v/>
      </c>
      <c r="U366" s="38" t="str">
        <f aca="false">IF(OR($K366="",$J366=""),"",MAX(0,$K366-$J366))</f>
        <v/>
      </c>
      <c r="V366" s="31" t="str">
        <f aca="false">IF($E366="","",IF(AND($M366&lt;&gt;"",$J366&lt;&gt;"",$M366&lt;&gt;$J366),1,0))</f>
        <v/>
      </c>
      <c r="W366" s="39" t="str">
        <f aca="false">IF($E366="","",IF($L366="Cancelada",0,IF(OR($K366&lt;&gt;"",$L366="Concluída"),1,0)))</f>
        <v/>
      </c>
    </row>
    <row r="367" customFormat="false" ht="15" hidden="false" customHeight="true" outlineLevel="0" collapsed="false">
      <c r="A367" s="31" t="str">
        <f aca="false">IF($E367="","",COUNTA($E$5:$E367))</f>
        <v/>
      </c>
      <c r="B367" s="32"/>
      <c r="C367" s="32"/>
      <c r="D367" s="32"/>
      <c r="E367" s="32"/>
      <c r="F367" s="33"/>
      <c r="G367" s="32"/>
      <c r="H367" s="34"/>
      <c r="I367" s="35"/>
      <c r="J367" s="36" t="str">
        <f aca="false">IF(OR($H367="",$I367=""),"",$H367+MATCH($I367,Listas!$F$5:$F$11,0)-1)</f>
        <v/>
      </c>
      <c r="K367" s="37"/>
      <c r="L367" s="33"/>
      <c r="M367" s="37"/>
      <c r="N367" s="32"/>
      <c r="O367" s="32"/>
      <c r="P367" s="38" t="str">
        <f aca="true">IF($E367="","",IF($L367="Cancelada","Cancelada",IF(OR($K367&lt;&gt;"",$L367="Concluída"),IF(OR($J367="",$K367="",$K367&lt;=$J367),"Concluída","Concluída com atraso"),IF($J367="","Na carteira",IF($J367&lt;TODAY(),"VENCIDA",IF($L367="Em execução","Em execução",IF($J367=TODAY(),"Hoje","Programada")))))))</f>
        <v/>
      </c>
      <c r="Q367" s="31" t="str">
        <f aca="false">IF($E367="","",IF(ISNUMBER(SEARCH("(externo)",$G367)),"Terceirizada","Interna"))</f>
        <v/>
      </c>
      <c r="R367" s="36" t="str">
        <f aca="false">IF($J367="","",IF($M367="",$J367,$M367))</f>
        <v/>
      </c>
      <c r="S367" s="31" t="str">
        <f aca="false">IF($E367="","",IF(OR($K367="",$J367=""),0,IF($K367&lt;=$J367,1,0)))</f>
        <v/>
      </c>
      <c r="T367" s="31" t="str">
        <f aca="false">IF($E367="","",IF(OR($K367="",$R367=""),0,IF($K367&lt;=$R367,1,0)))</f>
        <v/>
      </c>
      <c r="U367" s="38" t="str">
        <f aca="false">IF(OR($K367="",$J367=""),"",MAX(0,$K367-$J367))</f>
        <v/>
      </c>
      <c r="V367" s="31" t="str">
        <f aca="false">IF($E367="","",IF(AND($M367&lt;&gt;"",$J367&lt;&gt;"",$M367&lt;&gt;$J367),1,0))</f>
        <v/>
      </c>
      <c r="W367" s="39" t="str">
        <f aca="false">IF($E367="","",IF($L367="Cancelada",0,IF(OR($K367&lt;&gt;"",$L367="Concluída"),1,0)))</f>
        <v/>
      </c>
    </row>
    <row r="368" customFormat="false" ht="15" hidden="false" customHeight="true" outlineLevel="0" collapsed="false">
      <c r="A368" s="31" t="str">
        <f aca="false">IF($E368="","",COUNTA($E$5:$E368))</f>
        <v/>
      </c>
      <c r="B368" s="32"/>
      <c r="C368" s="32"/>
      <c r="D368" s="32"/>
      <c r="E368" s="32"/>
      <c r="F368" s="33"/>
      <c r="G368" s="32"/>
      <c r="H368" s="34"/>
      <c r="I368" s="35"/>
      <c r="J368" s="36" t="str">
        <f aca="false">IF(OR($H368="",$I368=""),"",$H368+MATCH($I368,Listas!$F$5:$F$11,0)-1)</f>
        <v/>
      </c>
      <c r="K368" s="37"/>
      <c r="L368" s="33"/>
      <c r="M368" s="37"/>
      <c r="N368" s="32"/>
      <c r="O368" s="32"/>
      <c r="P368" s="38" t="str">
        <f aca="true">IF($E368="","",IF($L368="Cancelada","Cancelada",IF(OR($K368&lt;&gt;"",$L368="Concluída"),IF(OR($J368="",$K368="",$K368&lt;=$J368),"Concluída","Concluída com atraso"),IF($J368="","Na carteira",IF($J368&lt;TODAY(),"VENCIDA",IF($L368="Em execução","Em execução",IF($J368=TODAY(),"Hoje","Programada")))))))</f>
        <v/>
      </c>
      <c r="Q368" s="31" t="str">
        <f aca="false">IF($E368="","",IF(ISNUMBER(SEARCH("(externo)",$G368)),"Terceirizada","Interna"))</f>
        <v/>
      </c>
      <c r="R368" s="36" t="str">
        <f aca="false">IF($J368="","",IF($M368="",$J368,$M368))</f>
        <v/>
      </c>
      <c r="S368" s="31" t="str">
        <f aca="false">IF($E368="","",IF(OR($K368="",$J368=""),0,IF($K368&lt;=$J368,1,0)))</f>
        <v/>
      </c>
      <c r="T368" s="31" t="str">
        <f aca="false">IF($E368="","",IF(OR($K368="",$R368=""),0,IF($K368&lt;=$R368,1,0)))</f>
        <v/>
      </c>
      <c r="U368" s="38" t="str">
        <f aca="false">IF(OR($K368="",$J368=""),"",MAX(0,$K368-$J368))</f>
        <v/>
      </c>
      <c r="V368" s="31" t="str">
        <f aca="false">IF($E368="","",IF(AND($M368&lt;&gt;"",$J368&lt;&gt;"",$M368&lt;&gt;$J368),1,0))</f>
        <v/>
      </c>
      <c r="W368" s="39" t="str">
        <f aca="false">IF($E368="","",IF($L368="Cancelada",0,IF(OR($K368&lt;&gt;"",$L368="Concluída"),1,0)))</f>
        <v/>
      </c>
    </row>
    <row r="369" customFormat="false" ht="15" hidden="false" customHeight="true" outlineLevel="0" collapsed="false">
      <c r="A369" s="31" t="str">
        <f aca="false">IF($E369="","",COUNTA($E$5:$E369))</f>
        <v/>
      </c>
      <c r="B369" s="32"/>
      <c r="C369" s="32"/>
      <c r="D369" s="32"/>
      <c r="E369" s="32"/>
      <c r="F369" s="33"/>
      <c r="G369" s="32"/>
      <c r="H369" s="34"/>
      <c r="I369" s="35"/>
      <c r="J369" s="36" t="str">
        <f aca="false">IF(OR($H369="",$I369=""),"",$H369+MATCH($I369,Listas!$F$5:$F$11,0)-1)</f>
        <v/>
      </c>
      <c r="K369" s="37"/>
      <c r="L369" s="33"/>
      <c r="M369" s="37"/>
      <c r="N369" s="32"/>
      <c r="O369" s="32"/>
      <c r="P369" s="38" t="str">
        <f aca="true">IF($E369="","",IF($L369="Cancelada","Cancelada",IF(OR($K369&lt;&gt;"",$L369="Concluída"),IF(OR($J369="",$K369="",$K369&lt;=$J369),"Concluída","Concluída com atraso"),IF($J369="","Na carteira",IF($J369&lt;TODAY(),"VENCIDA",IF($L369="Em execução","Em execução",IF($J369=TODAY(),"Hoje","Programada")))))))</f>
        <v/>
      </c>
      <c r="Q369" s="31" t="str">
        <f aca="false">IF($E369="","",IF(ISNUMBER(SEARCH("(externo)",$G369)),"Terceirizada","Interna"))</f>
        <v/>
      </c>
      <c r="R369" s="36" t="str">
        <f aca="false">IF($J369="","",IF($M369="",$J369,$M369))</f>
        <v/>
      </c>
      <c r="S369" s="31" t="str">
        <f aca="false">IF($E369="","",IF(OR($K369="",$J369=""),0,IF($K369&lt;=$J369,1,0)))</f>
        <v/>
      </c>
      <c r="T369" s="31" t="str">
        <f aca="false">IF($E369="","",IF(OR($K369="",$R369=""),0,IF($K369&lt;=$R369,1,0)))</f>
        <v/>
      </c>
      <c r="U369" s="38" t="str">
        <f aca="false">IF(OR($K369="",$J369=""),"",MAX(0,$K369-$J369))</f>
        <v/>
      </c>
      <c r="V369" s="31" t="str">
        <f aca="false">IF($E369="","",IF(AND($M369&lt;&gt;"",$J369&lt;&gt;"",$M369&lt;&gt;$J369),1,0))</f>
        <v/>
      </c>
      <c r="W369" s="39" t="str">
        <f aca="false">IF($E369="","",IF($L369="Cancelada",0,IF(OR($K369&lt;&gt;"",$L369="Concluída"),1,0)))</f>
        <v/>
      </c>
    </row>
    <row r="370" customFormat="false" ht="15" hidden="false" customHeight="true" outlineLevel="0" collapsed="false">
      <c r="A370" s="31" t="str">
        <f aca="false">IF($E370="","",COUNTA($E$5:$E370))</f>
        <v/>
      </c>
      <c r="B370" s="32"/>
      <c r="C370" s="32"/>
      <c r="D370" s="32"/>
      <c r="E370" s="32"/>
      <c r="F370" s="33"/>
      <c r="G370" s="32"/>
      <c r="H370" s="34"/>
      <c r="I370" s="35"/>
      <c r="J370" s="36" t="str">
        <f aca="false">IF(OR($H370="",$I370=""),"",$H370+MATCH($I370,Listas!$F$5:$F$11,0)-1)</f>
        <v/>
      </c>
      <c r="K370" s="37"/>
      <c r="L370" s="33"/>
      <c r="M370" s="37"/>
      <c r="N370" s="32"/>
      <c r="O370" s="32"/>
      <c r="P370" s="38" t="str">
        <f aca="true">IF($E370="","",IF($L370="Cancelada","Cancelada",IF(OR($K370&lt;&gt;"",$L370="Concluída"),IF(OR($J370="",$K370="",$K370&lt;=$J370),"Concluída","Concluída com atraso"),IF($J370="","Na carteira",IF($J370&lt;TODAY(),"VENCIDA",IF($L370="Em execução","Em execução",IF($J370=TODAY(),"Hoje","Programada")))))))</f>
        <v/>
      </c>
      <c r="Q370" s="31" t="str">
        <f aca="false">IF($E370="","",IF(ISNUMBER(SEARCH("(externo)",$G370)),"Terceirizada","Interna"))</f>
        <v/>
      </c>
      <c r="R370" s="36" t="str">
        <f aca="false">IF($J370="","",IF($M370="",$J370,$M370))</f>
        <v/>
      </c>
      <c r="S370" s="31" t="str">
        <f aca="false">IF($E370="","",IF(OR($K370="",$J370=""),0,IF($K370&lt;=$J370,1,0)))</f>
        <v/>
      </c>
      <c r="T370" s="31" t="str">
        <f aca="false">IF($E370="","",IF(OR($K370="",$R370=""),0,IF($K370&lt;=$R370,1,0)))</f>
        <v/>
      </c>
      <c r="U370" s="38" t="str">
        <f aca="false">IF(OR($K370="",$J370=""),"",MAX(0,$K370-$J370))</f>
        <v/>
      </c>
      <c r="V370" s="31" t="str">
        <f aca="false">IF($E370="","",IF(AND($M370&lt;&gt;"",$J370&lt;&gt;"",$M370&lt;&gt;$J370),1,0))</f>
        <v/>
      </c>
      <c r="W370" s="39" t="str">
        <f aca="false">IF($E370="","",IF($L370="Cancelada",0,IF(OR($K370&lt;&gt;"",$L370="Concluída"),1,0)))</f>
        <v/>
      </c>
    </row>
    <row r="371" customFormat="false" ht="15" hidden="false" customHeight="true" outlineLevel="0" collapsed="false">
      <c r="A371" s="31" t="str">
        <f aca="false">IF($E371="","",COUNTA($E$5:$E371))</f>
        <v/>
      </c>
      <c r="B371" s="32"/>
      <c r="C371" s="32"/>
      <c r="D371" s="32"/>
      <c r="E371" s="32"/>
      <c r="F371" s="33"/>
      <c r="G371" s="32"/>
      <c r="H371" s="34"/>
      <c r="I371" s="35"/>
      <c r="J371" s="36" t="str">
        <f aca="false">IF(OR($H371="",$I371=""),"",$H371+MATCH($I371,Listas!$F$5:$F$11,0)-1)</f>
        <v/>
      </c>
      <c r="K371" s="37"/>
      <c r="L371" s="33"/>
      <c r="M371" s="37"/>
      <c r="N371" s="32"/>
      <c r="O371" s="32"/>
      <c r="P371" s="38" t="str">
        <f aca="true">IF($E371="","",IF($L371="Cancelada","Cancelada",IF(OR($K371&lt;&gt;"",$L371="Concluída"),IF(OR($J371="",$K371="",$K371&lt;=$J371),"Concluída","Concluída com atraso"),IF($J371="","Na carteira",IF($J371&lt;TODAY(),"VENCIDA",IF($L371="Em execução","Em execução",IF($J371=TODAY(),"Hoje","Programada")))))))</f>
        <v/>
      </c>
      <c r="Q371" s="31" t="str">
        <f aca="false">IF($E371="","",IF(ISNUMBER(SEARCH("(externo)",$G371)),"Terceirizada","Interna"))</f>
        <v/>
      </c>
      <c r="R371" s="36" t="str">
        <f aca="false">IF($J371="","",IF($M371="",$J371,$M371))</f>
        <v/>
      </c>
      <c r="S371" s="31" t="str">
        <f aca="false">IF($E371="","",IF(OR($K371="",$J371=""),0,IF($K371&lt;=$J371,1,0)))</f>
        <v/>
      </c>
      <c r="T371" s="31" t="str">
        <f aca="false">IF($E371="","",IF(OR($K371="",$R371=""),0,IF($K371&lt;=$R371,1,0)))</f>
        <v/>
      </c>
      <c r="U371" s="38" t="str">
        <f aca="false">IF(OR($K371="",$J371=""),"",MAX(0,$K371-$J371))</f>
        <v/>
      </c>
      <c r="V371" s="31" t="str">
        <f aca="false">IF($E371="","",IF(AND($M371&lt;&gt;"",$J371&lt;&gt;"",$M371&lt;&gt;$J371),1,0))</f>
        <v/>
      </c>
      <c r="W371" s="39" t="str">
        <f aca="false">IF($E371="","",IF($L371="Cancelada",0,IF(OR($K371&lt;&gt;"",$L371="Concluída"),1,0)))</f>
        <v/>
      </c>
    </row>
    <row r="372" customFormat="false" ht="15" hidden="false" customHeight="true" outlineLevel="0" collapsed="false">
      <c r="A372" s="31" t="str">
        <f aca="false">IF($E372="","",COUNTA($E$5:$E372))</f>
        <v/>
      </c>
      <c r="B372" s="32"/>
      <c r="C372" s="32"/>
      <c r="D372" s="32"/>
      <c r="E372" s="32"/>
      <c r="F372" s="33"/>
      <c r="G372" s="32"/>
      <c r="H372" s="34"/>
      <c r="I372" s="35"/>
      <c r="J372" s="36" t="str">
        <f aca="false">IF(OR($H372="",$I372=""),"",$H372+MATCH($I372,Listas!$F$5:$F$11,0)-1)</f>
        <v/>
      </c>
      <c r="K372" s="37"/>
      <c r="L372" s="33"/>
      <c r="M372" s="37"/>
      <c r="N372" s="32"/>
      <c r="O372" s="32"/>
      <c r="P372" s="38" t="str">
        <f aca="true">IF($E372="","",IF($L372="Cancelada","Cancelada",IF(OR($K372&lt;&gt;"",$L372="Concluída"),IF(OR($J372="",$K372="",$K372&lt;=$J372),"Concluída","Concluída com atraso"),IF($J372="","Na carteira",IF($J372&lt;TODAY(),"VENCIDA",IF($L372="Em execução","Em execução",IF($J372=TODAY(),"Hoje","Programada")))))))</f>
        <v/>
      </c>
      <c r="Q372" s="31" t="str">
        <f aca="false">IF($E372="","",IF(ISNUMBER(SEARCH("(externo)",$G372)),"Terceirizada","Interna"))</f>
        <v/>
      </c>
      <c r="R372" s="36" t="str">
        <f aca="false">IF($J372="","",IF($M372="",$J372,$M372))</f>
        <v/>
      </c>
      <c r="S372" s="31" t="str">
        <f aca="false">IF($E372="","",IF(OR($K372="",$J372=""),0,IF($K372&lt;=$J372,1,0)))</f>
        <v/>
      </c>
      <c r="T372" s="31" t="str">
        <f aca="false">IF($E372="","",IF(OR($K372="",$R372=""),0,IF($K372&lt;=$R372,1,0)))</f>
        <v/>
      </c>
      <c r="U372" s="38" t="str">
        <f aca="false">IF(OR($K372="",$J372=""),"",MAX(0,$K372-$J372))</f>
        <v/>
      </c>
      <c r="V372" s="31" t="str">
        <f aca="false">IF($E372="","",IF(AND($M372&lt;&gt;"",$J372&lt;&gt;"",$M372&lt;&gt;$J372),1,0))</f>
        <v/>
      </c>
      <c r="W372" s="39" t="str">
        <f aca="false">IF($E372="","",IF($L372="Cancelada",0,IF(OR($K372&lt;&gt;"",$L372="Concluída"),1,0)))</f>
        <v/>
      </c>
    </row>
    <row r="373" customFormat="false" ht="15" hidden="false" customHeight="true" outlineLevel="0" collapsed="false">
      <c r="A373" s="31" t="str">
        <f aca="false">IF($E373="","",COUNTA($E$5:$E373))</f>
        <v/>
      </c>
      <c r="B373" s="32"/>
      <c r="C373" s="32"/>
      <c r="D373" s="32"/>
      <c r="E373" s="32"/>
      <c r="F373" s="33"/>
      <c r="G373" s="32"/>
      <c r="H373" s="34"/>
      <c r="I373" s="35"/>
      <c r="J373" s="36" t="str">
        <f aca="false">IF(OR($H373="",$I373=""),"",$H373+MATCH($I373,Listas!$F$5:$F$11,0)-1)</f>
        <v/>
      </c>
      <c r="K373" s="37"/>
      <c r="L373" s="33"/>
      <c r="M373" s="37"/>
      <c r="N373" s="32"/>
      <c r="O373" s="32"/>
      <c r="P373" s="38" t="str">
        <f aca="true">IF($E373="","",IF($L373="Cancelada","Cancelada",IF(OR($K373&lt;&gt;"",$L373="Concluída"),IF(OR($J373="",$K373="",$K373&lt;=$J373),"Concluída","Concluída com atraso"),IF($J373="","Na carteira",IF($J373&lt;TODAY(),"VENCIDA",IF($L373="Em execução","Em execução",IF($J373=TODAY(),"Hoje","Programada")))))))</f>
        <v/>
      </c>
      <c r="Q373" s="31" t="str">
        <f aca="false">IF($E373="","",IF(ISNUMBER(SEARCH("(externo)",$G373)),"Terceirizada","Interna"))</f>
        <v/>
      </c>
      <c r="R373" s="36" t="str">
        <f aca="false">IF($J373="","",IF($M373="",$J373,$M373))</f>
        <v/>
      </c>
      <c r="S373" s="31" t="str">
        <f aca="false">IF($E373="","",IF(OR($K373="",$J373=""),0,IF($K373&lt;=$J373,1,0)))</f>
        <v/>
      </c>
      <c r="T373" s="31" t="str">
        <f aca="false">IF($E373="","",IF(OR($K373="",$R373=""),0,IF($K373&lt;=$R373,1,0)))</f>
        <v/>
      </c>
      <c r="U373" s="38" t="str">
        <f aca="false">IF(OR($K373="",$J373=""),"",MAX(0,$K373-$J373))</f>
        <v/>
      </c>
      <c r="V373" s="31" t="str">
        <f aca="false">IF($E373="","",IF(AND($M373&lt;&gt;"",$J373&lt;&gt;"",$M373&lt;&gt;$J373),1,0))</f>
        <v/>
      </c>
      <c r="W373" s="39" t="str">
        <f aca="false">IF($E373="","",IF($L373="Cancelada",0,IF(OR($K373&lt;&gt;"",$L373="Concluída"),1,0)))</f>
        <v/>
      </c>
    </row>
    <row r="374" customFormat="false" ht="15" hidden="false" customHeight="true" outlineLevel="0" collapsed="false">
      <c r="A374" s="31" t="str">
        <f aca="false">IF($E374="","",COUNTA($E$5:$E374))</f>
        <v/>
      </c>
      <c r="B374" s="32"/>
      <c r="C374" s="32"/>
      <c r="D374" s="32"/>
      <c r="E374" s="32"/>
      <c r="F374" s="33"/>
      <c r="G374" s="32"/>
      <c r="H374" s="34"/>
      <c r="I374" s="35"/>
      <c r="J374" s="36" t="str">
        <f aca="false">IF(OR($H374="",$I374=""),"",$H374+MATCH($I374,Listas!$F$5:$F$11,0)-1)</f>
        <v/>
      </c>
      <c r="K374" s="37"/>
      <c r="L374" s="33"/>
      <c r="M374" s="37"/>
      <c r="N374" s="32"/>
      <c r="O374" s="32"/>
      <c r="P374" s="38" t="str">
        <f aca="true">IF($E374="","",IF($L374="Cancelada","Cancelada",IF(OR($K374&lt;&gt;"",$L374="Concluída"),IF(OR($J374="",$K374="",$K374&lt;=$J374),"Concluída","Concluída com atraso"),IF($J374="","Na carteira",IF($J374&lt;TODAY(),"VENCIDA",IF($L374="Em execução","Em execução",IF($J374=TODAY(),"Hoje","Programada")))))))</f>
        <v/>
      </c>
      <c r="Q374" s="31" t="str">
        <f aca="false">IF($E374="","",IF(ISNUMBER(SEARCH("(externo)",$G374)),"Terceirizada","Interna"))</f>
        <v/>
      </c>
      <c r="R374" s="36" t="str">
        <f aca="false">IF($J374="","",IF($M374="",$J374,$M374))</f>
        <v/>
      </c>
      <c r="S374" s="31" t="str">
        <f aca="false">IF($E374="","",IF(OR($K374="",$J374=""),0,IF($K374&lt;=$J374,1,0)))</f>
        <v/>
      </c>
      <c r="T374" s="31" t="str">
        <f aca="false">IF($E374="","",IF(OR($K374="",$R374=""),0,IF($K374&lt;=$R374,1,0)))</f>
        <v/>
      </c>
      <c r="U374" s="38" t="str">
        <f aca="false">IF(OR($K374="",$J374=""),"",MAX(0,$K374-$J374))</f>
        <v/>
      </c>
      <c r="V374" s="31" t="str">
        <f aca="false">IF($E374="","",IF(AND($M374&lt;&gt;"",$J374&lt;&gt;"",$M374&lt;&gt;$J374),1,0))</f>
        <v/>
      </c>
      <c r="W374" s="39" t="str">
        <f aca="false">IF($E374="","",IF($L374="Cancelada",0,IF(OR($K374&lt;&gt;"",$L374="Concluída"),1,0)))</f>
        <v/>
      </c>
    </row>
    <row r="375" customFormat="false" ht="15" hidden="false" customHeight="true" outlineLevel="0" collapsed="false">
      <c r="A375" s="31" t="str">
        <f aca="false">IF($E375="","",COUNTA($E$5:$E375))</f>
        <v/>
      </c>
      <c r="B375" s="32"/>
      <c r="C375" s="32"/>
      <c r="D375" s="32"/>
      <c r="E375" s="32"/>
      <c r="F375" s="33"/>
      <c r="G375" s="32"/>
      <c r="H375" s="34"/>
      <c r="I375" s="35"/>
      <c r="J375" s="36" t="str">
        <f aca="false">IF(OR($H375="",$I375=""),"",$H375+MATCH($I375,Listas!$F$5:$F$11,0)-1)</f>
        <v/>
      </c>
      <c r="K375" s="37"/>
      <c r="L375" s="33"/>
      <c r="M375" s="37"/>
      <c r="N375" s="32"/>
      <c r="O375" s="32"/>
      <c r="P375" s="38" t="str">
        <f aca="true">IF($E375="","",IF($L375="Cancelada","Cancelada",IF(OR($K375&lt;&gt;"",$L375="Concluída"),IF(OR($J375="",$K375="",$K375&lt;=$J375),"Concluída","Concluída com atraso"),IF($J375="","Na carteira",IF($J375&lt;TODAY(),"VENCIDA",IF($L375="Em execução","Em execução",IF($J375=TODAY(),"Hoje","Programada")))))))</f>
        <v/>
      </c>
      <c r="Q375" s="31" t="str">
        <f aca="false">IF($E375="","",IF(ISNUMBER(SEARCH("(externo)",$G375)),"Terceirizada","Interna"))</f>
        <v/>
      </c>
      <c r="R375" s="36" t="str">
        <f aca="false">IF($J375="","",IF($M375="",$J375,$M375))</f>
        <v/>
      </c>
      <c r="S375" s="31" t="str">
        <f aca="false">IF($E375="","",IF(OR($K375="",$J375=""),0,IF($K375&lt;=$J375,1,0)))</f>
        <v/>
      </c>
      <c r="T375" s="31" t="str">
        <f aca="false">IF($E375="","",IF(OR($K375="",$R375=""),0,IF($K375&lt;=$R375,1,0)))</f>
        <v/>
      </c>
      <c r="U375" s="38" t="str">
        <f aca="false">IF(OR($K375="",$J375=""),"",MAX(0,$K375-$J375))</f>
        <v/>
      </c>
      <c r="V375" s="31" t="str">
        <f aca="false">IF($E375="","",IF(AND($M375&lt;&gt;"",$J375&lt;&gt;"",$M375&lt;&gt;$J375),1,0))</f>
        <v/>
      </c>
      <c r="W375" s="39" t="str">
        <f aca="false">IF($E375="","",IF($L375="Cancelada",0,IF(OR($K375&lt;&gt;"",$L375="Concluída"),1,0)))</f>
        <v/>
      </c>
    </row>
    <row r="376" customFormat="false" ht="15" hidden="false" customHeight="true" outlineLevel="0" collapsed="false">
      <c r="A376" s="31" t="str">
        <f aca="false">IF($E376="","",COUNTA($E$5:$E376))</f>
        <v/>
      </c>
      <c r="B376" s="32"/>
      <c r="C376" s="32"/>
      <c r="D376" s="32"/>
      <c r="E376" s="32"/>
      <c r="F376" s="33"/>
      <c r="G376" s="32"/>
      <c r="H376" s="34"/>
      <c r="I376" s="35"/>
      <c r="J376" s="36" t="str">
        <f aca="false">IF(OR($H376="",$I376=""),"",$H376+MATCH($I376,Listas!$F$5:$F$11,0)-1)</f>
        <v/>
      </c>
      <c r="K376" s="37"/>
      <c r="L376" s="33"/>
      <c r="M376" s="37"/>
      <c r="N376" s="32"/>
      <c r="O376" s="32"/>
      <c r="P376" s="38" t="str">
        <f aca="true">IF($E376="","",IF($L376="Cancelada","Cancelada",IF(OR($K376&lt;&gt;"",$L376="Concluída"),IF(OR($J376="",$K376="",$K376&lt;=$J376),"Concluída","Concluída com atraso"),IF($J376="","Na carteira",IF($J376&lt;TODAY(),"VENCIDA",IF($L376="Em execução","Em execução",IF($J376=TODAY(),"Hoje","Programada")))))))</f>
        <v/>
      </c>
      <c r="Q376" s="31" t="str">
        <f aca="false">IF($E376="","",IF(ISNUMBER(SEARCH("(externo)",$G376)),"Terceirizada","Interna"))</f>
        <v/>
      </c>
      <c r="R376" s="36" t="str">
        <f aca="false">IF($J376="","",IF($M376="",$J376,$M376))</f>
        <v/>
      </c>
      <c r="S376" s="31" t="str">
        <f aca="false">IF($E376="","",IF(OR($K376="",$J376=""),0,IF($K376&lt;=$J376,1,0)))</f>
        <v/>
      </c>
      <c r="T376" s="31" t="str">
        <f aca="false">IF($E376="","",IF(OR($K376="",$R376=""),0,IF($K376&lt;=$R376,1,0)))</f>
        <v/>
      </c>
      <c r="U376" s="38" t="str">
        <f aca="false">IF(OR($K376="",$J376=""),"",MAX(0,$K376-$J376))</f>
        <v/>
      </c>
      <c r="V376" s="31" t="str">
        <f aca="false">IF($E376="","",IF(AND($M376&lt;&gt;"",$J376&lt;&gt;"",$M376&lt;&gt;$J376),1,0))</f>
        <v/>
      </c>
      <c r="W376" s="39" t="str">
        <f aca="false">IF($E376="","",IF($L376="Cancelada",0,IF(OR($K376&lt;&gt;"",$L376="Concluída"),1,0)))</f>
        <v/>
      </c>
    </row>
    <row r="377" customFormat="false" ht="15" hidden="false" customHeight="true" outlineLevel="0" collapsed="false">
      <c r="A377" s="31" t="str">
        <f aca="false">IF($E377="","",COUNTA($E$5:$E377))</f>
        <v/>
      </c>
      <c r="B377" s="32"/>
      <c r="C377" s="32"/>
      <c r="D377" s="32"/>
      <c r="E377" s="32"/>
      <c r="F377" s="33"/>
      <c r="G377" s="32"/>
      <c r="H377" s="34"/>
      <c r="I377" s="35"/>
      <c r="J377" s="36" t="str">
        <f aca="false">IF(OR($H377="",$I377=""),"",$H377+MATCH($I377,Listas!$F$5:$F$11,0)-1)</f>
        <v/>
      </c>
      <c r="K377" s="37"/>
      <c r="L377" s="33"/>
      <c r="M377" s="37"/>
      <c r="N377" s="32"/>
      <c r="O377" s="32"/>
      <c r="P377" s="38" t="str">
        <f aca="true">IF($E377="","",IF($L377="Cancelada","Cancelada",IF(OR($K377&lt;&gt;"",$L377="Concluída"),IF(OR($J377="",$K377="",$K377&lt;=$J377),"Concluída","Concluída com atraso"),IF($J377="","Na carteira",IF($J377&lt;TODAY(),"VENCIDA",IF($L377="Em execução","Em execução",IF($J377=TODAY(),"Hoje","Programada")))))))</f>
        <v/>
      </c>
      <c r="Q377" s="31" t="str">
        <f aca="false">IF($E377="","",IF(ISNUMBER(SEARCH("(externo)",$G377)),"Terceirizada","Interna"))</f>
        <v/>
      </c>
      <c r="R377" s="36" t="str">
        <f aca="false">IF($J377="","",IF($M377="",$J377,$M377))</f>
        <v/>
      </c>
      <c r="S377" s="31" t="str">
        <f aca="false">IF($E377="","",IF(OR($K377="",$J377=""),0,IF($K377&lt;=$J377,1,0)))</f>
        <v/>
      </c>
      <c r="T377" s="31" t="str">
        <f aca="false">IF($E377="","",IF(OR($K377="",$R377=""),0,IF($K377&lt;=$R377,1,0)))</f>
        <v/>
      </c>
      <c r="U377" s="38" t="str">
        <f aca="false">IF(OR($K377="",$J377=""),"",MAX(0,$K377-$J377))</f>
        <v/>
      </c>
      <c r="V377" s="31" t="str">
        <f aca="false">IF($E377="","",IF(AND($M377&lt;&gt;"",$J377&lt;&gt;"",$M377&lt;&gt;$J377),1,0))</f>
        <v/>
      </c>
      <c r="W377" s="39" t="str">
        <f aca="false">IF($E377="","",IF($L377="Cancelada",0,IF(OR($K377&lt;&gt;"",$L377="Concluída"),1,0)))</f>
        <v/>
      </c>
    </row>
    <row r="378" customFormat="false" ht="15" hidden="false" customHeight="true" outlineLevel="0" collapsed="false">
      <c r="A378" s="31" t="str">
        <f aca="false">IF($E378="","",COUNTA($E$5:$E378))</f>
        <v/>
      </c>
      <c r="B378" s="32"/>
      <c r="C378" s="32"/>
      <c r="D378" s="32"/>
      <c r="E378" s="32"/>
      <c r="F378" s="33"/>
      <c r="G378" s="32"/>
      <c r="H378" s="34"/>
      <c r="I378" s="35"/>
      <c r="J378" s="36" t="str">
        <f aca="false">IF(OR($H378="",$I378=""),"",$H378+MATCH($I378,Listas!$F$5:$F$11,0)-1)</f>
        <v/>
      </c>
      <c r="K378" s="37"/>
      <c r="L378" s="33"/>
      <c r="M378" s="37"/>
      <c r="N378" s="32"/>
      <c r="O378" s="32"/>
      <c r="P378" s="38" t="str">
        <f aca="true">IF($E378="","",IF($L378="Cancelada","Cancelada",IF(OR($K378&lt;&gt;"",$L378="Concluída"),IF(OR($J378="",$K378="",$K378&lt;=$J378),"Concluída","Concluída com atraso"),IF($J378="","Na carteira",IF($J378&lt;TODAY(),"VENCIDA",IF($L378="Em execução","Em execução",IF($J378=TODAY(),"Hoje","Programada")))))))</f>
        <v/>
      </c>
      <c r="Q378" s="31" t="str">
        <f aca="false">IF($E378="","",IF(ISNUMBER(SEARCH("(externo)",$G378)),"Terceirizada","Interna"))</f>
        <v/>
      </c>
      <c r="R378" s="36" t="str">
        <f aca="false">IF($J378="","",IF($M378="",$J378,$M378))</f>
        <v/>
      </c>
      <c r="S378" s="31" t="str">
        <f aca="false">IF($E378="","",IF(OR($K378="",$J378=""),0,IF($K378&lt;=$J378,1,0)))</f>
        <v/>
      </c>
      <c r="T378" s="31" t="str">
        <f aca="false">IF($E378="","",IF(OR($K378="",$R378=""),0,IF($K378&lt;=$R378,1,0)))</f>
        <v/>
      </c>
      <c r="U378" s="38" t="str">
        <f aca="false">IF(OR($K378="",$J378=""),"",MAX(0,$K378-$J378))</f>
        <v/>
      </c>
      <c r="V378" s="31" t="str">
        <f aca="false">IF($E378="","",IF(AND($M378&lt;&gt;"",$J378&lt;&gt;"",$M378&lt;&gt;$J378),1,0))</f>
        <v/>
      </c>
      <c r="W378" s="39" t="str">
        <f aca="false">IF($E378="","",IF($L378="Cancelada",0,IF(OR($K378&lt;&gt;"",$L378="Concluída"),1,0)))</f>
        <v/>
      </c>
    </row>
    <row r="379" customFormat="false" ht="15" hidden="false" customHeight="true" outlineLevel="0" collapsed="false">
      <c r="A379" s="31" t="str">
        <f aca="false">IF($E379="","",COUNTA($E$5:$E379))</f>
        <v/>
      </c>
      <c r="B379" s="32"/>
      <c r="C379" s="32"/>
      <c r="D379" s="32"/>
      <c r="E379" s="32"/>
      <c r="F379" s="33"/>
      <c r="G379" s="32"/>
      <c r="H379" s="34"/>
      <c r="I379" s="35"/>
      <c r="J379" s="36" t="str">
        <f aca="false">IF(OR($H379="",$I379=""),"",$H379+MATCH($I379,Listas!$F$5:$F$11,0)-1)</f>
        <v/>
      </c>
      <c r="K379" s="37"/>
      <c r="L379" s="33"/>
      <c r="M379" s="37"/>
      <c r="N379" s="32"/>
      <c r="O379" s="32"/>
      <c r="P379" s="38" t="str">
        <f aca="true">IF($E379="","",IF($L379="Cancelada","Cancelada",IF(OR($K379&lt;&gt;"",$L379="Concluída"),IF(OR($J379="",$K379="",$K379&lt;=$J379),"Concluída","Concluída com atraso"),IF($J379="","Na carteira",IF($J379&lt;TODAY(),"VENCIDA",IF($L379="Em execução","Em execução",IF($J379=TODAY(),"Hoje","Programada")))))))</f>
        <v/>
      </c>
      <c r="Q379" s="31" t="str">
        <f aca="false">IF($E379="","",IF(ISNUMBER(SEARCH("(externo)",$G379)),"Terceirizada","Interna"))</f>
        <v/>
      </c>
      <c r="R379" s="36" t="str">
        <f aca="false">IF($J379="","",IF($M379="",$J379,$M379))</f>
        <v/>
      </c>
      <c r="S379" s="31" t="str">
        <f aca="false">IF($E379="","",IF(OR($K379="",$J379=""),0,IF($K379&lt;=$J379,1,0)))</f>
        <v/>
      </c>
      <c r="T379" s="31" t="str">
        <f aca="false">IF($E379="","",IF(OR($K379="",$R379=""),0,IF($K379&lt;=$R379,1,0)))</f>
        <v/>
      </c>
      <c r="U379" s="38" t="str">
        <f aca="false">IF(OR($K379="",$J379=""),"",MAX(0,$K379-$J379))</f>
        <v/>
      </c>
      <c r="V379" s="31" t="str">
        <f aca="false">IF($E379="","",IF(AND($M379&lt;&gt;"",$J379&lt;&gt;"",$M379&lt;&gt;$J379),1,0))</f>
        <v/>
      </c>
      <c r="W379" s="39" t="str">
        <f aca="false">IF($E379="","",IF($L379="Cancelada",0,IF(OR($K379&lt;&gt;"",$L379="Concluída"),1,0)))</f>
        <v/>
      </c>
    </row>
    <row r="380" customFormat="false" ht="15" hidden="false" customHeight="true" outlineLevel="0" collapsed="false">
      <c r="A380" s="31" t="str">
        <f aca="false">IF($E380="","",COUNTA($E$5:$E380))</f>
        <v/>
      </c>
      <c r="B380" s="32"/>
      <c r="C380" s="32"/>
      <c r="D380" s="32"/>
      <c r="E380" s="32"/>
      <c r="F380" s="33"/>
      <c r="G380" s="32"/>
      <c r="H380" s="34"/>
      <c r="I380" s="35"/>
      <c r="J380" s="36" t="str">
        <f aca="false">IF(OR($H380="",$I380=""),"",$H380+MATCH($I380,Listas!$F$5:$F$11,0)-1)</f>
        <v/>
      </c>
      <c r="K380" s="37"/>
      <c r="L380" s="33"/>
      <c r="M380" s="37"/>
      <c r="N380" s="32"/>
      <c r="O380" s="32"/>
      <c r="P380" s="38" t="str">
        <f aca="true">IF($E380="","",IF($L380="Cancelada","Cancelada",IF(OR($K380&lt;&gt;"",$L380="Concluída"),IF(OR($J380="",$K380="",$K380&lt;=$J380),"Concluída","Concluída com atraso"),IF($J380="","Na carteira",IF($J380&lt;TODAY(),"VENCIDA",IF($L380="Em execução","Em execução",IF($J380=TODAY(),"Hoje","Programada")))))))</f>
        <v/>
      </c>
      <c r="Q380" s="31" t="str">
        <f aca="false">IF($E380="","",IF(ISNUMBER(SEARCH("(externo)",$G380)),"Terceirizada","Interna"))</f>
        <v/>
      </c>
      <c r="R380" s="36" t="str">
        <f aca="false">IF($J380="","",IF($M380="",$J380,$M380))</f>
        <v/>
      </c>
      <c r="S380" s="31" t="str">
        <f aca="false">IF($E380="","",IF(OR($K380="",$J380=""),0,IF($K380&lt;=$J380,1,0)))</f>
        <v/>
      </c>
      <c r="T380" s="31" t="str">
        <f aca="false">IF($E380="","",IF(OR($K380="",$R380=""),0,IF($K380&lt;=$R380,1,0)))</f>
        <v/>
      </c>
      <c r="U380" s="38" t="str">
        <f aca="false">IF(OR($K380="",$J380=""),"",MAX(0,$K380-$J380))</f>
        <v/>
      </c>
      <c r="V380" s="31" t="str">
        <f aca="false">IF($E380="","",IF(AND($M380&lt;&gt;"",$J380&lt;&gt;"",$M380&lt;&gt;$J380),1,0))</f>
        <v/>
      </c>
      <c r="W380" s="39" t="str">
        <f aca="false">IF($E380="","",IF($L380="Cancelada",0,IF(OR($K380&lt;&gt;"",$L380="Concluída"),1,0)))</f>
        <v/>
      </c>
    </row>
    <row r="381" customFormat="false" ht="15" hidden="false" customHeight="true" outlineLevel="0" collapsed="false">
      <c r="A381" s="31" t="str">
        <f aca="false">IF($E381="","",COUNTA($E$5:$E381))</f>
        <v/>
      </c>
      <c r="B381" s="32"/>
      <c r="C381" s="32"/>
      <c r="D381" s="32"/>
      <c r="E381" s="32"/>
      <c r="F381" s="33"/>
      <c r="G381" s="32"/>
      <c r="H381" s="34"/>
      <c r="I381" s="35"/>
      <c r="J381" s="36" t="str">
        <f aca="false">IF(OR($H381="",$I381=""),"",$H381+MATCH($I381,Listas!$F$5:$F$11,0)-1)</f>
        <v/>
      </c>
      <c r="K381" s="37"/>
      <c r="L381" s="33"/>
      <c r="M381" s="37"/>
      <c r="N381" s="32"/>
      <c r="O381" s="32"/>
      <c r="P381" s="38" t="str">
        <f aca="true">IF($E381="","",IF($L381="Cancelada","Cancelada",IF(OR($K381&lt;&gt;"",$L381="Concluída"),IF(OR($J381="",$K381="",$K381&lt;=$J381),"Concluída","Concluída com atraso"),IF($J381="","Na carteira",IF($J381&lt;TODAY(),"VENCIDA",IF($L381="Em execução","Em execução",IF($J381=TODAY(),"Hoje","Programada")))))))</f>
        <v/>
      </c>
      <c r="Q381" s="31" t="str">
        <f aca="false">IF($E381="","",IF(ISNUMBER(SEARCH("(externo)",$G381)),"Terceirizada","Interna"))</f>
        <v/>
      </c>
      <c r="R381" s="36" t="str">
        <f aca="false">IF($J381="","",IF($M381="",$J381,$M381))</f>
        <v/>
      </c>
      <c r="S381" s="31" t="str">
        <f aca="false">IF($E381="","",IF(OR($K381="",$J381=""),0,IF($K381&lt;=$J381,1,0)))</f>
        <v/>
      </c>
      <c r="T381" s="31" t="str">
        <f aca="false">IF($E381="","",IF(OR($K381="",$R381=""),0,IF($K381&lt;=$R381,1,0)))</f>
        <v/>
      </c>
      <c r="U381" s="38" t="str">
        <f aca="false">IF(OR($K381="",$J381=""),"",MAX(0,$K381-$J381))</f>
        <v/>
      </c>
      <c r="V381" s="31" t="str">
        <f aca="false">IF($E381="","",IF(AND($M381&lt;&gt;"",$J381&lt;&gt;"",$M381&lt;&gt;$J381),1,0))</f>
        <v/>
      </c>
      <c r="W381" s="39" t="str">
        <f aca="false">IF($E381="","",IF($L381="Cancelada",0,IF(OR($K381&lt;&gt;"",$L381="Concluída"),1,0)))</f>
        <v/>
      </c>
    </row>
    <row r="382" customFormat="false" ht="15" hidden="false" customHeight="true" outlineLevel="0" collapsed="false">
      <c r="A382" s="31" t="str">
        <f aca="false">IF($E382="","",COUNTA($E$5:$E382))</f>
        <v/>
      </c>
      <c r="B382" s="32"/>
      <c r="C382" s="32"/>
      <c r="D382" s="32"/>
      <c r="E382" s="32"/>
      <c r="F382" s="33"/>
      <c r="G382" s="32"/>
      <c r="H382" s="34"/>
      <c r="I382" s="35"/>
      <c r="J382" s="36" t="str">
        <f aca="false">IF(OR($H382="",$I382=""),"",$H382+MATCH($I382,Listas!$F$5:$F$11,0)-1)</f>
        <v/>
      </c>
      <c r="K382" s="37"/>
      <c r="L382" s="33"/>
      <c r="M382" s="37"/>
      <c r="N382" s="32"/>
      <c r="O382" s="32"/>
      <c r="P382" s="38" t="str">
        <f aca="true">IF($E382="","",IF($L382="Cancelada","Cancelada",IF(OR($K382&lt;&gt;"",$L382="Concluída"),IF(OR($J382="",$K382="",$K382&lt;=$J382),"Concluída","Concluída com atraso"),IF($J382="","Na carteira",IF($J382&lt;TODAY(),"VENCIDA",IF($L382="Em execução","Em execução",IF($J382=TODAY(),"Hoje","Programada")))))))</f>
        <v/>
      </c>
      <c r="Q382" s="31" t="str">
        <f aca="false">IF($E382="","",IF(ISNUMBER(SEARCH("(externo)",$G382)),"Terceirizada","Interna"))</f>
        <v/>
      </c>
      <c r="R382" s="36" t="str">
        <f aca="false">IF($J382="","",IF($M382="",$J382,$M382))</f>
        <v/>
      </c>
      <c r="S382" s="31" t="str">
        <f aca="false">IF($E382="","",IF(OR($K382="",$J382=""),0,IF($K382&lt;=$J382,1,0)))</f>
        <v/>
      </c>
      <c r="T382" s="31" t="str">
        <f aca="false">IF($E382="","",IF(OR($K382="",$R382=""),0,IF($K382&lt;=$R382,1,0)))</f>
        <v/>
      </c>
      <c r="U382" s="38" t="str">
        <f aca="false">IF(OR($K382="",$J382=""),"",MAX(0,$K382-$J382))</f>
        <v/>
      </c>
      <c r="V382" s="31" t="str">
        <f aca="false">IF($E382="","",IF(AND($M382&lt;&gt;"",$J382&lt;&gt;"",$M382&lt;&gt;$J382),1,0))</f>
        <v/>
      </c>
      <c r="W382" s="39" t="str">
        <f aca="false">IF($E382="","",IF($L382="Cancelada",0,IF(OR($K382&lt;&gt;"",$L382="Concluída"),1,0)))</f>
        <v/>
      </c>
    </row>
    <row r="383" customFormat="false" ht="15" hidden="false" customHeight="true" outlineLevel="0" collapsed="false">
      <c r="A383" s="31" t="str">
        <f aca="false">IF($E383="","",COUNTA($E$5:$E383))</f>
        <v/>
      </c>
      <c r="B383" s="32"/>
      <c r="C383" s="32"/>
      <c r="D383" s="32"/>
      <c r="E383" s="32"/>
      <c r="F383" s="33"/>
      <c r="G383" s="32"/>
      <c r="H383" s="34"/>
      <c r="I383" s="35"/>
      <c r="J383" s="36" t="str">
        <f aca="false">IF(OR($H383="",$I383=""),"",$H383+MATCH($I383,Listas!$F$5:$F$11,0)-1)</f>
        <v/>
      </c>
      <c r="K383" s="37"/>
      <c r="L383" s="33"/>
      <c r="M383" s="37"/>
      <c r="N383" s="32"/>
      <c r="O383" s="32"/>
      <c r="P383" s="38" t="str">
        <f aca="true">IF($E383="","",IF($L383="Cancelada","Cancelada",IF(OR($K383&lt;&gt;"",$L383="Concluída"),IF(OR($J383="",$K383="",$K383&lt;=$J383),"Concluída","Concluída com atraso"),IF($J383="","Na carteira",IF($J383&lt;TODAY(),"VENCIDA",IF($L383="Em execução","Em execução",IF($J383=TODAY(),"Hoje","Programada")))))))</f>
        <v/>
      </c>
      <c r="Q383" s="31" t="str">
        <f aca="false">IF($E383="","",IF(ISNUMBER(SEARCH("(externo)",$G383)),"Terceirizada","Interna"))</f>
        <v/>
      </c>
      <c r="R383" s="36" t="str">
        <f aca="false">IF($J383="","",IF($M383="",$J383,$M383))</f>
        <v/>
      </c>
      <c r="S383" s="31" t="str">
        <f aca="false">IF($E383="","",IF(OR($K383="",$J383=""),0,IF($K383&lt;=$J383,1,0)))</f>
        <v/>
      </c>
      <c r="T383" s="31" t="str">
        <f aca="false">IF($E383="","",IF(OR($K383="",$R383=""),0,IF($K383&lt;=$R383,1,0)))</f>
        <v/>
      </c>
      <c r="U383" s="38" t="str">
        <f aca="false">IF(OR($K383="",$J383=""),"",MAX(0,$K383-$J383))</f>
        <v/>
      </c>
      <c r="V383" s="31" t="str">
        <f aca="false">IF($E383="","",IF(AND($M383&lt;&gt;"",$J383&lt;&gt;"",$M383&lt;&gt;$J383),1,0))</f>
        <v/>
      </c>
      <c r="W383" s="39" t="str">
        <f aca="false">IF($E383="","",IF($L383="Cancelada",0,IF(OR($K383&lt;&gt;"",$L383="Concluída"),1,0)))</f>
        <v/>
      </c>
    </row>
    <row r="384" customFormat="false" ht="15" hidden="false" customHeight="true" outlineLevel="0" collapsed="false">
      <c r="A384" s="31" t="str">
        <f aca="false">IF($E384="","",COUNTA($E$5:$E384))</f>
        <v/>
      </c>
      <c r="B384" s="32"/>
      <c r="C384" s="32"/>
      <c r="D384" s="32"/>
      <c r="E384" s="32"/>
      <c r="F384" s="33"/>
      <c r="G384" s="32"/>
      <c r="H384" s="34"/>
      <c r="I384" s="35"/>
      <c r="J384" s="36" t="str">
        <f aca="false">IF(OR($H384="",$I384=""),"",$H384+MATCH($I384,Listas!$F$5:$F$11,0)-1)</f>
        <v/>
      </c>
      <c r="K384" s="37"/>
      <c r="L384" s="33"/>
      <c r="M384" s="37"/>
      <c r="N384" s="32"/>
      <c r="O384" s="32"/>
      <c r="P384" s="38" t="str">
        <f aca="true">IF($E384="","",IF($L384="Cancelada","Cancelada",IF(OR($K384&lt;&gt;"",$L384="Concluída"),IF(OR($J384="",$K384="",$K384&lt;=$J384),"Concluída","Concluída com atraso"),IF($J384="","Na carteira",IF($J384&lt;TODAY(),"VENCIDA",IF($L384="Em execução","Em execução",IF($J384=TODAY(),"Hoje","Programada")))))))</f>
        <v/>
      </c>
      <c r="Q384" s="31" t="str">
        <f aca="false">IF($E384="","",IF(ISNUMBER(SEARCH("(externo)",$G384)),"Terceirizada","Interna"))</f>
        <v/>
      </c>
      <c r="R384" s="36" t="str">
        <f aca="false">IF($J384="","",IF($M384="",$J384,$M384))</f>
        <v/>
      </c>
      <c r="S384" s="31" t="str">
        <f aca="false">IF($E384="","",IF(OR($K384="",$J384=""),0,IF($K384&lt;=$J384,1,0)))</f>
        <v/>
      </c>
      <c r="T384" s="31" t="str">
        <f aca="false">IF($E384="","",IF(OR($K384="",$R384=""),0,IF($K384&lt;=$R384,1,0)))</f>
        <v/>
      </c>
      <c r="U384" s="38" t="str">
        <f aca="false">IF(OR($K384="",$J384=""),"",MAX(0,$K384-$J384))</f>
        <v/>
      </c>
      <c r="V384" s="31" t="str">
        <f aca="false">IF($E384="","",IF(AND($M384&lt;&gt;"",$J384&lt;&gt;"",$M384&lt;&gt;$J384),1,0))</f>
        <v/>
      </c>
      <c r="W384" s="39" t="str">
        <f aca="false">IF($E384="","",IF($L384="Cancelada",0,IF(OR($K384&lt;&gt;"",$L384="Concluída"),1,0)))</f>
        <v/>
      </c>
    </row>
    <row r="385" customFormat="false" ht="15" hidden="false" customHeight="true" outlineLevel="0" collapsed="false">
      <c r="A385" s="31" t="str">
        <f aca="false">IF($E385="","",COUNTA($E$5:$E385))</f>
        <v/>
      </c>
      <c r="B385" s="32"/>
      <c r="C385" s="32"/>
      <c r="D385" s="32"/>
      <c r="E385" s="32"/>
      <c r="F385" s="33"/>
      <c r="G385" s="32"/>
      <c r="H385" s="34"/>
      <c r="I385" s="35"/>
      <c r="J385" s="36" t="str">
        <f aca="false">IF(OR($H385="",$I385=""),"",$H385+MATCH($I385,Listas!$F$5:$F$11,0)-1)</f>
        <v/>
      </c>
      <c r="K385" s="37"/>
      <c r="L385" s="33"/>
      <c r="M385" s="37"/>
      <c r="N385" s="32"/>
      <c r="O385" s="32"/>
      <c r="P385" s="38" t="str">
        <f aca="true">IF($E385="","",IF($L385="Cancelada","Cancelada",IF(OR($K385&lt;&gt;"",$L385="Concluída"),IF(OR($J385="",$K385="",$K385&lt;=$J385),"Concluída","Concluída com atraso"),IF($J385="","Na carteira",IF($J385&lt;TODAY(),"VENCIDA",IF($L385="Em execução","Em execução",IF($J385=TODAY(),"Hoje","Programada")))))))</f>
        <v/>
      </c>
      <c r="Q385" s="31" t="str">
        <f aca="false">IF($E385="","",IF(ISNUMBER(SEARCH("(externo)",$G385)),"Terceirizada","Interna"))</f>
        <v/>
      </c>
      <c r="R385" s="36" t="str">
        <f aca="false">IF($J385="","",IF($M385="",$J385,$M385))</f>
        <v/>
      </c>
      <c r="S385" s="31" t="str">
        <f aca="false">IF($E385="","",IF(OR($K385="",$J385=""),0,IF($K385&lt;=$J385,1,0)))</f>
        <v/>
      </c>
      <c r="T385" s="31" t="str">
        <f aca="false">IF($E385="","",IF(OR($K385="",$R385=""),0,IF($K385&lt;=$R385,1,0)))</f>
        <v/>
      </c>
      <c r="U385" s="38" t="str">
        <f aca="false">IF(OR($K385="",$J385=""),"",MAX(0,$K385-$J385))</f>
        <v/>
      </c>
      <c r="V385" s="31" t="str">
        <f aca="false">IF($E385="","",IF(AND($M385&lt;&gt;"",$J385&lt;&gt;"",$M385&lt;&gt;$J385),1,0))</f>
        <v/>
      </c>
      <c r="W385" s="39" t="str">
        <f aca="false">IF($E385="","",IF($L385="Cancelada",0,IF(OR($K385&lt;&gt;"",$L385="Concluída"),1,0)))</f>
        <v/>
      </c>
    </row>
    <row r="386" customFormat="false" ht="15" hidden="false" customHeight="true" outlineLevel="0" collapsed="false">
      <c r="A386" s="31" t="str">
        <f aca="false">IF($E386="","",COUNTA($E$5:$E386))</f>
        <v/>
      </c>
      <c r="B386" s="32"/>
      <c r="C386" s="32"/>
      <c r="D386" s="32"/>
      <c r="E386" s="32"/>
      <c r="F386" s="33"/>
      <c r="G386" s="32"/>
      <c r="H386" s="34"/>
      <c r="I386" s="35"/>
      <c r="J386" s="36" t="str">
        <f aca="false">IF(OR($H386="",$I386=""),"",$H386+MATCH($I386,Listas!$F$5:$F$11,0)-1)</f>
        <v/>
      </c>
      <c r="K386" s="37"/>
      <c r="L386" s="33"/>
      <c r="M386" s="37"/>
      <c r="N386" s="32"/>
      <c r="O386" s="32"/>
      <c r="P386" s="38" t="str">
        <f aca="true">IF($E386="","",IF($L386="Cancelada","Cancelada",IF(OR($K386&lt;&gt;"",$L386="Concluída"),IF(OR($J386="",$K386="",$K386&lt;=$J386),"Concluída","Concluída com atraso"),IF($J386="","Na carteira",IF($J386&lt;TODAY(),"VENCIDA",IF($L386="Em execução","Em execução",IF($J386=TODAY(),"Hoje","Programada")))))))</f>
        <v/>
      </c>
      <c r="Q386" s="31" t="str">
        <f aca="false">IF($E386="","",IF(ISNUMBER(SEARCH("(externo)",$G386)),"Terceirizada","Interna"))</f>
        <v/>
      </c>
      <c r="R386" s="36" t="str">
        <f aca="false">IF($J386="","",IF($M386="",$J386,$M386))</f>
        <v/>
      </c>
      <c r="S386" s="31" t="str">
        <f aca="false">IF($E386="","",IF(OR($K386="",$J386=""),0,IF($K386&lt;=$J386,1,0)))</f>
        <v/>
      </c>
      <c r="T386" s="31" t="str">
        <f aca="false">IF($E386="","",IF(OR($K386="",$R386=""),0,IF($K386&lt;=$R386,1,0)))</f>
        <v/>
      </c>
      <c r="U386" s="38" t="str">
        <f aca="false">IF(OR($K386="",$J386=""),"",MAX(0,$K386-$J386))</f>
        <v/>
      </c>
      <c r="V386" s="31" t="str">
        <f aca="false">IF($E386="","",IF(AND($M386&lt;&gt;"",$J386&lt;&gt;"",$M386&lt;&gt;$J386),1,0))</f>
        <v/>
      </c>
      <c r="W386" s="39" t="str">
        <f aca="false">IF($E386="","",IF($L386="Cancelada",0,IF(OR($K386&lt;&gt;"",$L386="Concluída"),1,0)))</f>
        <v/>
      </c>
    </row>
    <row r="387" customFormat="false" ht="15" hidden="false" customHeight="true" outlineLevel="0" collapsed="false">
      <c r="A387" s="31" t="str">
        <f aca="false">IF($E387="","",COUNTA($E$5:$E387))</f>
        <v/>
      </c>
      <c r="B387" s="32"/>
      <c r="C387" s="32"/>
      <c r="D387" s="32"/>
      <c r="E387" s="32"/>
      <c r="F387" s="33"/>
      <c r="G387" s="32"/>
      <c r="H387" s="34"/>
      <c r="I387" s="35"/>
      <c r="J387" s="36" t="str">
        <f aca="false">IF(OR($H387="",$I387=""),"",$H387+MATCH($I387,Listas!$F$5:$F$11,0)-1)</f>
        <v/>
      </c>
      <c r="K387" s="37"/>
      <c r="L387" s="33"/>
      <c r="M387" s="37"/>
      <c r="N387" s="32"/>
      <c r="O387" s="32"/>
      <c r="P387" s="38" t="str">
        <f aca="true">IF($E387="","",IF($L387="Cancelada","Cancelada",IF(OR($K387&lt;&gt;"",$L387="Concluída"),IF(OR($J387="",$K387="",$K387&lt;=$J387),"Concluída","Concluída com atraso"),IF($J387="","Na carteira",IF($J387&lt;TODAY(),"VENCIDA",IF($L387="Em execução","Em execução",IF($J387=TODAY(),"Hoje","Programada")))))))</f>
        <v/>
      </c>
      <c r="Q387" s="31" t="str">
        <f aca="false">IF($E387="","",IF(ISNUMBER(SEARCH("(externo)",$G387)),"Terceirizada","Interna"))</f>
        <v/>
      </c>
      <c r="R387" s="36" t="str">
        <f aca="false">IF($J387="","",IF($M387="",$J387,$M387))</f>
        <v/>
      </c>
      <c r="S387" s="31" t="str">
        <f aca="false">IF($E387="","",IF(OR($K387="",$J387=""),0,IF($K387&lt;=$J387,1,0)))</f>
        <v/>
      </c>
      <c r="T387" s="31" t="str">
        <f aca="false">IF($E387="","",IF(OR($K387="",$R387=""),0,IF($K387&lt;=$R387,1,0)))</f>
        <v/>
      </c>
      <c r="U387" s="38" t="str">
        <f aca="false">IF(OR($K387="",$J387=""),"",MAX(0,$K387-$J387))</f>
        <v/>
      </c>
      <c r="V387" s="31" t="str">
        <f aca="false">IF($E387="","",IF(AND($M387&lt;&gt;"",$J387&lt;&gt;"",$M387&lt;&gt;$J387),1,0))</f>
        <v/>
      </c>
      <c r="W387" s="39" t="str">
        <f aca="false">IF($E387="","",IF($L387="Cancelada",0,IF(OR($K387&lt;&gt;"",$L387="Concluída"),1,0)))</f>
        <v/>
      </c>
    </row>
    <row r="388" customFormat="false" ht="15" hidden="false" customHeight="true" outlineLevel="0" collapsed="false">
      <c r="A388" s="31" t="str">
        <f aca="false">IF($E388="","",COUNTA($E$5:$E388))</f>
        <v/>
      </c>
      <c r="B388" s="32"/>
      <c r="C388" s="32"/>
      <c r="D388" s="32"/>
      <c r="E388" s="32"/>
      <c r="F388" s="33"/>
      <c r="G388" s="32"/>
      <c r="H388" s="34"/>
      <c r="I388" s="35"/>
      <c r="J388" s="36" t="str">
        <f aca="false">IF(OR($H388="",$I388=""),"",$H388+MATCH($I388,Listas!$F$5:$F$11,0)-1)</f>
        <v/>
      </c>
      <c r="K388" s="37"/>
      <c r="L388" s="33"/>
      <c r="M388" s="37"/>
      <c r="N388" s="32"/>
      <c r="O388" s="32"/>
      <c r="P388" s="38" t="str">
        <f aca="true">IF($E388="","",IF($L388="Cancelada","Cancelada",IF(OR($K388&lt;&gt;"",$L388="Concluída"),IF(OR($J388="",$K388="",$K388&lt;=$J388),"Concluída","Concluída com atraso"),IF($J388="","Na carteira",IF($J388&lt;TODAY(),"VENCIDA",IF($L388="Em execução","Em execução",IF($J388=TODAY(),"Hoje","Programada")))))))</f>
        <v/>
      </c>
      <c r="Q388" s="31" t="str">
        <f aca="false">IF($E388="","",IF(ISNUMBER(SEARCH("(externo)",$G388)),"Terceirizada","Interna"))</f>
        <v/>
      </c>
      <c r="R388" s="36" t="str">
        <f aca="false">IF($J388="","",IF($M388="",$J388,$M388))</f>
        <v/>
      </c>
      <c r="S388" s="31" t="str">
        <f aca="false">IF($E388="","",IF(OR($K388="",$J388=""),0,IF($K388&lt;=$J388,1,0)))</f>
        <v/>
      </c>
      <c r="T388" s="31" t="str">
        <f aca="false">IF($E388="","",IF(OR($K388="",$R388=""),0,IF($K388&lt;=$R388,1,0)))</f>
        <v/>
      </c>
      <c r="U388" s="38" t="str">
        <f aca="false">IF(OR($K388="",$J388=""),"",MAX(0,$K388-$J388))</f>
        <v/>
      </c>
      <c r="V388" s="31" t="str">
        <f aca="false">IF($E388="","",IF(AND($M388&lt;&gt;"",$J388&lt;&gt;"",$M388&lt;&gt;$J388),1,0))</f>
        <v/>
      </c>
      <c r="W388" s="39" t="str">
        <f aca="false">IF($E388="","",IF($L388="Cancelada",0,IF(OR($K388&lt;&gt;"",$L388="Concluída"),1,0)))</f>
        <v/>
      </c>
    </row>
    <row r="389" customFormat="false" ht="15" hidden="false" customHeight="true" outlineLevel="0" collapsed="false">
      <c r="A389" s="31" t="str">
        <f aca="false">IF($E389="","",COUNTA($E$5:$E389))</f>
        <v/>
      </c>
      <c r="B389" s="32"/>
      <c r="C389" s="32"/>
      <c r="D389" s="32"/>
      <c r="E389" s="32"/>
      <c r="F389" s="33"/>
      <c r="G389" s="32"/>
      <c r="H389" s="34"/>
      <c r="I389" s="35"/>
      <c r="J389" s="36" t="str">
        <f aca="false">IF(OR($H389="",$I389=""),"",$H389+MATCH($I389,Listas!$F$5:$F$11,0)-1)</f>
        <v/>
      </c>
      <c r="K389" s="37"/>
      <c r="L389" s="33"/>
      <c r="M389" s="37"/>
      <c r="N389" s="32"/>
      <c r="O389" s="32"/>
      <c r="P389" s="38" t="str">
        <f aca="true">IF($E389="","",IF($L389="Cancelada","Cancelada",IF(OR($K389&lt;&gt;"",$L389="Concluída"),IF(OR($J389="",$K389="",$K389&lt;=$J389),"Concluída","Concluída com atraso"),IF($J389="","Na carteira",IF($J389&lt;TODAY(),"VENCIDA",IF($L389="Em execução","Em execução",IF($J389=TODAY(),"Hoje","Programada")))))))</f>
        <v/>
      </c>
      <c r="Q389" s="31" t="str">
        <f aca="false">IF($E389="","",IF(ISNUMBER(SEARCH("(externo)",$G389)),"Terceirizada","Interna"))</f>
        <v/>
      </c>
      <c r="R389" s="36" t="str">
        <f aca="false">IF($J389="","",IF($M389="",$J389,$M389))</f>
        <v/>
      </c>
      <c r="S389" s="31" t="str">
        <f aca="false">IF($E389="","",IF(OR($K389="",$J389=""),0,IF($K389&lt;=$J389,1,0)))</f>
        <v/>
      </c>
      <c r="T389" s="31" t="str">
        <f aca="false">IF($E389="","",IF(OR($K389="",$R389=""),0,IF($K389&lt;=$R389,1,0)))</f>
        <v/>
      </c>
      <c r="U389" s="38" t="str">
        <f aca="false">IF(OR($K389="",$J389=""),"",MAX(0,$K389-$J389))</f>
        <v/>
      </c>
      <c r="V389" s="31" t="str">
        <f aca="false">IF($E389="","",IF(AND($M389&lt;&gt;"",$J389&lt;&gt;"",$M389&lt;&gt;$J389),1,0))</f>
        <v/>
      </c>
      <c r="W389" s="39" t="str">
        <f aca="false">IF($E389="","",IF($L389="Cancelada",0,IF(OR($K389&lt;&gt;"",$L389="Concluída"),1,0)))</f>
        <v/>
      </c>
    </row>
    <row r="390" customFormat="false" ht="15" hidden="false" customHeight="true" outlineLevel="0" collapsed="false">
      <c r="A390" s="31" t="str">
        <f aca="false">IF($E390="","",COUNTA($E$5:$E390))</f>
        <v/>
      </c>
      <c r="B390" s="32"/>
      <c r="C390" s="32"/>
      <c r="D390" s="32"/>
      <c r="E390" s="32"/>
      <c r="F390" s="33"/>
      <c r="G390" s="32"/>
      <c r="H390" s="34"/>
      <c r="I390" s="35"/>
      <c r="J390" s="36" t="str">
        <f aca="false">IF(OR($H390="",$I390=""),"",$H390+MATCH($I390,Listas!$F$5:$F$11,0)-1)</f>
        <v/>
      </c>
      <c r="K390" s="37"/>
      <c r="L390" s="33"/>
      <c r="M390" s="37"/>
      <c r="N390" s="32"/>
      <c r="O390" s="32"/>
      <c r="P390" s="38" t="str">
        <f aca="true">IF($E390="","",IF($L390="Cancelada","Cancelada",IF(OR($K390&lt;&gt;"",$L390="Concluída"),IF(OR($J390="",$K390="",$K390&lt;=$J390),"Concluída","Concluída com atraso"),IF($J390="","Na carteira",IF($J390&lt;TODAY(),"VENCIDA",IF($L390="Em execução","Em execução",IF($J390=TODAY(),"Hoje","Programada")))))))</f>
        <v/>
      </c>
      <c r="Q390" s="31" t="str">
        <f aca="false">IF($E390="","",IF(ISNUMBER(SEARCH("(externo)",$G390)),"Terceirizada","Interna"))</f>
        <v/>
      </c>
      <c r="R390" s="36" t="str">
        <f aca="false">IF($J390="","",IF($M390="",$J390,$M390))</f>
        <v/>
      </c>
      <c r="S390" s="31" t="str">
        <f aca="false">IF($E390="","",IF(OR($K390="",$J390=""),0,IF($K390&lt;=$J390,1,0)))</f>
        <v/>
      </c>
      <c r="T390" s="31" t="str">
        <f aca="false">IF($E390="","",IF(OR($K390="",$R390=""),0,IF($K390&lt;=$R390,1,0)))</f>
        <v/>
      </c>
      <c r="U390" s="38" t="str">
        <f aca="false">IF(OR($K390="",$J390=""),"",MAX(0,$K390-$J390))</f>
        <v/>
      </c>
      <c r="V390" s="31" t="str">
        <f aca="false">IF($E390="","",IF(AND($M390&lt;&gt;"",$J390&lt;&gt;"",$M390&lt;&gt;$J390),1,0))</f>
        <v/>
      </c>
      <c r="W390" s="39" t="str">
        <f aca="false">IF($E390="","",IF($L390="Cancelada",0,IF(OR($K390&lt;&gt;"",$L390="Concluída"),1,0)))</f>
        <v/>
      </c>
    </row>
    <row r="391" customFormat="false" ht="15" hidden="false" customHeight="true" outlineLevel="0" collapsed="false">
      <c r="A391" s="31" t="str">
        <f aca="false">IF($E391="","",COUNTA($E$5:$E391))</f>
        <v/>
      </c>
      <c r="B391" s="32"/>
      <c r="C391" s="32"/>
      <c r="D391" s="32"/>
      <c r="E391" s="32"/>
      <c r="F391" s="33"/>
      <c r="G391" s="32"/>
      <c r="H391" s="34"/>
      <c r="I391" s="35"/>
      <c r="J391" s="36" t="str">
        <f aca="false">IF(OR($H391="",$I391=""),"",$H391+MATCH($I391,Listas!$F$5:$F$11,0)-1)</f>
        <v/>
      </c>
      <c r="K391" s="37"/>
      <c r="L391" s="33"/>
      <c r="M391" s="37"/>
      <c r="N391" s="32"/>
      <c r="O391" s="32"/>
      <c r="P391" s="38" t="str">
        <f aca="true">IF($E391="","",IF($L391="Cancelada","Cancelada",IF(OR($K391&lt;&gt;"",$L391="Concluída"),IF(OR($J391="",$K391="",$K391&lt;=$J391),"Concluída","Concluída com atraso"),IF($J391="","Na carteira",IF($J391&lt;TODAY(),"VENCIDA",IF($L391="Em execução","Em execução",IF($J391=TODAY(),"Hoje","Programada")))))))</f>
        <v/>
      </c>
      <c r="Q391" s="31" t="str">
        <f aca="false">IF($E391="","",IF(ISNUMBER(SEARCH("(externo)",$G391)),"Terceirizada","Interna"))</f>
        <v/>
      </c>
      <c r="R391" s="36" t="str">
        <f aca="false">IF($J391="","",IF($M391="",$J391,$M391))</f>
        <v/>
      </c>
      <c r="S391" s="31" t="str">
        <f aca="false">IF($E391="","",IF(OR($K391="",$J391=""),0,IF($K391&lt;=$J391,1,0)))</f>
        <v/>
      </c>
      <c r="T391" s="31" t="str">
        <f aca="false">IF($E391="","",IF(OR($K391="",$R391=""),0,IF($K391&lt;=$R391,1,0)))</f>
        <v/>
      </c>
      <c r="U391" s="38" t="str">
        <f aca="false">IF(OR($K391="",$J391=""),"",MAX(0,$K391-$J391))</f>
        <v/>
      </c>
      <c r="V391" s="31" t="str">
        <f aca="false">IF($E391="","",IF(AND($M391&lt;&gt;"",$J391&lt;&gt;"",$M391&lt;&gt;$J391),1,0))</f>
        <v/>
      </c>
      <c r="W391" s="39" t="str">
        <f aca="false">IF($E391="","",IF($L391="Cancelada",0,IF(OR($K391&lt;&gt;"",$L391="Concluída"),1,0)))</f>
        <v/>
      </c>
    </row>
    <row r="392" customFormat="false" ht="15" hidden="false" customHeight="true" outlineLevel="0" collapsed="false">
      <c r="A392" s="31" t="str">
        <f aca="false">IF($E392="","",COUNTA($E$5:$E392))</f>
        <v/>
      </c>
      <c r="B392" s="32"/>
      <c r="C392" s="32"/>
      <c r="D392" s="32"/>
      <c r="E392" s="32"/>
      <c r="F392" s="33"/>
      <c r="G392" s="32"/>
      <c r="H392" s="34"/>
      <c r="I392" s="35"/>
      <c r="J392" s="36" t="str">
        <f aca="false">IF(OR($H392="",$I392=""),"",$H392+MATCH($I392,Listas!$F$5:$F$11,0)-1)</f>
        <v/>
      </c>
      <c r="K392" s="37"/>
      <c r="L392" s="33"/>
      <c r="M392" s="37"/>
      <c r="N392" s="32"/>
      <c r="O392" s="32"/>
      <c r="P392" s="38" t="str">
        <f aca="true">IF($E392="","",IF($L392="Cancelada","Cancelada",IF(OR($K392&lt;&gt;"",$L392="Concluída"),IF(OR($J392="",$K392="",$K392&lt;=$J392),"Concluída","Concluída com atraso"),IF($J392="","Na carteira",IF($J392&lt;TODAY(),"VENCIDA",IF($L392="Em execução","Em execução",IF($J392=TODAY(),"Hoje","Programada")))))))</f>
        <v/>
      </c>
      <c r="Q392" s="31" t="str">
        <f aca="false">IF($E392="","",IF(ISNUMBER(SEARCH("(externo)",$G392)),"Terceirizada","Interna"))</f>
        <v/>
      </c>
      <c r="R392" s="36" t="str">
        <f aca="false">IF($J392="","",IF($M392="",$J392,$M392))</f>
        <v/>
      </c>
      <c r="S392" s="31" t="str">
        <f aca="false">IF($E392="","",IF(OR($K392="",$J392=""),0,IF($K392&lt;=$J392,1,0)))</f>
        <v/>
      </c>
      <c r="T392" s="31" t="str">
        <f aca="false">IF($E392="","",IF(OR($K392="",$R392=""),0,IF($K392&lt;=$R392,1,0)))</f>
        <v/>
      </c>
      <c r="U392" s="38" t="str">
        <f aca="false">IF(OR($K392="",$J392=""),"",MAX(0,$K392-$J392))</f>
        <v/>
      </c>
      <c r="V392" s="31" t="str">
        <f aca="false">IF($E392="","",IF(AND($M392&lt;&gt;"",$J392&lt;&gt;"",$M392&lt;&gt;$J392),1,0))</f>
        <v/>
      </c>
      <c r="W392" s="39" t="str">
        <f aca="false">IF($E392="","",IF($L392="Cancelada",0,IF(OR($K392&lt;&gt;"",$L392="Concluída"),1,0)))</f>
        <v/>
      </c>
    </row>
    <row r="393" customFormat="false" ht="15" hidden="false" customHeight="true" outlineLevel="0" collapsed="false">
      <c r="A393" s="31" t="str">
        <f aca="false">IF($E393="","",COUNTA($E$5:$E393))</f>
        <v/>
      </c>
      <c r="B393" s="32"/>
      <c r="C393" s="32"/>
      <c r="D393" s="32"/>
      <c r="E393" s="32"/>
      <c r="F393" s="33"/>
      <c r="G393" s="32"/>
      <c r="H393" s="34"/>
      <c r="I393" s="35"/>
      <c r="J393" s="36" t="str">
        <f aca="false">IF(OR($H393="",$I393=""),"",$H393+MATCH($I393,Listas!$F$5:$F$11,0)-1)</f>
        <v/>
      </c>
      <c r="K393" s="37"/>
      <c r="L393" s="33"/>
      <c r="M393" s="37"/>
      <c r="N393" s="32"/>
      <c r="O393" s="32"/>
      <c r="P393" s="38" t="str">
        <f aca="true">IF($E393="","",IF($L393="Cancelada","Cancelada",IF(OR($K393&lt;&gt;"",$L393="Concluída"),IF(OR($J393="",$K393="",$K393&lt;=$J393),"Concluída","Concluída com atraso"),IF($J393="","Na carteira",IF($J393&lt;TODAY(),"VENCIDA",IF($L393="Em execução","Em execução",IF($J393=TODAY(),"Hoje","Programada")))))))</f>
        <v/>
      </c>
      <c r="Q393" s="31" t="str">
        <f aca="false">IF($E393="","",IF(ISNUMBER(SEARCH("(externo)",$G393)),"Terceirizada","Interna"))</f>
        <v/>
      </c>
      <c r="R393" s="36" t="str">
        <f aca="false">IF($J393="","",IF($M393="",$J393,$M393))</f>
        <v/>
      </c>
      <c r="S393" s="31" t="str">
        <f aca="false">IF($E393="","",IF(OR($K393="",$J393=""),0,IF($K393&lt;=$J393,1,0)))</f>
        <v/>
      </c>
      <c r="T393" s="31" t="str">
        <f aca="false">IF($E393="","",IF(OR($K393="",$R393=""),0,IF($K393&lt;=$R393,1,0)))</f>
        <v/>
      </c>
      <c r="U393" s="38" t="str">
        <f aca="false">IF(OR($K393="",$J393=""),"",MAX(0,$K393-$J393))</f>
        <v/>
      </c>
      <c r="V393" s="31" t="str">
        <f aca="false">IF($E393="","",IF(AND($M393&lt;&gt;"",$J393&lt;&gt;"",$M393&lt;&gt;$J393),1,0))</f>
        <v/>
      </c>
      <c r="W393" s="39" t="str">
        <f aca="false">IF($E393="","",IF($L393="Cancelada",0,IF(OR($K393&lt;&gt;"",$L393="Concluída"),1,0)))</f>
        <v/>
      </c>
    </row>
    <row r="394" customFormat="false" ht="15" hidden="false" customHeight="true" outlineLevel="0" collapsed="false">
      <c r="A394" s="31" t="str">
        <f aca="false">IF($E394="","",COUNTA($E$5:$E394))</f>
        <v/>
      </c>
      <c r="B394" s="32"/>
      <c r="C394" s="32"/>
      <c r="D394" s="32"/>
      <c r="E394" s="32"/>
      <c r="F394" s="33"/>
      <c r="G394" s="32"/>
      <c r="H394" s="34"/>
      <c r="I394" s="35"/>
      <c r="J394" s="36" t="str">
        <f aca="false">IF(OR($H394="",$I394=""),"",$H394+MATCH($I394,Listas!$F$5:$F$11,0)-1)</f>
        <v/>
      </c>
      <c r="K394" s="37"/>
      <c r="L394" s="33"/>
      <c r="M394" s="37"/>
      <c r="N394" s="32"/>
      <c r="O394" s="32"/>
      <c r="P394" s="38" t="str">
        <f aca="true">IF($E394="","",IF($L394="Cancelada","Cancelada",IF(OR($K394&lt;&gt;"",$L394="Concluída"),IF(OR($J394="",$K394="",$K394&lt;=$J394),"Concluída","Concluída com atraso"),IF($J394="","Na carteira",IF($J394&lt;TODAY(),"VENCIDA",IF($L394="Em execução","Em execução",IF($J394=TODAY(),"Hoje","Programada")))))))</f>
        <v/>
      </c>
      <c r="Q394" s="31" t="str">
        <f aca="false">IF($E394="","",IF(ISNUMBER(SEARCH("(externo)",$G394)),"Terceirizada","Interna"))</f>
        <v/>
      </c>
      <c r="R394" s="36" t="str">
        <f aca="false">IF($J394="","",IF($M394="",$J394,$M394))</f>
        <v/>
      </c>
      <c r="S394" s="31" t="str">
        <f aca="false">IF($E394="","",IF(OR($K394="",$J394=""),0,IF($K394&lt;=$J394,1,0)))</f>
        <v/>
      </c>
      <c r="T394" s="31" t="str">
        <f aca="false">IF($E394="","",IF(OR($K394="",$R394=""),0,IF($K394&lt;=$R394,1,0)))</f>
        <v/>
      </c>
      <c r="U394" s="38" t="str">
        <f aca="false">IF(OR($K394="",$J394=""),"",MAX(0,$K394-$J394))</f>
        <v/>
      </c>
      <c r="V394" s="31" t="str">
        <f aca="false">IF($E394="","",IF(AND($M394&lt;&gt;"",$J394&lt;&gt;"",$M394&lt;&gt;$J394),1,0))</f>
        <v/>
      </c>
      <c r="W394" s="39" t="str">
        <f aca="false">IF($E394="","",IF($L394="Cancelada",0,IF(OR($K394&lt;&gt;"",$L394="Concluída"),1,0)))</f>
        <v/>
      </c>
    </row>
    <row r="395" customFormat="false" ht="15" hidden="false" customHeight="true" outlineLevel="0" collapsed="false">
      <c r="A395" s="31" t="str">
        <f aca="false">IF($E395="","",COUNTA($E$5:$E395))</f>
        <v/>
      </c>
      <c r="B395" s="32"/>
      <c r="C395" s="32"/>
      <c r="D395" s="32"/>
      <c r="E395" s="32"/>
      <c r="F395" s="33"/>
      <c r="G395" s="32"/>
      <c r="H395" s="34"/>
      <c r="I395" s="35"/>
      <c r="J395" s="36" t="str">
        <f aca="false">IF(OR($H395="",$I395=""),"",$H395+MATCH($I395,Listas!$F$5:$F$11,0)-1)</f>
        <v/>
      </c>
      <c r="K395" s="37"/>
      <c r="L395" s="33"/>
      <c r="M395" s="37"/>
      <c r="N395" s="32"/>
      <c r="O395" s="32"/>
      <c r="P395" s="38" t="str">
        <f aca="true">IF($E395="","",IF($L395="Cancelada","Cancelada",IF(OR($K395&lt;&gt;"",$L395="Concluída"),IF(OR($J395="",$K395="",$K395&lt;=$J395),"Concluída","Concluída com atraso"),IF($J395="","Na carteira",IF($J395&lt;TODAY(),"VENCIDA",IF($L395="Em execução","Em execução",IF($J395=TODAY(),"Hoje","Programada")))))))</f>
        <v/>
      </c>
      <c r="Q395" s="31" t="str">
        <f aca="false">IF($E395="","",IF(ISNUMBER(SEARCH("(externo)",$G395)),"Terceirizada","Interna"))</f>
        <v/>
      </c>
      <c r="R395" s="36" t="str">
        <f aca="false">IF($J395="","",IF($M395="",$J395,$M395))</f>
        <v/>
      </c>
      <c r="S395" s="31" t="str">
        <f aca="false">IF($E395="","",IF(OR($K395="",$J395=""),0,IF($K395&lt;=$J395,1,0)))</f>
        <v/>
      </c>
      <c r="T395" s="31" t="str">
        <f aca="false">IF($E395="","",IF(OR($K395="",$R395=""),0,IF($K395&lt;=$R395,1,0)))</f>
        <v/>
      </c>
      <c r="U395" s="38" t="str">
        <f aca="false">IF(OR($K395="",$J395=""),"",MAX(0,$K395-$J395))</f>
        <v/>
      </c>
      <c r="V395" s="31" t="str">
        <f aca="false">IF($E395="","",IF(AND($M395&lt;&gt;"",$J395&lt;&gt;"",$M395&lt;&gt;$J395),1,0))</f>
        <v/>
      </c>
      <c r="W395" s="39" t="str">
        <f aca="false">IF($E395="","",IF($L395="Cancelada",0,IF(OR($K395&lt;&gt;"",$L395="Concluída"),1,0)))</f>
        <v/>
      </c>
    </row>
    <row r="396" customFormat="false" ht="15" hidden="false" customHeight="true" outlineLevel="0" collapsed="false">
      <c r="A396" s="31" t="str">
        <f aca="false">IF($E396="","",COUNTA($E$5:$E396))</f>
        <v/>
      </c>
      <c r="B396" s="32"/>
      <c r="C396" s="32"/>
      <c r="D396" s="32"/>
      <c r="E396" s="32"/>
      <c r="F396" s="33"/>
      <c r="G396" s="32"/>
      <c r="H396" s="34"/>
      <c r="I396" s="35"/>
      <c r="J396" s="36" t="str">
        <f aca="false">IF(OR($H396="",$I396=""),"",$H396+MATCH($I396,Listas!$F$5:$F$11,0)-1)</f>
        <v/>
      </c>
      <c r="K396" s="37"/>
      <c r="L396" s="33"/>
      <c r="M396" s="37"/>
      <c r="N396" s="32"/>
      <c r="O396" s="32"/>
      <c r="P396" s="38" t="str">
        <f aca="true">IF($E396="","",IF($L396="Cancelada","Cancelada",IF(OR($K396&lt;&gt;"",$L396="Concluída"),IF(OR($J396="",$K396="",$K396&lt;=$J396),"Concluída","Concluída com atraso"),IF($J396="","Na carteira",IF($J396&lt;TODAY(),"VENCIDA",IF($L396="Em execução","Em execução",IF($J396=TODAY(),"Hoje","Programada")))))))</f>
        <v/>
      </c>
      <c r="Q396" s="31" t="str">
        <f aca="false">IF($E396="","",IF(ISNUMBER(SEARCH("(externo)",$G396)),"Terceirizada","Interna"))</f>
        <v/>
      </c>
      <c r="R396" s="36" t="str">
        <f aca="false">IF($J396="","",IF($M396="",$J396,$M396))</f>
        <v/>
      </c>
      <c r="S396" s="31" t="str">
        <f aca="false">IF($E396="","",IF(OR($K396="",$J396=""),0,IF($K396&lt;=$J396,1,0)))</f>
        <v/>
      </c>
      <c r="T396" s="31" t="str">
        <f aca="false">IF($E396="","",IF(OR($K396="",$R396=""),0,IF($K396&lt;=$R396,1,0)))</f>
        <v/>
      </c>
      <c r="U396" s="38" t="str">
        <f aca="false">IF(OR($K396="",$J396=""),"",MAX(0,$K396-$J396))</f>
        <v/>
      </c>
      <c r="V396" s="31" t="str">
        <f aca="false">IF($E396="","",IF(AND($M396&lt;&gt;"",$J396&lt;&gt;"",$M396&lt;&gt;$J396),1,0))</f>
        <v/>
      </c>
      <c r="W396" s="39" t="str">
        <f aca="false">IF($E396="","",IF($L396="Cancelada",0,IF(OR($K396&lt;&gt;"",$L396="Concluída"),1,0)))</f>
        <v/>
      </c>
    </row>
    <row r="397" customFormat="false" ht="15" hidden="false" customHeight="true" outlineLevel="0" collapsed="false">
      <c r="A397" s="31" t="str">
        <f aca="false">IF($E397="","",COUNTA($E$5:$E397))</f>
        <v/>
      </c>
      <c r="B397" s="32"/>
      <c r="C397" s="32"/>
      <c r="D397" s="32"/>
      <c r="E397" s="32"/>
      <c r="F397" s="33"/>
      <c r="G397" s="32"/>
      <c r="H397" s="34"/>
      <c r="I397" s="35"/>
      <c r="J397" s="36" t="str">
        <f aca="false">IF(OR($H397="",$I397=""),"",$H397+MATCH($I397,Listas!$F$5:$F$11,0)-1)</f>
        <v/>
      </c>
      <c r="K397" s="37"/>
      <c r="L397" s="33"/>
      <c r="M397" s="37"/>
      <c r="N397" s="32"/>
      <c r="O397" s="32"/>
      <c r="P397" s="38" t="str">
        <f aca="true">IF($E397="","",IF($L397="Cancelada","Cancelada",IF(OR($K397&lt;&gt;"",$L397="Concluída"),IF(OR($J397="",$K397="",$K397&lt;=$J397),"Concluída","Concluída com atraso"),IF($J397="","Na carteira",IF($J397&lt;TODAY(),"VENCIDA",IF($L397="Em execução","Em execução",IF($J397=TODAY(),"Hoje","Programada")))))))</f>
        <v/>
      </c>
      <c r="Q397" s="31" t="str">
        <f aca="false">IF($E397="","",IF(ISNUMBER(SEARCH("(externo)",$G397)),"Terceirizada","Interna"))</f>
        <v/>
      </c>
      <c r="R397" s="36" t="str">
        <f aca="false">IF($J397="","",IF($M397="",$J397,$M397))</f>
        <v/>
      </c>
      <c r="S397" s="31" t="str">
        <f aca="false">IF($E397="","",IF(OR($K397="",$J397=""),0,IF($K397&lt;=$J397,1,0)))</f>
        <v/>
      </c>
      <c r="T397" s="31" t="str">
        <f aca="false">IF($E397="","",IF(OR($K397="",$R397=""),0,IF($K397&lt;=$R397,1,0)))</f>
        <v/>
      </c>
      <c r="U397" s="38" t="str">
        <f aca="false">IF(OR($K397="",$J397=""),"",MAX(0,$K397-$J397))</f>
        <v/>
      </c>
      <c r="V397" s="31" t="str">
        <f aca="false">IF($E397="","",IF(AND($M397&lt;&gt;"",$J397&lt;&gt;"",$M397&lt;&gt;$J397),1,0))</f>
        <v/>
      </c>
      <c r="W397" s="39" t="str">
        <f aca="false">IF($E397="","",IF($L397="Cancelada",0,IF(OR($K397&lt;&gt;"",$L397="Concluída"),1,0)))</f>
        <v/>
      </c>
    </row>
    <row r="398" customFormat="false" ht="15" hidden="false" customHeight="true" outlineLevel="0" collapsed="false">
      <c r="A398" s="31" t="str">
        <f aca="false">IF($E398="","",COUNTA($E$5:$E398))</f>
        <v/>
      </c>
      <c r="B398" s="32"/>
      <c r="C398" s="32"/>
      <c r="D398" s="32"/>
      <c r="E398" s="32"/>
      <c r="F398" s="33"/>
      <c r="G398" s="32"/>
      <c r="H398" s="34"/>
      <c r="I398" s="35"/>
      <c r="J398" s="36" t="str">
        <f aca="false">IF(OR($H398="",$I398=""),"",$H398+MATCH($I398,Listas!$F$5:$F$11,0)-1)</f>
        <v/>
      </c>
      <c r="K398" s="37"/>
      <c r="L398" s="33"/>
      <c r="M398" s="37"/>
      <c r="N398" s="32"/>
      <c r="O398" s="32"/>
      <c r="P398" s="38" t="str">
        <f aca="true">IF($E398="","",IF($L398="Cancelada","Cancelada",IF(OR($K398&lt;&gt;"",$L398="Concluída"),IF(OR($J398="",$K398="",$K398&lt;=$J398),"Concluída","Concluída com atraso"),IF($J398="","Na carteira",IF($J398&lt;TODAY(),"VENCIDA",IF($L398="Em execução","Em execução",IF($J398=TODAY(),"Hoje","Programada")))))))</f>
        <v/>
      </c>
      <c r="Q398" s="31" t="str">
        <f aca="false">IF($E398="","",IF(ISNUMBER(SEARCH("(externo)",$G398)),"Terceirizada","Interna"))</f>
        <v/>
      </c>
      <c r="R398" s="36" t="str">
        <f aca="false">IF($J398="","",IF($M398="",$J398,$M398))</f>
        <v/>
      </c>
      <c r="S398" s="31" t="str">
        <f aca="false">IF($E398="","",IF(OR($K398="",$J398=""),0,IF($K398&lt;=$J398,1,0)))</f>
        <v/>
      </c>
      <c r="T398" s="31" t="str">
        <f aca="false">IF($E398="","",IF(OR($K398="",$R398=""),0,IF($K398&lt;=$R398,1,0)))</f>
        <v/>
      </c>
      <c r="U398" s="38" t="str">
        <f aca="false">IF(OR($K398="",$J398=""),"",MAX(0,$K398-$J398))</f>
        <v/>
      </c>
      <c r="V398" s="31" t="str">
        <f aca="false">IF($E398="","",IF(AND($M398&lt;&gt;"",$J398&lt;&gt;"",$M398&lt;&gt;$J398),1,0))</f>
        <v/>
      </c>
      <c r="W398" s="39" t="str">
        <f aca="false">IF($E398="","",IF($L398="Cancelada",0,IF(OR($K398&lt;&gt;"",$L398="Concluída"),1,0)))</f>
        <v/>
      </c>
    </row>
    <row r="399" customFormat="false" ht="15" hidden="false" customHeight="true" outlineLevel="0" collapsed="false">
      <c r="A399" s="31" t="str">
        <f aca="false">IF($E399="","",COUNTA($E$5:$E399))</f>
        <v/>
      </c>
      <c r="B399" s="32"/>
      <c r="C399" s="32"/>
      <c r="D399" s="32"/>
      <c r="E399" s="32"/>
      <c r="F399" s="33"/>
      <c r="G399" s="32"/>
      <c r="H399" s="34"/>
      <c r="I399" s="35"/>
      <c r="J399" s="36" t="str">
        <f aca="false">IF(OR($H399="",$I399=""),"",$H399+MATCH($I399,Listas!$F$5:$F$11,0)-1)</f>
        <v/>
      </c>
      <c r="K399" s="37"/>
      <c r="L399" s="33"/>
      <c r="M399" s="37"/>
      <c r="N399" s="32"/>
      <c r="O399" s="32"/>
      <c r="P399" s="38" t="str">
        <f aca="true">IF($E399="","",IF($L399="Cancelada","Cancelada",IF(OR($K399&lt;&gt;"",$L399="Concluída"),IF(OR($J399="",$K399="",$K399&lt;=$J399),"Concluída","Concluída com atraso"),IF($J399="","Na carteira",IF($J399&lt;TODAY(),"VENCIDA",IF($L399="Em execução","Em execução",IF($J399=TODAY(),"Hoje","Programada")))))))</f>
        <v/>
      </c>
      <c r="Q399" s="31" t="str">
        <f aca="false">IF($E399="","",IF(ISNUMBER(SEARCH("(externo)",$G399)),"Terceirizada","Interna"))</f>
        <v/>
      </c>
      <c r="R399" s="36" t="str">
        <f aca="false">IF($J399="","",IF($M399="",$J399,$M399))</f>
        <v/>
      </c>
      <c r="S399" s="31" t="str">
        <f aca="false">IF($E399="","",IF(OR($K399="",$J399=""),0,IF($K399&lt;=$J399,1,0)))</f>
        <v/>
      </c>
      <c r="T399" s="31" t="str">
        <f aca="false">IF($E399="","",IF(OR($K399="",$R399=""),0,IF($K399&lt;=$R399,1,0)))</f>
        <v/>
      </c>
      <c r="U399" s="38" t="str">
        <f aca="false">IF(OR($K399="",$J399=""),"",MAX(0,$K399-$J399))</f>
        <v/>
      </c>
      <c r="V399" s="31" t="str">
        <f aca="false">IF($E399="","",IF(AND($M399&lt;&gt;"",$J399&lt;&gt;"",$M399&lt;&gt;$J399),1,0))</f>
        <v/>
      </c>
      <c r="W399" s="39" t="str">
        <f aca="false">IF($E399="","",IF($L399="Cancelada",0,IF(OR($K399&lt;&gt;"",$L399="Concluída"),1,0)))</f>
        <v/>
      </c>
    </row>
    <row r="400" customFormat="false" ht="15" hidden="false" customHeight="true" outlineLevel="0" collapsed="false">
      <c r="A400" s="31" t="str">
        <f aca="false">IF($E400="","",COUNTA($E$5:$E400))</f>
        <v/>
      </c>
      <c r="B400" s="32"/>
      <c r="C400" s="32"/>
      <c r="D400" s="32"/>
      <c r="E400" s="32"/>
      <c r="F400" s="33"/>
      <c r="G400" s="32"/>
      <c r="H400" s="34"/>
      <c r="I400" s="35"/>
      <c r="J400" s="36" t="str">
        <f aca="false">IF(OR($H400="",$I400=""),"",$H400+MATCH($I400,Listas!$F$5:$F$11,0)-1)</f>
        <v/>
      </c>
      <c r="K400" s="37"/>
      <c r="L400" s="33"/>
      <c r="M400" s="37"/>
      <c r="N400" s="32"/>
      <c r="O400" s="32"/>
      <c r="P400" s="38" t="str">
        <f aca="true">IF($E400="","",IF($L400="Cancelada","Cancelada",IF(OR($K400&lt;&gt;"",$L400="Concluída"),IF(OR($J400="",$K400="",$K400&lt;=$J400),"Concluída","Concluída com atraso"),IF($J400="","Na carteira",IF($J400&lt;TODAY(),"VENCIDA",IF($L400="Em execução","Em execução",IF($J400=TODAY(),"Hoje","Programada")))))))</f>
        <v/>
      </c>
      <c r="Q400" s="31" t="str">
        <f aca="false">IF($E400="","",IF(ISNUMBER(SEARCH("(externo)",$G400)),"Terceirizada","Interna"))</f>
        <v/>
      </c>
      <c r="R400" s="36" t="str">
        <f aca="false">IF($J400="","",IF($M400="",$J400,$M400))</f>
        <v/>
      </c>
      <c r="S400" s="31" t="str">
        <f aca="false">IF($E400="","",IF(OR($K400="",$J400=""),0,IF($K400&lt;=$J400,1,0)))</f>
        <v/>
      </c>
      <c r="T400" s="31" t="str">
        <f aca="false">IF($E400="","",IF(OR($K400="",$R400=""),0,IF($K400&lt;=$R400,1,0)))</f>
        <v/>
      </c>
      <c r="U400" s="38" t="str">
        <f aca="false">IF(OR($K400="",$J400=""),"",MAX(0,$K400-$J400))</f>
        <v/>
      </c>
      <c r="V400" s="31" t="str">
        <f aca="false">IF($E400="","",IF(AND($M400&lt;&gt;"",$J400&lt;&gt;"",$M400&lt;&gt;$J400),1,0))</f>
        <v/>
      </c>
      <c r="W400" s="39" t="str">
        <f aca="false">IF($E400="","",IF($L400="Cancelada",0,IF(OR($K400&lt;&gt;"",$L400="Concluída"),1,0)))</f>
        <v/>
      </c>
    </row>
    <row r="401" customFormat="false" ht="15" hidden="false" customHeight="true" outlineLevel="0" collapsed="false">
      <c r="A401" s="31" t="str">
        <f aca="false">IF($E401="","",COUNTA($E$5:$E401))</f>
        <v/>
      </c>
      <c r="B401" s="32"/>
      <c r="C401" s="32"/>
      <c r="D401" s="32"/>
      <c r="E401" s="32"/>
      <c r="F401" s="33"/>
      <c r="G401" s="32"/>
      <c r="H401" s="34"/>
      <c r="I401" s="35"/>
      <c r="J401" s="36" t="str">
        <f aca="false">IF(OR($H401="",$I401=""),"",$H401+MATCH($I401,Listas!$F$5:$F$11,0)-1)</f>
        <v/>
      </c>
      <c r="K401" s="37"/>
      <c r="L401" s="33"/>
      <c r="M401" s="37"/>
      <c r="N401" s="32"/>
      <c r="O401" s="32"/>
      <c r="P401" s="38" t="str">
        <f aca="true">IF($E401="","",IF($L401="Cancelada","Cancelada",IF(OR($K401&lt;&gt;"",$L401="Concluída"),IF(OR($J401="",$K401="",$K401&lt;=$J401),"Concluída","Concluída com atraso"),IF($J401="","Na carteira",IF($J401&lt;TODAY(),"VENCIDA",IF($L401="Em execução","Em execução",IF($J401=TODAY(),"Hoje","Programada")))))))</f>
        <v/>
      </c>
      <c r="Q401" s="31" t="str">
        <f aca="false">IF($E401="","",IF(ISNUMBER(SEARCH("(externo)",$G401)),"Terceirizada","Interna"))</f>
        <v/>
      </c>
      <c r="R401" s="36" t="str">
        <f aca="false">IF($J401="","",IF($M401="",$J401,$M401))</f>
        <v/>
      </c>
      <c r="S401" s="31" t="str">
        <f aca="false">IF($E401="","",IF(OR($K401="",$J401=""),0,IF($K401&lt;=$J401,1,0)))</f>
        <v/>
      </c>
      <c r="T401" s="31" t="str">
        <f aca="false">IF($E401="","",IF(OR($K401="",$R401=""),0,IF($K401&lt;=$R401,1,0)))</f>
        <v/>
      </c>
      <c r="U401" s="38" t="str">
        <f aca="false">IF(OR($K401="",$J401=""),"",MAX(0,$K401-$J401))</f>
        <v/>
      </c>
      <c r="V401" s="31" t="str">
        <f aca="false">IF($E401="","",IF(AND($M401&lt;&gt;"",$J401&lt;&gt;"",$M401&lt;&gt;$J401),1,0))</f>
        <v/>
      </c>
      <c r="W401" s="39" t="str">
        <f aca="false">IF($E401="","",IF($L401="Cancelada",0,IF(OR($K401&lt;&gt;"",$L401="Concluída"),1,0)))</f>
        <v/>
      </c>
    </row>
    <row r="402" customFormat="false" ht="15" hidden="false" customHeight="true" outlineLevel="0" collapsed="false">
      <c r="A402" s="31" t="str">
        <f aca="false">IF($E402="","",COUNTA($E$5:$E402))</f>
        <v/>
      </c>
      <c r="B402" s="32"/>
      <c r="C402" s="32"/>
      <c r="D402" s="32"/>
      <c r="E402" s="32"/>
      <c r="F402" s="33"/>
      <c r="G402" s="32"/>
      <c r="H402" s="34"/>
      <c r="I402" s="35"/>
      <c r="J402" s="36" t="str">
        <f aca="false">IF(OR($H402="",$I402=""),"",$H402+MATCH($I402,Listas!$F$5:$F$11,0)-1)</f>
        <v/>
      </c>
      <c r="K402" s="37"/>
      <c r="L402" s="33"/>
      <c r="M402" s="37"/>
      <c r="N402" s="32"/>
      <c r="O402" s="32"/>
      <c r="P402" s="38" t="str">
        <f aca="true">IF($E402="","",IF($L402="Cancelada","Cancelada",IF(OR($K402&lt;&gt;"",$L402="Concluída"),IF(OR($J402="",$K402="",$K402&lt;=$J402),"Concluída","Concluída com atraso"),IF($J402="","Na carteira",IF($J402&lt;TODAY(),"VENCIDA",IF($L402="Em execução","Em execução",IF($J402=TODAY(),"Hoje","Programada")))))))</f>
        <v/>
      </c>
      <c r="Q402" s="31" t="str">
        <f aca="false">IF($E402="","",IF(ISNUMBER(SEARCH("(externo)",$G402)),"Terceirizada","Interna"))</f>
        <v/>
      </c>
      <c r="R402" s="36" t="str">
        <f aca="false">IF($J402="","",IF($M402="",$J402,$M402))</f>
        <v/>
      </c>
      <c r="S402" s="31" t="str">
        <f aca="false">IF($E402="","",IF(OR($K402="",$J402=""),0,IF($K402&lt;=$J402,1,0)))</f>
        <v/>
      </c>
      <c r="T402" s="31" t="str">
        <f aca="false">IF($E402="","",IF(OR($K402="",$R402=""),0,IF($K402&lt;=$R402,1,0)))</f>
        <v/>
      </c>
      <c r="U402" s="38" t="str">
        <f aca="false">IF(OR($K402="",$J402=""),"",MAX(0,$K402-$J402))</f>
        <v/>
      </c>
      <c r="V402" s="31" t="str">
        <f aca="false">IF($E402="","",IF(AND($M402&lt;&gt;"",$J402&lt;&gt;"",$M402&lt;&gt;$J402),1,0))</f>
        <v/>
      </c>
      <c r="W402" s="39" t="str">
        <f aca="false">IF($E402="","",IF($L402="Cancelada",0,IF(OR($K402&lt;&gt;"",$L402="Concluída"),1,0)))</f>
        <v/>
      </c>
    </row>
    <row r="403" customFormat="false" ht="15" hidden="false" customHeight="true" outlineLevel="0" collapsed="false">
      <c r="A403" s="31" t="str">
        <f aca="false">IF($E403="","",COUNTA($E$5:$E403))</f>
        <v/>
      </c>
      <c r="B403" s="32"/>
      <c r="C403" s="32"/>
      <c r="D403" s="32"/>
      <c r="E403" s="32"/>
      <c r="F403" s="33"/>
      <c r="G403" s="32"/>
      <c r="H403" s="34"/>
      <c r="I403" s="35"/>
      <c r="J403" s="36" t="str">
        <f aca="false">IF(OR($H403="",$I403=""),"",$H403+MATCH($I403,Listas!$F$5:$F$11,0)-1)</f>
        <v/>
      </c>
      <c r="K403" s="37"/>
      <c r="L403" s="33"/>
      <c r="M403" s="37"/>
      <c r="N403" s="32"/>
      <c r="O403" s="32"/>
      <c r="P403" s="38" t="str">
        <f aca="true">IF($E403="","",IF($L403="Cancelada","Cancelada",IF(OR($K403&lt;&gt;"",$L403="Concluída"),IF(OR($J403="",$K403="",$K403&lt;=$J403),"Concluída","Concluída com atraso"),IF($J403="","Na carteira",IF($J403&lt;TODAY(),"VENCIDA",IF($L403="Em execução","Em execução",IF($J403=TODAY(),"Hoje","Programada")))))))</f>
        <v/>
      </c>
      <c r="Q403" s="31" t="str">
        <f aca="false">IF($E403="","",IF(ISNUMBER(SEARCH("(externo)",$G403)),"Terceirizada","Interna"))</f>
        <v/>
      </c>
      <c r="R403" s="36" t="str">
        <f aca="false">IF($J403="","",IF($M403="",$J403,$M403))</f>
        <v/>
      </c>
      <c r="S403" s="31" t="str">
        <f aca="false">IF($E403="","",IF(OR($K403="",$J403=""),0,IF($K403&lt;=$J403,1,0)))</f>
        <v/>
      </c>
      <c r="T403" s="31" t="str">
        <f aca="false">IF($E403="","",IF(OR($K403="",$R403=""),0,IF($K403&lt;=$R403,1,0)))</f>
        <v/>
      </c>
      <c r="U403" s="38" t="str">
        <f aca="false">IF(OR($K403="",$J403=""),"",MAX(0,$K403-$J403))</f>
        <v/>
      </c>
      <c r="V403" s="31" t="str">
        <f aca="false">IF($E403="","",IF(AND($M403&lt;&gt;"",$J403&lt;&gt;"",$M403&lt;&gt;$J403),1,0))</f>
        <v/>
      </c>
      <c r="W403" s="39" t="str">
        <f aca="false">IF($E403="","",IF($L403="Cancelada",0,IF(OR($K403&lt;&gt;"",$L403="Concluída"),1,0)))</f>
        <v/>
      </c>
    </row>
    <row r="404" customFormat="false" ht="15" hidden="false" customHeight="true" outlineLevel="0" collapsed="false">
      <c r="A404" s="31" t="str">
        <f aca="false">IF($E404="","",COUNTA($E$5:$E404))</f>
        <v/>
      </c>
      <c r="B404" s="32"/>
      <c r="C404" s="32"/>
      <c r="D404" s="32"/>
      <c r="E404" s="32"/>
      <c r="F404" s="33"/>
      <c r="G404" s="32"/>
      <c r="H404" s="34"/>
      <c r="I404" s="35"/>
      <c r="J404" s="36" t="str">
        <f aca="false">IF(OR($H404="",$I404=""),"",$H404+MATCH($I404,Listas!$F$5:$F$11,0)-1)</f>
        <v/>
      </c>
      <c r="K404" s="37"/>
      <c r="L404" s="33"/>
      <c r="M404" s="37"/>
      <c r="N404" s="32"/>
      <c r="O404" s="32"/>
      <c r="P404" s="38" t="str">
        <f aca="true">IF($E404="","",IF($L404="Cancelada","Cancelada",IF(OR($K404&lt;&gt;"",$L404="Concluída"),IF(OR($J404="",$K404="",$K404&lt;=$J404),"Concluída","Concluída com atraso"),IF($J404="","Na carteira",IF($J404&lt;TODAY(),"VENCIDA",IF($L404="Em execução","Em execução",IF($J404=TODAY(),"Hoje","Programada")))))))</f>
        <v/>
      </c>
      <c r="Q404" s="31" t="str">
        <f aca="false">IF($E404="","",IF(ISNUMBER(SEARCH("(externo)",$G404)),"Terceirizada","Interna"))</f>
        <v/>
      </c>
      <c r="R404" s="36" t="str">
        <f aca="false">IF($J404="","",IF($M404="",$J404,$M404))</f>
        <v/>
      </c>
      <c r="S404" s="31" t="str">
        <f aca="false">IF($E404="","",IF(OR($K404="",$J404=""),0,IF($K404&lt;=$J404,1,0)))</f>
        <v/>
      </c>
      <c r="T404" s="31" t="str">
        <f aca="false">IF($E404="","",IF(OR($K404="",$R404=""),0,IF($K404&lt;=$R404,1,0)))</f>
        <v/>
      </c>
      <c r="U404" s="38" t="str">
        <f aca="false">IF(OR($K404="",$J404=""),"",MAX(0,$K404-$J404))</f>
        <v/>
      </c>
      <c r="V404" s="31" t="str">
        <f aca="false">IF($E404="","",IF(AND($M404&lt;&gt;"",$J404&lt;&gt;"",$M404&lt;&gt;$J404),1,0))</f>
        <v/>
      </c>
      <c r="W404" s="39" t="str">
        <f aca="false">IF($E404="","",IF($L404="Cancelada",0,IF(OR($K404&lt;&gt;"",$L404="Concluída"),1,0)))</f>
        <v/>
      </c>
    </row>
    <row r="405" customFormat="false" ht="15" hidden="false" customHeight="true" outlineLevel="0" collapsed="false">
      <c r="A405" s="31" t="str">
        <f aca="false">IF($E405="","",COUNTA($E$5:$E405))</f>
        <v/>
      </c>
      <c r="B405" s="32"/>
      <c r="C405" s="32"/>
      <c r="D405" s="32"/>
      <c r="E405" s="32"/>
      <c r="F405" s="33"/>
      <c r="G405" s="32"/>
      <c r="H405" s="34"/>
      <c r="I405" s="35"/>
      <c r="J405" s="36" t="str">
        <f aca="false">IF(OR($H405="",$I405=""),"",$H405+MATCH($I405,Listas!$F$5:$F$11,0)-1)</f>
        <v/>
      </c>
      <c r="K405" s="37"/>
      <c r="L405" s="33"/>
      <c r="M405" s="37"/>
      <c r="N405" s="32"/>
      <c r="O405" s="32"/>
      <c r="P405" s="38" t="str">
        <f aca="true">IF($E405="","",IF($L405="Cancelada","Cancelada",IF(OR($K405&lt;&gt;"",$L405="Concluída"),IF(OR($J405="",$K405="",$K405&lt;=$J405),"Concluída","Concluída com atraso"),IF($J405="","Na carteira",IF($J405&lt;TODAY(),"VENCIDA",IF($L405="Em execução","Em execução",IF($J405=TODAY(),"Hoje","Programada")))))))</f>
        <v/>
      </c>
      <c r="Q405" s="31" t="str">
        <f aca="false">IF($E405="","",IF(ISNUMBER(SEARCH("(externo)",$G405)),"Terceirizada","Interna"))</f>
        <v/>
      </c>
      <c r="R405" s="36" t="str">
        <f aca="false">IF($J405="","",IF($M405="",$J405,$M405))</f>
        <v/>
      </c>
      <c r="S405" s="31" t="str">
        <f aca="false">IF($E405="","",IF(OR($K405="",$J405=""),0,IF($K405&lt;=$J405,1,0)))</f>
        <v/>
      </c>
      <c r="T405" s="31" t="str">
        <f aca="false">IF($E405="","",IF(OR($K405="",$R405=""),0,IF($K405&lt;=$R405,1,0)))</f>
        <v/>
      </c>
      <c r="U405" s="38" t="str">
        <f aca="false">IF(OR($K405="",$J405=""),"",MAX(0,$K405-$J405))</f>
        <v/>
      </c>
      <c r="V405" s="31" t="str">
        <f aca="false">IF($E405="","",IF(AND($M405&lt;&gt;"",$J405&lt;&gt;"",$M405&lt;&gt;$J405),1,0))</f>
        <v/>
      </c>
      <c r="W405" s="39" t="str">
        <f aca="false">IF($E405="","",IF($L405="Cancelada",0,IF(OR($K405&lt;&gt;"",$L405="Concluída"),1,0)))</f>
        <v/>
      </c>
    </row>
    <row r="406" customFormat="false" ht="15" hidden="false" customHeight="true" outlineLevel="0" collapsed="false">
      <c r="A406" s="31" t="str">
        <f aca="false">IF($E406="","",COUNTA($E$5:$E406))</f>
        <v/>
      </c>
      <c r="B406" s="32"/>
      <c r="C406" s="32"/>
      <c r="D406" s="32"/>
      <c r="E406" s="32"/>
      <c r="F406" s="33"/>
      <c r="G406" s="32"/>
      <c r="H406" s="34"/>
      <c r="I406" s="35"/>
      <c r="J406" s="36" t="str">
        <f aca="false">IF(OR($H406="",$I406=""),"",$H406+MATCH($I406,Listas!$F$5:$F$11,0)-1)</f>
        <v/>
      </c>
      <c r="K406" s="37"/>
      <c r="L406" s="33"/>
      <c r="M406" s="37"/>
      <c r="N406" s="32"/>
      <c r="O406" s="32"/>
      <c r="P406" s="38" t="str">
        <f aca="true">IF($E406="","",IF($L406="Cancelada","Cancelada",IF(OR($K406&lt;&gt;"",$L406="Concluída"),IF(OR($J406="",$K406="",$K406&lt;=$J406),"Concluída","Concluída com atraso"),IF($J406="","Na carteira",IF($J406&lt;TODAY(),"VENCIDA",IF($L406="Em execução","Em execução",IF($J406=TODAY(),"Hoje","Programada")))))))</f>
        <v/>
      </c>
      <c r="Q406" s="31" t="str">
        <f aca="false">IF($E406="","",IF(ISNUMBER(SEARCH("(externo)",$G406)),"Terceirizada","Interna"))</f>
        <v/>
      </c>
      <c r="R406" s="36" t="str">
        <f aca="false">IF($J406="","",IF($M406="",$J406,$M406))</f>
        <v/>
      </c>
      <c r="S406" s="31" t="str">
        <f aca="false">IF($E406="","",IF(OR($K406="",$J406=""),0,IF($K406&lt;=$J406,1,0)))</f>
        <v/>
      </c>
      <c r="T406" s="31" t="str">
        <f aca="false">IF($E406="","",IF(OR($K406="",$R406=""),0,IF($K406&lt;=$R406,1,0)))</f>
        <v/>
      </c>
      <c r="U406" s="38" t="str">
        <f aca="false">IF(OR($K406="",$J406=""),"",MAX(0,$K406-$J406))</f>
        <v/>
      </c>
      <c r="V406" s="31" t="str">
        <f aca="false">IF($E406="","",IF(AND($M406&lt;&gt;"",$J406&lt;&gt;"",$M406&lt;&gt;$J406),1,0))</f>
        <v/>
      </c>
      <c r="W406" s="39" t="str">
        <f aca="false">IF($E406="","",IF($L406="Cancelada",0,IF(OR($K406&lt;&gt;"",$L406="Concluída"),1,0)))</f>
        <v/>
      </c>
    </row>
    <row r="407" customFormat="false" ht="15" hidden="false" customHeight="true" outlineLevel="0" collapsed="false">
      <c r="A407" s="31" t="str">
        <f aca="false">IF($E407="","",COUNTA($E$5:$E407))</f>
        <v/>
      </c>
      <c r="B407" s="32"/>
      <c r="C407" s="32"/>
      <c r="D407" s="32"/>
      <c r="E407" s="32"/>
      <c r="F407" s="33"/>
      <c r="G407" s="32"/>
      <c r="H407" s="34"/>
      <c r="I407" s="35"/>
      <c r="J407" s="36" t="str">
        <f aca="false">IF(OR($H407="",$I407=""),"",$H407+MATCH($I407,Listas!$F$5:$F$11,0)-1)</f>
        <v/>
      </c>
      <c r="K407" s="37"/>
      <c r="L407" s="33"/>
      <c r="M407" s="37"/>
      <c r="N407" s="32"/>
      <c r="O407" s="32"/>
      <c r="P407" s="38" t="str">
        <f aca="true">IF($E407="","",IF($L407="Cancelada","Cancelada",IF(OR($K407&lt;&gt;"",$L407="Concluída"),IF(OR($J407="",$K407="",$K407&lt;=$J407),"Concluída","Concluída com atraso"),IF($J407="","Na carteira",IF($J407&lt;TODAY(),"VENCIDA",IF($L407="Em execução","Em execução",IF($J407=TODAY(),"Hoje","Programada")))))))</f>
        <v/>
      </c>
      <c r="Q407" s="31" t="str">
        <f aca="false">IF($E407="","",IF(ISNUMBER(SEARCH("(externo)",$G407)),"Terceirizada","Interna"))</f>
        <v/>
      </c>
      <c r="R407" s="36" t="str">
        <f aca="false">IF($J407="","",IF($M407="",$J407,$M407))</f>
        <v/>
      </c>
      <c r="S407" s="31" t="str">
        <f aca="false">IF($E407="","",IF(OR($K407="",$J407=""),0,IF($K407&lt;=$J407,1,0)))</f>
        <v/>
      </c>
      <c r="T407" s="31" t="str">
        <f aca="false">IF($E407="","",IF(OR($K407="",$R407=""),0,IF($K407&lt;=$R407,1,0)))</f>
        <v/>
      </c>
      <c r="U407" s="38" t="str">
        <f aca="false">IF(OR($K407="",$J407=""),"",MAX(0,$K407-$J407))</f>
        <v/>
      </c>
      <c r="V407" s="31" t="str">
        <f aca="false">IF($E407="","",IF(AND($M407&lt;&gt;"",$J407&lt;&gt;"",$M407&lt;&gt;$J407),1,0))</f>
        <v/>
      </c>
      <c r="W407" s="39" t="str">
        <f aca="false">IF($E407="","",IF($L407="Cancelada",0,IF(OR($K407&lt;&gt;"",$L407="Concluída"),1,0)))</f>
        <v/>
      </c>
    </row>
    <row r="408" customFormat="false" ht="15" hidden="false" customHeight="true" outlineLevel="0" collapsed="false">
      <c r="A408" s="31" t="str">
        <f aca="false">IF($E408="","",COUNTA($E$5:$E408))</f>
        <v/>
      </c>
      <c r="B408" s="32"/>
      <c r="C408" s="32"/>
      <c r="D408" s="32"/>
      <c r="E408" s="32"/>
      <c r="F408" s="33"/>
      <c r="G408" s="32"/>
      <c r="H408" s="34"/>
      <c r="I408" s="35"/>
      <c r="J408" s="36" t="str">
        <f aca="false">IF(OR($H408="",$I408=""),"",$H408+MATCH($I408,Listas!$F$5:$F$11,0)-1)</f>
        <v/>
      </c>
      <c r="K408" s="37"/>
      <c r="L408" s="33"/>
      <c r="M408" s="37"/>
      <c r="N408" s="32"/>
      <c r="O408" s="32"/>
      <c r="P408" s="38" t="str">
        <f aca="true">IF($E408="","",IF($L408="Cancelada","Cancelada",IF(OR($K408&lt;&gt;"",$L408="Concluída"),IF(OR($J408="",$K408="",$K408&lt;=$J408),"Concluída","Concluída com atraso"),IF($J408="","Na carteira",IF($J408&lt;TODAY(),"VENCIDA",IF($L408="Em execução","Em execução",IF($J408=TODAY(),"Hoje","Programada")))))))</f>
        <v/>
      </c>
      <c r="Q408" s="31" t="str">
        <f aca="false">IF($E408="","",IF(ISNUMBER(SEARCH("(externo)",$G408)),"Terceirizada","Interna"))</f>
        <v/>
      </c>
      <c r="R408" s="36" t="str">
        <f aca="false">IF($J408="","",IF($M408="",$J408,$M408))</f>
        <v/>
      </c>
      <c r="S408" s="31" t="str">
        <f aca="false">IF($E408="","",IF(OR($K408="",$J408=""),0,IF($K408&lt;=$J408,1,0)))</f>
        <v/>
      </c>
      <c r="T408" s="31" t="str">
        <f aca="false">IF($E408="","",IF(OR($K408="",$R408=""),0,IF($K408&lt;=$R408,1,0)))</f>
        <v/>
      </c>
      <c r="U408" s="38" t="str">
        <f aca="false">IF(OR($K408="",$J408=""),"",MAX(0,$K408-$J408))</f>
        <v/>
      </c>
      <c r="V408" s="31" t="str">
        <f aca="false">IF($E408="","",IF(AND($M408&lt;&gt;"",$J408&lt;&gt;"",$M408&lt;&gt;$J408),1,0))</f>
        <v/>
      </c>
      <c r="W408" s="39" t="str">
        <f aca="false">IF($E408="","",IF($L408="Cancelada",0,IF(OR($K408&lt;&gt;"",$L408="Concluída"),1,0)))</f>
        <v/>
      </c>
    </row>
    <row r="409" customFormat="false" ht="15" hidden="false" customHeight="true" outlineLevel="0" collapsed="false">
      <c r="A409" s="31" t="str">
        <f aca="false">IF($E409="","",COUNTA($E$5:$E409))</f>
        <v/>
      </c>
      <c r="B409" s="32"/>
      <c r="C409" s="32"/>
      <c r="D409" s="32"/>
      <c r="E409" s="32"/>
      <c r="F409" s="33"/>
      <c r="G409" s="32"/>
      <c r="H409" s="34"/>
      <c r="I409" s="35"/>
      <c r="J409" s="36" t="str">
        <f aca="false">IF(OR($H409="",$I409=""),"",$H409+MATCH($I409,Listas!$F$5:$F$11,0)-1)</f>
        <v/>
      </c>
      <c r="K409" s="37"/>
      <c r="L409" s="33"/>
      <c r="M409" s="37"/>
      <c r="N409" s="32"/>
      <c r="O409" s="32"/>
      <c r="P409" s="38" t="str">
        <f aca="true">IF($E409="","",IF($L409="Cancelada","Cancelada",IF(OR($K409&lt;&gt;"",$L409="Concluída"),IF(OR($J409="",$K409="",$K409&lt;=$J409),"Concluída","Concluída com atraso"),IF($J409="","Na carteira",IF($J409&lt;TODAY(),"VENCIDA",IF($L409="Em execução","Em execução",IF($J409=TODAY(),"Hoje","Programada")))))))</f>
        <v/>
      </c>
      <c r="Q409" s="31" t="str">
        <f aca="false">IF($E409="","",IF(ISNUMBER(SEARCH("(externo)",$G409)),"Terceirizada","Interna"))</f>
        <v/>
      </c>
      <c r="R409" s="36" t="str">
        <f aca="false">IF($J409="","",IF($M409="",$J409,$M409))</f>
        <v/>
      </c>
      <c r="S409" s="31" t="str">
        <f aca="false">IF($E409="","",IF(OR($K409="",$J409=""),0,IF($K409&lt;=$J409,1,0)))</f>
        <v/>
      </c>
      <c r="T409" s="31" t="str">
        <f aca="false">IF($E409="","",IF(OR($K409="",$R409=""),0,IF($K409&lt;=$R409,1,0)))</f>
        <v/>
      </c>
      <c r="U409" s="38" t="str">
        <f aca="false">IF(OR($K409="",$J409=""),"",MAX(0,$K409-$J409))</f>
        <v/>
      </c>
      <c r="V409" s="31" t="str">
        <f aca="false">IF($E409="","",IF(AND($M409&lt;&gt;"",$J409&lt;&gt;"",$M409&lt;&gt;$J409),1,0))</f>
        <v/>
      </c>
      <c r="W409" s="39" t="str">
        <f aca="false">IF($E409="","",IF($L409="Cancelada",0,IF(OR($K409&lt;&gt;"",$L409="Concluída"),1,0)))</f>
        <v/>
      </c>
    </row>
    <row r="410" customFormat="false" ht="15" hidden="false" customHeight="true" outlineLevel="0" collapsed="false">
      <c r="A410" s="31" t="str">
        <f aca="false">IF($E410="","",COUNTA($E$5:$E410))</f>
        <v/>
      </c>
      <c r="B410" s="32"/>
      <c r="C410" s="32"/>
      <c r="D410" s="32"/>
      <c r="E410" s="32"/>
      <c r="F410" s="33"/>
      <c r="G410" s="32"/>
      <c r="H410" s="34"/>
      <c r="I410" s="35"/>
      <c r="J410" s="36" t="str">
        <f aca="false">IF(OR($H410="",$I410=""),"",$H410+MATCH($I410,Listas!$F$5:$F$11,0)-1)</f>
        <v/>
      </c>
      <c r="K410" s="37"/>
      <c r="L410" s="33"/>
      <c r="M410" s="37"/>
      <c r="N410" s="32"/>
      <c r="O410" s="32"/>
      <c r="P410" s="38" t="str">
        <f aca="true">IF($E410="","",IF($L410="Cancelada","Cancelada",IF(OR($K410&lt;&gt;"",$L410="Concluída"),IF(OR($J410="",$K410="",$K410&lt;=$J410),"Concluída","Concluída com atraso"),IF($J410="","Na carteira",IF($J410&lt;TODAY(),"VENCIDA",IF($L410="Em execução","Em execução",IF($J410=TODAY(),"Hoje","Programada")))))))</f>
        <v/>
      </c>
      <c r="Q410" s="31" t="str">
        <f aca="false">IF($E410="","",IF(ISNUMBER(SEARCH("(externo)",$G410)),"Terceirizada","Interna"))</f>
        <v/>
      </c>
      <c r="R410" s="36" t="str">
        <f aca="false">IF($J410="","",IF($M410="",$J410,$M410))</f>
        <v/>
      </c>
      <c r="S410" s="31" t="str">
        <f aca="false">IF($E410="","",IF(OR($K410="",$J410=""),0,IF($K410&lt;=$J410,1,0)))</f>
        <v/>
      </c>
      <c r="T410" s="31" t="str">
        <f aca="false">IF($E410="","",IF(OR($K410="",$R410=""),0,IF($K410&lt;=$R410,1,0)))</f>
        <v/>
      </c>
      <c r="U410" s="38" t="str">
        <f aca="false">IF(OR($K410="",$J410=""),"",MAX(0,$K410-$J410))</f>
        <v/>
      </c>
      <c r="V410" s="31" t="str">
        <f aca="false">IF($E410="","",IF(AND($M410&lt;&gt;"",$J410&lt;&gt;"",$M410&lt;&gt;$J410),1,0))</f>
        <v/>
      </c>
      <c r="W410" s="39" t="str">
        <f aca="false">IF($E410="","",IF($L410="Cancelada",0,IF(OR($K410&lt;&gt;"",$L410="Concluída"),1,0)))</f>
        <v/>
      </c>
    </row>
    <row r="411" customFormat="false" ht="15" hidden="false" customHeight="true" outlineLevel="0" collapsed="false">
      <c r="A411" s="31" t="str">
        <f aca="false">IF($E411="","",COUNTA($E$5:$E411))</f>
        <v/>
      </c>
      <c r="B411" s="32"/>
      <c r="C411" s="32"/>
      <c r="D411" s="32"/>
      <c r="E411" s="32"/>
      <c r="F411" s="33"/>
      <c r="G411" s="32"/>
      <c r="H411" s="34"/>
      <c r="I411" s="35"/>
      <c r="J411" s="36" t="str">
        <f aca="false">IF(OR($H411="",$I411=""),"",$H411+MATCH($I411,Listas!$F$5:$F$11,0)-1)</f>
        <v/>
      </c>
      <c r="K411" s="37"/>
      <c r="L411" s="33"/>
      <c r="M411" s="37"/>
      <c r="N411" s="32"/>
      <c r="O411" s="32"/>
      <c r="P411" s="38" t="str">
        <f aca="true">IF($E411="","",IF($L411="Cancelada","Cancelada",IF(OR($K411&lt;&gt;"",$L411="Concluída"),IF(OR($J411="",$K411="",$K411&lt;=$J411),"Concluída","Concluída com atraso"),IF($J411="","Na carteira",IF($J411&lt;TODAY(),"VENCIDA",IF($L411="Em execução","Em execução",IF($J411=TODAY(),"Hoje","Programada")))))))</f>
        <v/>
      </c>
      <c r="Q411" s="31" t="str">
        <f aca="false">IF($E411="","",IF(ISNUMBER(SEARCH("(externo)",$G411)),"Terceirizada","Interna"))</f>
        <v/>
      </c>
      <c r="R411" s="36" t="str">
        <f aca="false">IF($J411="","",IF($M411="",$J411,$M411))</f>
        <v/>
      </c>
      <c r="S411" s="31" t="str">
        <f aca="false">IF($E411="","",IF(OR($K411="",$J411=""),0,IF($K411&lt;=$J411,1,0)))</f>
        <v/>
      </c>
      <c r="T411" s="31" t="str">
        <f aca="false">IF($E411="","",IF(OR($K411="",$R411=""),0,IF($K411&lt;=$R411,1,0)))</f>
        <v/>
      </c>
      <c r="U411" s="38" t="str">
        <f aca="false">IF(OR($K411="",$J411=""),"",MAX(0,$K411-$J411))</f>
        <v/>
      </c>
      <c r="V411" s="31" t="str">
        <f aca="false">IF($E411="","",IF(AND($M411&lt;&gt;"",$J411&lt;&gt;"",$M411&lt;&gt;$J411),1,0))</f>
        <v/>
      </c>
      <c r="W411" s="39" t="str">
        <f aca="false">IF($E411="","",IF($L411="Cancelada",0,IF(OR($K411&lt;&gt;"",$L411="Concluída"),1,0)))</f>
        <v/>
      </c>
    </row>
    <row r="412" customFormat="false" ht="15" hidden="false" customHeight="true" outlineLevel="0" collapsed="false">
      <c r="A412" s="31" t="str">
        <f aca="false">IF($E412="","",COUNTA($E$5:$E412))</f>
        <v/>
      </c>
      <c r="B412" s="32"/>
      <c r="C412" s="32"/>
      <c r="D412" s="32"/>
      <c r="E412" s="32"/>
      <c r="F412" s="33"/>
      <c r="G412" s="32"/>
      <c r="H412" s="34"/>
      <c r="I412" s="35"/>
      <c r="J412" s="36" t="str">
        <f aca="false">IF(OR($H412="",$I412=""),"",$H412+MATCH($I412,Listas!$F$5:$F$11,0)-1)</f>
        <v/>
      </c>
      <c r="K412" s="37"/>
      <c r="L412" s="33"/>
      <c r="M412" s="37"/>
      <c r="N412" s="32"/>
      <c r="O412" s="32"/>
      <c r="P412" s="38" t="str">
        <f aca="true">IF($E412="","",IF($L412="Cancelada","Cancelada",IF(OR($K412&lt;&gt;"",$L412="Concluída"),IF(OR($J412="",$K412="",$K412&lt;=$J412),"Concluída","Concluída com atraso"),IF($J412="","Na carteira",IF($J412&lt;TODAY(),"VENCIDA",IF($L412="Em execução","Em execução",IF($J412=TODAY(),"Hoje","Programada")))))))</f>
        <v/>
      </c>
      <c r="Q412" s="31" t="str">
        <f aca="false">IF($E412="","",IF(ISNUMBER(SEARCH("(externo)",$G412)),"Terceirizada","Interna"))</f>
        <v/>
      </c>
      <c r="R412" s="36" t="str">
        <f aca="false">IF($J412="","",IF($M412="",$J412,$M412))</f>
        <v/>
      </c>
      <c r="S412" s="31" t="str">
        <f aca="false">IF($E412="","",IF(OR($K412="",$J412=""),0,IF($K412&lt;=$J412,1,0)))</f>
        <v/>
      </c>
      <c r="T412" s="31" t="str">
        <f aca="false">IF($E412="","",IF(OR($K412="",$R412=""),0,IF($K412&lt;=$R412,1,0)))</f>
        <v/>
      </c>
      <c r="U412" s="38" t="str">
        <f aca="false">IF(OR($K412="",$J412=""),"",MAX(0,$K412-$J412))</f>
        <v/>
      </c>
      <c r="V412" s="31" t="str">
        <f aca="false">IF($E412="","",IF(AND($M412&lt;&gt;"",$J412&lt;&gt;"",$M412&lt;&gt;$J412),1,0))</f>
        <v/>
      </c>
      <c r="W412" s="39" t="str">
        <f aca="false">IF($E412="","",IF($L412="Cancelada",0,IF(OR($K412&lt;&gt;"",$L412="Concluída"),1,0)))</f>
        <v/>
      </c>
    </row>
    <row r="413" customFormat="false" ht="15" hidden="false" customHeight="true" outlineLevel="0" collapsed="false">
      <c r="A413" s="31" t="str">
        <f aca="false">IF($E413="","",COUNTA($E$5:$E413))</f>
        <v/>
      </c>
      <c r="B413" s="32"/>
      <c r="C413" s="32"/>
      <c r="D413" s="32"/>
      <c r="E413" s="32"/>
      <c r="F413" s="33"/>
      <c r="G413" s="32"/>
      <c r="H413" s="34"/>
      <c r="I413" s="35"/>
      <c r="J413" s="36" t="str">
        <f aca="false">IF(OR($H413="",$I413=""),"",$H413+MATCH($I413,Listas!$F$5:$F$11,0)-1)</f>
        <v/>
      </c>
      <c r="K413" s="37"/>
      <c r="L413" s="33"/>
      <c r="M413" s="37"/>
      <c r="N413" s="32"/>
      <c r="O413" s="32"/>
      <c r="P413" s="38" t="str">
        <f aca="true">IF($E413="","",IF($L413="Cancelada","Cancelada",IF(OR($K413&lt;&gt;"",$L413="Concluída"),IF(OR($J413="",$K413="",$K413&lt;=$J413),"Concluída","Concluída com atraso"),IF($J413="","Na carteira",IF($J413&lt;TODAY(),"VENCIDA",IF($L413="Em execução","Em execução",IF($J413=TODAY(),"Hoje","Programada")))))))</f>
        <v/>
      </c>
      <c r="Q413" s="31" t="str">
        <f aca="false">IF($E413="","",IF(ISNUMBER(SEARCH("(externo)",$G413)),"Terceirizada","Interna"))</f>
        <v/>
      </c>
      <c r="R413" s="36" t="str">
        <f aca="false">IF($J413="","",IF($M413="",$J413,$M413))</f>
        <v/>
      </c>
      <c r="S413" s="31" t="str">
        <f aca="false">IF($E413="","",IF(OR($K413="",$J413=""),0,IF($K413&lt;=$J413,1,0)))</f>
        <v/>
      </c>
      <c r="T413" s="31" t="str">
        <f aca="false">IF($E413="","",IF(OR($K413="",$R413=""),0,IF($K413&lt;=$R413,1,0)))</f>
        <v/>
      </c>
      <c r="U413" s="38" t="str">
        <f aca="false">IF(OR($K413="",$J413=""),"",MAX(0,$K413-$J413))</f>
        <v/>
      </c>
      <c r="V413" s="31" t="str">
        <f aca="false">IF($E413="","",IF(AND($M413&lt;&gt;"",$J413&lt;&gt;"",$M413&lt;&gt;$J413),1,0))</f>
        <v/>
      </c>
      <c r="W413" s="39" t="str">
        <f aca="false">IF($E413="","",IF($L413="Cancelada",0,IF(OR($K413&lt;&gt;"",$L413="Concluída"),1,0)))</f>
        <v/>
      </c>
    </row>
    <row r="414" customFormat="false" ht="15" hidden="false" customHeight="true" outlineLevel="0" collapsed="false">
      <c r="A414" s="31" t="str">
        <f aca="false">IF($E414="","",COUNTA($E$5:$E414))</f>
        <v/>
      </c>
      <c r="B414" s="32"/>
      <c r="C414" s="32"/>
      <c r="D414" s="32"/>
      <c r="E414" s="32"/>
      <c r="F414" s="33"/>
      <c r="G414" s="32"/>
      <c r="H414" s="34"/>
      <c r="I414" s="35"/>
      <c r="J414" s="36" t="str">
        <f aca="false">IF(OR($H414="",$I414=""),"",$H414+MATCH($I414,Listas!$F$5:$F$11,0)-1)</f>
        <v/>
      </c>
      <c r="K414" s="37"/>
      <c r="L414" s="33"/>
      <c r="M414" s="37"/>
      <c r="N414" s="32"/>
      <c r="O414" s="32"/>
      <c r="P414" s="38" t="str">
        <f aca="true">IF($E414="","",IF($L414="Cancelada","Cancelada",IF(OR($K414&lt;&gt;"",$L414="Concluída"),IF(OR($J414="",$K414="",$K414&lt;=$J414),"Concluída","Concluída com atraso"),IF($J414="","Na carteira",IF($J414&lt;TODAY(),"VENCIDA",IF($L414="Em execução","Em execução",IF($J414=TODAY(),"Hoje","Programada")))))))</f>
        <v/>
      </c>
      <c r="Q414" s="31" t="str">
        <f aca="false">IF($E414="","",IF(ISNUMBER(SEARCH("(externo)",$G414)),"Terceirizada","Interna"))</f>
        <v/>
      </c>
      <c r="R414" s="36" t="str">
        <f aca="false">IF($J414="","",IF($M414="",$J414,$M414))</f>
        <v/>
      </c>
      <c r="S414" s="31" t="str">
        <f aca="false">IF($E414="","",IF(OR($K414="",$J414=""),0,IF($K414&lt;=$J414,1,0)))</f>
        <v/>
      </c>
      <c r="T414" s="31" t="str">
        <f aca="false">IF($E414="","",IF(OR($K414="",$R414=""),0,IF($K414&lt;=$R414,1,0)))</f>
        <v/>
      </c>
      <c r="U414" s="38" t="str">
        <f aca="false">IF(OR($K414="",$J414=""),"",MAX(0,$K414-$J414))</f>
        <v/>
      </c>
      <c r="V414" s="31" t="str">
        <f aca="false">IF($E414="","",IF(AND($M414&lt;&gt;"",$J414&lt;&gt;"",$M414&lt;&gt;$J414),1,0))</f>
        <v/>
      </c>
      <c r="W414" s="39" t="str">
        <f aca="false">IF($E414="","",IF($L414="Cancelada",0,IF(OR($K414&lt;&gt;"",$L414="Concluída"),1,0)))</f>
        <v/>
      </c>
    </row>
    <row r="415" customFormat="false" ht="15" hidden="false" customHeight="true" outlineLevel="0" collapsed="false">
      <c r="A415" s="31" t="str">
        <f aca="false">IF($E415="","",COUNTA($E$5:$E415))</f>
        <v/>
      </c>
      <c r="B415" s="32"/>
      <c r="C415" s="32"/>
      <c r="D415" s="32"/>
      <c r="E415" s="32"/>
      <c r="F415" s="33"/>
      <c r="G415" s="32"/>
      <c r="H415" s="34"/>
      <c r="I415" s="35"/>
      <c r="J415" s="36" t="str">
        <f aca="false">IF(OR($H415="",$I415=""),"",$H415+MATCH($I415,Listas!$F$5:$F$11,0)-1)</f>
        <v/>
      </c>
      <c r="K415" s="37"/>
      <c r="L415" s="33"/>
      <c r="M415" s="37"/>
      <c r="N415" s="32"/>
      <c r="O415" s="32"/>
      <c r="P415" s="38" t="str">
        <f aca="true">IF($E415="","",IF($L415="Cancelada","Cancelada",IF(OR($K415&lt;&gt;"",$L415="Concluída"),IF(OR($J415="",$K415="",$K415&lt;=$J415),"Concluída","Concluída com atraso"),IF($J415="","Na carteira",IF($J415&lt;TODAY(),"VENCIDA",IF($L415="Em execução","Em execução",IF($J415=TODAY(),"Hoje","Programada")))))))</f>
        <v/>
      </c>
      <c r="Q415" s="31" t="str">
        <f aca="false">IF($E415="","",IF(ISNUMBER(SEARCH("(externo)",$G415)),"Terceirizada","Interna"))</f>
        <v/>
      </c>
      <c r="R415" s="36" t="str">
        <f aca="false">IF($J415="","",IF($M415="",$J415,$M415))</f>
        <v/>
      </c>
      <c r="S415" s="31" t="str">
        <f aca="false">IF($E415="","",IF(OR($K415="",$J415=""),0,IF($K415&lt;=$J415,1,0)))</f>
        <v/>
      </c>
      <c r="T415" s="31" t="str">
        <f aca="false">IF($E415="","",IF(OR($K415="",$R415=""),0,IF($K415&lt;=$R415,1,0)))</f>
        <v/>
      </c>
      <c r="U415" s="38" t="str">
        <f aca="false">IF(OR($K415="",$J415=""),"",MAX(0,$K415-$J415))</f>
        <v/>
      </c>
      <c r="V415" s="31" t="str">
        <f aca="false">IF($E415="","",IF(AND($M415&lt;&gt;"",$J415&lt;&gt;"",$M415&lt;&gt;$J415),1,0))</f>
        <v/>
      </c>
      <c r="W415" s="39" t="str">
        <f aca="false">IF($E415="","",IF($L415="Cancelada",0,IF(OR($K415&lt;&gt;"",$L415="Concluída"),1,0)))</f>
        <v/>
      </c>
    </row>
    <row r="416" customFormat="false" ht="15" hidden="false" customHeight="true" outlineLevel="0" collapsed="false">
      <c r="A416" s="31" t="str">
        <f aca="false">IF($E416="","",COUNTA($E$5:$E416))</f>
        <v/>
      </c>
      <c r="B416" s="32"/>
      <c r="C416" s="32"/>
      <c r="D416" s="32"/>
      <c r="E416" s="32"/>
      <c r="F416" s="33"/>
      <c r="G416" s="32"/>
      <c r="H416" s="34"/>
      <c r="I416" s="35"/>
      <c r="J416" s="36" t="str">
        <f aca="false">IF(OR($H416="",$I416=""),"",$H416+MATCH($I416,Listas!$F$5:$F$11,0)-1)</f>
        <v/>
      </c>
      <c r="K416" s="37"/>
      <c r="L416" s="33"/>
      <c r="M416" s="37"/>
      <c r="N416" s="32"/>
      <c r="O416" s="32"/>
      <c r="P416" s="38" t="str">
        <f aca="true">IF($E416="","",IF($L416="Cancelada","Cancelada",IF(OR($K416&lt;&gt;"",$L416="Concluída"),IF(OR($J416="",$K416="",$K416&lt;=$J416),"Concluída","Concluída com atraso"),IF($J416="","Na carteira",IF($J416&lt;TODAY(),"VENCIDA",IF($L416="Em execução","Em execução",IF($J416=TODAY(),"Hoje","Programada")))))))</f>
        <v/>
      </c>
      <c r="Q416" s="31" t="str">
        <f aca="false">IF($E416="","",IF(ISNUMBER(SEARCH("(externo)",$G416)),"Terceirizada","Interna"))</f>
        <v/>
      </c>
      <c r="R416" s="36" t="str">
        <f aca="false">IF($J416="","",IF($M416="",$J416,$M416))</f>
        <v/>
      </c>
      <c r="S416" s="31" t="str">
        <f aca="false">IF($E416="","",IF(OR($K416="",$J416=""),0,IF($K416&lt;=$J416,1,0)))</f>
        <v/>
      </c>
      <c r="T416" s="31" t="str">
        <f aca="false">IF($E416="","",IF(OR($K416="",$R416=""),0,IF($K416&lt;=$R416,1,0)))</f>
        <v/>
      </c>
      <c r="U416" s="38" t="str">
        <f aca="false">IF(OR($K416="",$J416=""),"",MAX(0,$K416-$J416))</f>
        <v/>
      </c>
      <c r="V416" s="31" t="str">
        <f aca="false">IF($E416="","",IF(AND($M416&lt;&gt;"",$J416&lt;&gt;"",$M416&lt;&gt;$J416),1,0))</f>
        <v/>
      </c>
      <c r="W416" s="39" t="str">
        <f aca="false">IF($E416="","",IF($L416="Cancelada",0,IF(OR($K416&lt;&gt;"",$L416="Concluída"),1,0)))</f>
        <v/>
      </c>
    </row>
    <row r="417" customFormat="false" ht="15" hidden="false" customHeight="true" outlineLevel="0" collapsed="false">
      <c r="A417" s="31" t="str">
        <f aca="false">IF($E417="","",COUNTA($E$5:$E417))</f>
        <v/>
      </c>
      <c r="B417" s="32"/>
      <c r="C417" s="32"/>
      <c r="D417" s="32"/>
      <c r="E417" s="32"/>
      <c r="F417" s="33"/>
      <c r="G417" s="32"/>
      <c r="H417" s="34"/>
      <c r="I417" s="35"/>
      <c r="J417" s="36" t="str">
        <f aca="false">IF(OR($H417="",$I417=""),"",$H417+MATCH($I417,Listas!$F$5:$F$11,0)-1)</f>
        <v/>
      </c>
      <c r="K417" s="37"/>
      <c r="L417" s="33"/>
      <c r="M417" s="37"/>
      <c r="N417" s="32"/>
      <c r="O417" s="32"/>
      <c r="P417" s="38" t="str">
        <f aca="true">IF($E417="","",IF($L417="Cancelada","Cancelada",IF(OR($K417&lt;&gt;"",$L417="Concluída"),IF(OR($J417="",$K417="",$K417&lt;=$J417),"Concluída","Concluída com atraso"),IF($J417="","Na carteira",IF($J417&lt;TODAY(),"VENCIDA",IF($L417="Em execução","Em execução",IF($J417=TODAY(),"Hoje","Programada")))))))</f>
        <v/>
      </c>
      <c r="Q417" s="31" t="str">
        <f aca="false">IF($E417="","",IF(ISNUMBER(SEARCH("(externo)",$G417)),"Terceirizada","Interna"))</f>
        <v/>
      </c>
      <c r="R417" s="36" t="str">
        <f aca="false">IF($J417="","",IF($M417="",$J417,$M417))</f>
        <v/>
      </c>
      <c r="S417" s="31" t="str">
        <f aca="false">IF($E417="","",IF(OR($K417="",$J417=""),0,IF($K417&lt;=$J417,1,0)))</f>
        <v/>
      </c>
      <c r="T417" s="31" t="str">
        <f aca="false">IF($E417="","",IF(OR($K417="",$R417=""),0,IF($K417&lt;=$R417,1,0)))</f>
        <v/>
      </c>
      <c r="U417" s="38" t="str">
        <f aca="false">IF(OR($K417="",$J417=""),"",MAX(0,$K417-$J417))</f>
        <v/>
      </c>
      <c r="V417" s="31" t="str">
        <f aca="false">IF($E417="","",IF(AND($M417&lt;&gt;"",$J417&lt;&gt;"",$M417&lt;&gt;$J417),1,0))</f>
        <v/>
      </c>
      <c r="W417" s="39" t="str">
        <f aca="false">IF($E417="","",IF($L417="Cancelada",0,IF(OR($K417&lt;&gt;"",$L417="Concluída"),1,0)))</f>
        <v/>
      </c>
    </row>
    <row r="418" customFormat="false" ht="15" hidden="false" customHeight="true" outlineLevel="0" collapsed="false">
      <c r="A418" s="31" t="str">
        <f aca="false">IF($E418="","",COUNTA($E$5:$E418))</f>
        <v/>
      </c>
      <c r="B418" s="32"/>
      <c r="C418" s="32"/>
      <c r="D418" s="32"/>
      <c r="E418" s="32"/>
      <c r="F418" s="33"/>
      <c r="G418" s="32"/>
      <c r="H418" s="34"/>
      <c r="I418" s="35"/>
      <c r="J418" s="36" t="str">
        <f aca="false">IF(OR($H418="",$I418=""),"",$H418+MATCH($I418,Listas!$F$5:$F$11,0)-1)</f>
        <v/>
      </c>
      <c r="K418" s="37"/>
      <c r="L418" s="33"/>
      <c r="M418" s="37"/>
      <c r="N418" s="32"/>
      <c r="O418" s="32"/>
      <c r="P418" s="38" t="str">
        <f aca="true">IF($E418="","",IF($L418="Cancelada","Cancelada",IF(OR($K418&lt;&gt;"",$L418="Concluída"),IF(OR($J418="",$K418="",$K418&lt;=$J418),"Concluída","Concluída com atraso"),IF($J418="","Na carteira",IF($J418&lt;TODAY(),"VENCIDA",IF($L418="Em execução","Em execução",IF($J418=TODAY(),"Hoje","Programada")))))))</f>
        <v/>
      </c>
      <c r="Q418" s="31" t="str">
        <f aca="false">IF($E418="","",IF(ISNUMBER(SEARCH("(externo)",$G418)),"Terceirizada","Interna"))</f>
        <v/>
      </c>
      <c r="R418" s="36" t="str">
        <f aca="false">IF($J418="","",IF($M418="",$J418,$M418))</f>
        <v/>
      </c>
      <c r="S418" s="31" t="str">
        <f aca="false">IF($E418="","",IF(OR($K418="",$J418=""),0,IF($K418&lt;=$J418,1,0)))</f>
        <v/>
      </c>
      <c r="T418" s="31" t="str">
        <f aca="false">IF($E418="","",IF(OR($K418="",$R418=""),0,IF($K418&lt;=$R418,1,0)))</f>
        <v/>
      </c>
      <c r="U418" s="38" t="str">
        <f aca="false">IF(OR($K418="",$J418=""),"",MAX(0,$K418-$J418))</f>
        <v/>
      </c>
      <c r="V418" s="31" t="str">
        <f aca="false">IF($E418="","",IF(AND($M418&lt;&gt;"",$J418&lt;&gt;"",$M418&lt;&gt;$J418),1,0))</f>
        <v/>
      </c>
      <c r="W418" s="39" t="str">
        <f aca="false">IF($E418="","",IF($L418="Cancelada",0,IF(OR($K418&lt;&gt;"",$L418="Concluída"),1,0)))</f>
        <v/>
      </c>
    </row>
    <row r="419" customFormat="false" ht="15" hidden="false" customHeight="true" outlineLevel="0" collapsed="false">
      <c r="A419" s="31" t="str">
        <f aca="false">IF($E419="","",COUNTA($E$5:$E419))</f>
        <v/>
      </c>
      <c r="B419" s="32"/>
      <c r="C419" s="32"/>
      <c r="D419" s="32"/>
      <c r="E419" s="32"/>
      <c r="F419" s="33"/>
      <c r="G419" s="32"/>
      <c r="H419" s="34"/>
      <c r="I419" s="35"/>
      <c r="J419" s="36" t="str">
        <f aca="false">IF(OR($H419="",$I419=""),"",$H419+MATCH($I419,Listas!$F$5:$F$11,0)-1)</f>
        <v/>
      </c>
      <c r="K419" s="37"/>
      <c r="L419" s="33"/>
      <c r="M419" s="37"/>
      <c r="N419" s="32"/>
      <c r="O419" s="32"/>
      <c r="P419" s="38" t="str">
        <f aca="true">IF($E419="","",IF($L419="Cancelada","Cancelada",IF(OR($K419&lt;&gt;"",$L419="Concluída"),IF(OR($J419="",$K419="",$K419&lt;=$J419),"Concluída","Concluída com atraso"),IF($J419="","Na carteira",IF($J419&lt;TODAY(),"VENCIDA",IF($L419="Em execução","Em execução",IF($J419=TODAY(),"Hoje","Programada")))))))</f>
        <v/>
      </c>
      <c r="Q419" s="31" t="str">
        <f aca="false">IF($E419="","",IF(ISNUMBER(SEARCH("(externo)",$G419)),"Terceirizada","Interna"))</f>
        <v/>
      </c>
      <c r="R419" s="36" t="str">
        <f aca="false">IF($J419="","",IF($M419="",$J419,$M419))</f>
        <v/>
      </c>
      <c r="S419" s="31" t="str">
        <f aca="false">IF($E419="","",IF(OR($K419="",$J419=""),0,IF($K419&lt;=$J419,1,0)))</f>
        <v/>
      </c>
      <c r="T419" s="31" t="str">
        <f aca="false">IF($E419="","",IF(OR($K419="",$R419=""),0,IF($K419&lt;=$R419,1,0)))</f>
        <v/>
      </c>
      <c r="U419" s="38" t="str">
        <f aca="false">IF(OR($K419="",$J419=""),"",MAX(0,$K419-$J419))</f>
        <v/>
      </c>
      <c r="V419" s="31" t="str">
        <f aca="false">IF($E419="","",IF(AND($M419&lt;&gt;"",$J419&lt;&gt;"",$M419&lt;&gt;$J419),1,0))</f>
        <v/>
      </c>
      <c r="W419" s="39" t="str">
        <f aca="false">IF($E419="","",IF($L419="Cancelada",0,IF(OR($K419&lt;&gt;"",$L419="Concluída"),1,0)))</f>
        <v/>
      </c>
    </row>
    <row r="420" customFormat="false" ht="15" hidden="false" customHeight="true" outlineLevel="0" collapsed="false">
      <c r="A420" s="31" t="str">
        <f aca="false">IF($E420="","",COUNTA($E$5:$E420))</f>
        <v/>
      </c>
      <c r="B420" s="32"/>
      <c r="C420" s="32"/>
      <c r="D420" s="32"/>
      <c r="E420" s="32"/>
      <c r="F420" s="33"/>
      <c r="G420" s="32"/>
      <c r="H420" s="34"/>
      <c r="I420" s="35"/>
      <c r="J420" s="36" t="str">
        <f aca="false">IF(OR($H420="",$I420=""),"",$H420+MATCH($I420,Listas!$F$5:$F$11,0)-1)</f>
        <v/>
      </c>
      <c r="K420" s="37"/>
      <c r="L420" s="33"/>
      <c r="M420" s="37"/>
      <c r="N420" s="32"/>
      <c r="O420" s="32"/>
      <c r="P420" s="38" t="str">
        <f aca="true">IF($E420="","",IF($L420="Cancelada","Cancelada",IF(OR($K420&lt;&gt;"",$L420="Concluída"),IF(OR($J420="",$K420="",$K420&lt;=$J420),"Concluída","Concluída com atraso"),IF($J420="","Na carteira",IF($J420&lt;TODAY(),"VENCIDA",IF($L420="Em execução","Em execução",IF($J420=TODAY(),"Hoje","Programada")))))))</f>
        <v/>
      </c>
      <c r="Q420" s="31" t="str">
        <f aca="false">IF($E420="","",IF(ISNUMBER(SEARCH("(externo)",$G420)),"Terceirizada","Interna"))</f>
        <v/>
      </c>
      <c r="R420" s="36" t="str">
        <f aca="false">IF($J420="","",IF($M420="",$J420,$M420))</f>
        <v/>
      </c>
      <c r="S420" s="31" t="str">
        <f aca="false">IF($E420="","",IF(OR($K420="",$J420=""),0,IF($K420&lt;=$J420,1,0)))</f>
        <v/>
      </c>
      <c r="T420" s="31" t="str">
        <f aca="false">IF($E420="","",IF(OR($K420="",$R420=""),0,IF($K420&lt;=$R420,1,0)))</f>
        <v/>
      </c>
      <c r="U420" s="38" t="str">
        <f aca="false">IF(OR($K420="",$J420=""),"",MAX(0,$K420-$J420))</f>
        <v/>
      </c>
      <c r="V420" s="31" t="str">
        <f aca="false">IF($E420="","",IF(AND($M420&lt;&gt;"",$J420&lt;&gt;"",$M420&lt;&gt;$J420),1,0))</f>
        <v/>
      </c>
      <c r="W420" s="39" t="str">
        <f aca="false">IF($E420="","",IF($L420="Cancelada",0,IF(OR($K420&lt;&gt;"",$L420="Concluída"),1,0)))</f>
        <v/>
      </c>
    </row>
    <row r="421" customFormat="false" ht="15" hidden="false" customHeight="true" outlineLevel="0" collapsed="false">
      <c r="A421" s="31" t="str">
        <f aca="false">IF($E421="","",COUNTA($E$5:$E421))</f>
        <v/>
      </c>
      <c r="B421" s="32"/>
      <c r="C421" s="32"/>
      <c r="D421" s="32"/>
      <c r="E421" s="32"/>
      <c r="F421" s="33"/>
      <c r="G421" s="32"/>
      <c r="H421" s="34"/>
      <c r="I421" s="35"/>
      <c r="J421" s="36" t="str">
        <f aca="false">IF(OR($H421="",$I421=""),"",$H421+MATCH($I421,Listas!$F$5:$F$11,0)-1)</f>
        <v/>
      </c>
      <c r="K421" s="37"/>
      <c r="L421" s="33"/>
      <c r="M421" s="37"/>
      <c r="N421" s="32"/>
      <c r="O421" s="32"/>
      <c r="P421" s="38" t="str">
        <f aca="true">IF($E421="","",IF($L421="Cancelada","Cancelada",IF(OR($K421&lt;&gt;"",$L421="Concluída"),IF(OR($J421="",$K421="",$K421&lt;=$J421),"Concluída","Concluída com atraso"),IF($J421="","Na carteira",IF($J421&lt;TODAY(),"VENCIDA",IF($L421="Em execução","Em execução",IF($J421=TODAY(),"Hoje","Programada")))))))</f>
        <v/>
      </c>
      <c r="Q421" s="31" t="str">
        <f aca="false">IF($E421="","",IF(ISNUMBER(SEARCH("(externo)",$G421)),"Terceirizada","Interna"))</f>
        <v/>
      </c>
      <c r="R421" s="36" t="str">
        <f aca="false">IF($J421="","",IF($M421="",$J421,$M421))</f>
        <v/>
      </c>
      <c r="S421" s="31" t="str">
        <f aca="false">IF($E421="","",IF(OR($K421="",$J421=""),0,IF($K421&lt;=$J421,1,0)))</f>
        <v/>
      </c>
      <c r="T421" s="31" t="str">
        <f aca="false">IF($E421="","",IF(OR($K421="",$R421=""),0,IF($K421&lt;=$R421,1,0)))</f>
        <v/>
      </c>
      <c r="U421" s="38" t="str">
        <f aca="false">IF(OR($K421="",$J421=""),"",MAX(0,$K421-$J421))</f>
        <v/>
      </c>
      <c r="V421" s="31" t="str">
        <f aca="false">IF($E421="","",IF(AND($M421&lt;&gt;"",$J421&lt;&gt;"",$M421&lt;&gt;$J421),1,0))</f>
        <v/>
      </c>
      <c r="W421" s="39" t="str">
        <f aca="false">IF($E421="","",IF($L421="Cancelada",0,IF(OR($K421&lt;&gt;"",$L421="Concluída"),1,0)))</f>
        <v/>
      </c>
    </row>
    <row r="422" customFormat="false" ht="15" hidden="false" customHeight="true" outlineLevel="0" collapsed="false">
      <c r="A422" s="31" t="str">
        <f aca="false">IF($E422="","",COUNTA($E$5:$E422))</f>
        <v/>
      </c>
      <c r="B422" s="32"/>
      <c r="C422" s="32"/>
      <c r="D422" s="32"/>
      <c r="E422" s="32"/>
      <c r="F422" s="33"/>
      <c r="G422" s="32"/>
      <c r="H422" s="34"/>
      <c r="I422" s="35"/>
      <c r="J422" s="36" t="str">
        <f aca="false">IF(OR($H422="",$I422=""),"",$H422+MATCH($I422,Listas!$F$5:$F$11,0)-1)</f>
        <v/>
      </c>
      <c r="K422" s="37"/>
      <c r="L422" s="33"/>
      <c r="M422" s="37"/>
      <c r="N422" s="32"/>
      <c r="O422" s="32"/>
      <c r="P422" s="38" t="str">
        <f aca="true">IF($E422="","",IF($L422="Cancelada","Cancelada",IF(OR($K422&lt;&gt;"",$L422="Concluída"),IF(OR($J422="",$K422="",$K422&lt;=$J422),"Concluída","Concluída com atraso"),IF($J422="","Na carteira",IF($J422&lt;TODAY(),"VENCIDA",IF($L422="Em execução","Em execução",IF($J422=TODAY(),"Hoje","Programada")))))))</f>
        <v/>
      </c>
      <c r="Q422" s="31" t="str">
        <f aca="false">IF($E422="","",IF(ISNUMBER(SEARCH("(externo)",$G422)),"Terceirizada","Interna"))</f>
        <v/>
      </c>
      <c r="R422" s="36" t="str">
        <f aca="false">IF($J422="","",IF($M422="",$J422,$M422))</f>
        <v/>
      </c>
      <c r="S422" s="31" t="str">
        <f aca="false">IF($E422="","",IF(OR($K422="",$J422=""),0,IF($K422&lt;=$J422,1,0)))</f>
        <v/>
      </c>
      <c r="T422" s="31" t="str">
        <f aca="false">IF($E422="","",IF(OR($K422="",$R422=""),0,IF($K422&lt;=$R422,1,0)))</f>
        <v/>
      </c>
      <c r="U422" s="38" t="str">
        <f aca="false">IF(OR($K422="",$J422=""),"",MAX(0,$K422-$J422))</f>
        <v/>
      </c>
      <c r="V422" s="31" t="str">
        <f aca="false">IF($E422="","",IF(AND($M422&lt;&gt;"",$J422&lt;&gt;"",$M422&lt;&gt;$J422),1,0))</f>
        <v/>
      </c>
      <c r="W422" s="39" t="str">
        <f aca="false">IF($E422="","",IF($L422="Cancelada",0,IF(OR($K422&lt;&gt;"",$L422="Concluída"),1,0)))</f>
        <v/>
      </c>
    </row>
    <row r="423" customFormat="false" ht="15" hidden="false" customHeight="true" outlineLevel="0" collapsed="false">
      <c r="A423" s="31" t="str">
        <f aca="false">IF($E423="","",COUNTA($E$5:$E423))</f>
        <v/>
      </c>
      <c r="B423" s="32"/>
      <c r="C423" s="32"/>
      <c r="D423" s="32"/>
      <c r="E423" s="32"/>
      <c r="F423" s="33"/>
      <c r="G423" s="32"/>
      <c r="H423" s="34"/>
      <c r="I423" s="35"/>
      <c r="J423" s="36" t="str">
        <f aca="false">IF(OR($H423="",$I423=""),"",$H423+MATCH($I423,Listas!$F$5:$F$11,0)-1)</f>
        <v/>
      </c>
      <c r="K423" s="37"/>
      <c r="L423" s="33"/>
      <c r="M423" s="37"/>
      <c r="N423" s="32"/>
      <c r="O423" s="32"/>
      <c r="P423" s="38" t="str">
        <f aca="true">IF($E423="","",IF($L423="Cancelada","Cancelada",IF(OR($K423&lt;&gt;"",$L423="Concluída"),IF(OR($J423="",$K423="",$K423&lt;=$J423),"Concluída","Concluída com atraso"),IF($J423="","Na carteira",IF($J423&lt;TODAY(),"VENCIDA",IF($L423="Em execução","Em execução",IF($J423=TODAY(),"Hoje","Programada")))))))</f>
        <v/>
      </c>
      <c r="Q423" s="31" t="str">
        <f aca="false">IF($E423="","",IF(ISNUMBER(SEARCH("(externo)",$G423)),"Terceirizada","Interna"))</f>
        <v/>
      </c>
      <c r="R423" s="36" t="str">
        <f aca="false">IF($J423="","",IF($M423="",$J423,$M423))</f>
        <v/>
      </c>
      <c r="S423" s="31" t="str">
        <f aca="false">IF($E423="","",IF(OR($K423="",$J423=""),0,IF($K423&lt;=$J423,1,0)))</f>
        <v/>
      </c>
      <c r="T423" s="31" t="str">
        <f aca="false">IF($E423="","",IF(OR($K423="",$R423=""),0,IF($K423&lt;=$R423,1,0)))</f>
        <v/>
      </c>
      <c r="U423" s="38" t="str">
        <f aca="false">IF(OR($K423="",$J423=""),"",MAX(0,$K423-$J423))</f>
        <v/>
      </c>
      <c r="V423" s="31" t="str">
        <f aca="false">IF($E423="","",IF(AND($M423&lt;&gt;"",$J423&lt;&gt;"",$M423&lt;&gt;$J423),1,0))</f>
        <v/>
      </c>
      <c r="W423" s="39" t="str">
        <f aca="false">IF($E423="","",IF($L423="Cancelada",0,IF(OR($K423&lt;&gt;"",$L423="Concluída"),1,0)))</f>
        <v/>
      </c>
    </row>
    <row r="424" customFormat="false" ht="15" hidden="false" customHeight="true" outlineLevel="0" collapsed="false">
      <c r="A424" s="31" t="str">
        <f aca="false">IF($E424="","",COUNTA($E$5:$E424))</f>
        <v/>
      </c>
      <c r="B424" s="32"/>
      <c r="C424" s="32"/>
      <c r="D424" s="32"/>
      <c r="E424" s="32"/>
      <c r="F424" s="33"/>
      <c r="G424" s="32"/>
      <c r="H424" s="34"/>
      <c r="I424" s="35"/>
      <c r="J424" s="36" t="str">
        <f aca="false">IF(OR($H424="",$I424=""),"",$H424+MATCH($I424,Listas!$F$5:$F$11,0)-1)</f>
        <v/>
      </c>
      <c r="K424" s="37"/>
      <c r="L424" s="33"/>
      <c r="M424" s="37"/>
      <c r="N424" s="32"/>
      <c r="O424" s="32"/>
      <c r="P424" s="38" t="str">
        <f aca="true">IF($E424="","",IF($L424="Cancelada","Cancelada",IF(OR($K424&lt;&gt;"",$L424="Concluída"),IF(OR($J424="",$K424="",$K424&lt;=$J424),"Concluída","Concluída com atraso"),IF($J424="","Na carteira",IF($J424&lt;TODAY(),"VENCIDA",IF($L424="Em execução","Em execução",IF($J424=TODAY(),"Hoje","Programada")))))))</f>
        <v/>
      </c>
      <c r="Q424" s="31" t="str">
        <f aca="false">IF($E424="","",IF(ISNUMBER(SEARCH("(externo)",$G424)),"Terceirizada","Interna"))</f>
        <v/>
      </c>
      <c r="R424" s="36" t="str">
        <f aca="false">IF($J424="","",IF($M424="",$J424,$M424))</f>
        <v/>
      </c>
      <c r="S424" s="31" t="str">
        <f aca="false">IF($E424="","",IF(OR($K424="",$J424=""),0,IF($K424&lt;=$J424,1,0)))</f>
        <v/>
      </c>
      <c r="T424" s="31" t="str">
        <f aca="false">IF($E424="","",IF(OR($K424="",$R424=""),0,IF($K424&lt;=$R424,1,0)))</f>
        <v/>
      </c>
      <c r="U424" s="38" t="str">
        <f aca="false">IF(OR($K424="",$J424=""),"",MAX(0,$K424-$J424))</f>
        <v/>
      </c>
      <c r="V424" s="31" t="str">
        <f aca="false">IF($E424="","",IF(AND($M424&lt;&gt;"",$J424&lt;&gt;"",$M424&lt;&gt;$J424),1,0))</f>
        <v/>
      </c>
      <c r="W424" s="39" t="str">
        <f aca="false">IF($E424="","",IF($L424="Cancelada",0,IF(OR($K424&lt;&gt;"",$L424="Concluída"),1,0)))</f>
        <v/>
      </c>
    </row>
    <row r="425" customFormat="false" ht="15" hidden="false" customHeight="true" outlineLevel="0" collapsed="false">
      <c r="A425" s="31" t="str">
        <f aca="false">IF($E425="","",COUNTA($E$5:$E425))</f>
        <v/>
      </c>
      <c r="B425" s="32"/>
      <c r="C425" s="32"/>
      <c r="D425" s="32"/>
      <c r="E425" s="32"/>
      <c r="F425" s="33"/>
      <c r="G425" s="32"/>
      <c r="H425" s="34"/>
      <c r="I425" s="35"/>
      <c r="J425" s="36" t="str">
        <f aca="false">IF(OR($H425="",$I425=""),"",$H425+MATCH($I425,Listas!$F$5:$F$11,0)-1)</f>
        <v/>
      </c>
      <c r="K425" s="37"/>
      <c r="L425" s="33"/>
      <c r="M425" s="37"/>
      <c r="N425" s="32"/>
      <c r="O425" s="32"/>
      <c r="P425" s="38" t="str">
        <f aca="true">IF($E425="","",IF($L425="Cancelada","Cancelada",IF(OR($K425&lt;&gt;"",$L425="Concluída"),IF(OR($J425="",$K425="",$K425&lt;=$J425),"Concluída","Concluída com atraso"),IF($J425="","Na carteira",IF($J425&lt;TODAY(),"VENCIDA",IF($L425="Em execução","Em execução",IF($J425=TODAY(),"Hoje","Programada")))))))</f>
        <v/>
      </c>
      <c r="Q425" s="31" t="str">
        <f aca="false">IF($E425="","",IF(ISNUMBER(SEARCH("(externo)",$G425)),"Terceirizada","Interna"))</f>
        <v/>
      </c>
      <c r="R425" s="36" t="str">
        <f aca="false">IF($J425="","",IF($M425="",$J425,$M425))</f>
        <v/>
      </c>
      <c r="S425" s="31" t="str">
        <f aca="false">IF($E425="","",IF(OR($K425="",$J425=""),0,IF($K425&lt;=$J425,1,0)))</f>
        <v/>
      </c>
      <c r="T425" s="31" t="str">
        <f aca="false">IF($E425="","",IF(OR($K425="",$R425=""),0,IF($K425&lt;=$R425,1,0)))</f>
        <v/>
      </c>
      <c r="U425" s="38" t="str">
        <f aca="false">IF(OR($K425="",$J425=""),"",MAX(0,$K425-$J425))</f>
        <v/>
      </c>
      <c r="V425" s="31" t="str">
        <f aca="false">IF($E425="","",IF(AND($M425&lt;&gt;"",$J425&lt;&gt;"",$M425&lt;&gt;$J425),1,0))</f>
        <v/>
      </c>
      <c r="W425" s="39" t="str">
        <f aca="false">IF($E425="","",IF($L425="Cancelada",0,IF(OR($K425&lt;&gt;"",$L425="Concluída"),1,0)))</f>
        <v/>
      </c>
    </row>
    <row r="426" customFormat="false" ht="15" hidden="false" customHeight="true" outlineLevel="0" collapsed="false">
      <c r="A426" s="31" t="str">
        <f aca="false">IF($E426="","",COUNTA($E$5:$E426))</f>
        <v/>
      </c>
      <c r="B426" s="32"/>
      <c r="C426" s="32"/>
      <c r="D426" s="32"/>
      <c r="E426" s="32"/>
      <c r="F426" s="33"/>
      <c r="G426" s="32"/>
      <c r="H426" s="34"/>
      <c r="I426" s="35"/>
      <c r="J426" s="36" t="str">
        <f aca="false">IF(OR($H426="",$I426=""),"",$H426+MATCH($I426,Listas!$F$5:$F$11,0)-1)</f>
        <v/>
      </c>
      <c r="K426" s="37"/>
      <c r="L426" s="33"/>
      <c r="M426" s="37"/>
      <c r="N426" s="32"/>
      <c r="O426" s="32"/>
      <c r="P426" s="38" t="str">
        <f aca="true">IF($E426="","",IF($L426="Cancelada","Cancelada",IF(OR($K426&lt;&gt;"",$L426="Concluída"),IF(OR($J426="",$K426="",$K426&lt;=$J426),"Concluída","Concluída com atraso"),IF($J426="","Na carteira",IF($J426&lt;TODAY(),"VENCIDA",IF($L426="Em execução","Em execução",IF($J426=TODAY(),"Hoje","Programada")))))))</f>
        <v/>
      </c>
      <c r="Q426" s="31" t="str">
        <f aca="false">IF($E426="","",IF(ISNUMBER(SEARCH("(externo)",$G426)),"Terceirizada","Interna"))</f>
        <v/>
      </c>
      <c r="R426" s="36" t="str">
        <f aca="false">IF($J426="","",IF($M426="",$J426,$M426))</f>
        <v/>
      </c>
      <c r="S426" s="31" t="str">
        <f aca="false">IF($E426="","",IF(OR($K426="",$J426=""),0,IF($K426&lt;=$J426,1,0)))</f>
        <v/>
      </c>
      <c r="T426" s="31" t="str">
        <f aca="false">IF($E426="","",IF(OR($K426="",$R426=""),0,IF($K426&lt;=$R426,1,0)))</f>
        <v/>
      </c>
      <c r="U426" s="38" t="str">
        <f aca="false">IF(OR($K426="",$J426=""),"",MAX(0,$K426-$J426))</f>
        <v/>
      </c>
      <c r="V426" s="31" t="str">
        <f aca="false">IF($E426="","",IF(AND($M426&lt;&gt;"",$J426&lt;&gt;"",$M426&lt;&gt;$J426),1,0))</f>
        <v/>
      </c>
      <c r="W426" s="39" t="str">
        <f aca="false">IF($E426="","",IF($L426="Cancelada",0,IF(OR($K426&lt;&gt;"",$L426="Concluída"),1,0)))</f>
        <v/>
      </c>
    </row>
    <row r="427" customFormat="false" ht="15" hidden="false" customHeight="true" outlineLevel="0" collapsed="false">
      <c r="A427" s="31" t="str">
        <f aca="false">IF($E427="","",COUNTA($E$5:$E427))</f>
        <v/>
      </c>
      <c r="B427" s="32"/>
      <c r="C427" s="32"/>
      <c r="D427" s="32"/>
      <c r="E427" s="32"/>
      <c r="F427" s="33"/>
      <c r="G427" s="32"/>
      <c r="H427" s="34"/>
      <c r="I427" s="35"/>
      <c r="J427" s="36" t="str">
        <f aca="false">IF(OR($H427="",$I427=""),"",$H427+MATCH($I427,Listas!$F$5:$F$11,0)-1)</f>
        <v/>
      </c>
      <c r="K427" s="37"/>
      <c r="L427" s="33"/>
      <c r="M427" s="37"/>
      <c r="N427" s="32"/>
      <c r="O427" s="32"/>
      <c r="P427" s="38" t="str">
        <f aca="true">IF($E427="","",IF($L427="Cancelada","Cancelada",IF(OR($K427&lt;&gt;"",$L427="Concluída"),IF(OR($J427="",$K427="",$K427&lt;=$J427),"Concluída","Concluída com atraso"),IF($J427="","Na carteira",IF($J427&lt;TODAY(),"VENCIDA",IF($L427="Em execução","Em execução",IF($J427=TODAY(),"Hoje","Programada")))))))</f>
        <v/>
      </c>
      <c r="Q427" s="31" t="str">
        <f aca="false">IF($E427="","",IF(ISNUMBER(SEARCH("(externo)",$G427)),"Terceirizada","Interna"))</f>
        <v/>
      </c>
      <c r="R427" s="36" t="str">
        <f aca="false">IF($J427="","",IF($M427="",$J427,$M427))</f>
        <v/>
      </c>
      <c r="S427" s="31" t="str">
        <f aca="false">IF($E427="","",IF(OR($K427="",$J427=""),0,IF($K427&lt;=$J427,1,0)))</f>
        <v/>
      </c>
      <c r="T427" s="31" t="str">
        <f aca="false">IF($E427="","",IF(OR($K427="",$R427=""),0,IF($K427&lt;=$R427,1,0)))</f>
        <v/>
      </c>
      <c r="U427" s="38" t="str">
        <f aca="false">IF(OR($K427="",$J427=""),"",MAX(0,$K427-$J427))</f>
        <v/>
      </c>
      <c r="V427" s="31" t="str">
        <f aca="false">IF($E427="","",IF(AND($M427&lt;&gt;"",$J427&lt;&gt;"",$M427&lt;&gt;$J427),1,0))</f>
        <v/>
      </c>
      <c r="W427" s="39" t="str">
        <f aca="false">IF($E427="","",IF($L427="Cancelada",0,IF(OR($K427&lt;&gt;"",$L427="Concluída"),1,0)))</f>
        <v/>
      </c>
    </row>
    <row r="428" customFormat="false" ht="15" hidden="false" customHeight="true" outlineLevel="0" collapsed="false">
      <c r="A428" s="31" t="str">
        <f aca="false">IF($E428="","",COUNTA($E$5:$E428))</f>
        <v/>
      </c>
      <c r="B428" s="32"/>
      <c r="C428" s="32"/>
      <c r="D428" s="32"/>
      <c r="E428" s="32"/>
      <c r="F428" s="33"/>
      <c r="G428" s="32"/>
      <c r="H428" s="34"/>
      <c r="I428" s="35"/>
      <c r="J428" s="36" t="str">
        <f aca="false">IF(OR($H428="",$I428=""),"",$H428+MATCH($I428,Listas!$F$5:$F$11,0)-1)</f>
        <v/>
      </c>
      <c r="K428" s="37"/>
      <c r="L428" s="33"/>
      <c r="M428" s="37"/>
      <c r="N428" s="32"/>
      <c r="O428" s="32"/>
      <c r="P428" s="38" t="str">
        <f aca="true">IF($E428="","",IF($L428="Cancelada","Cancelada",IF(OR($K428&lt;&gt;"",$L428="Concluída"),IF(OR($J428="",$K428="",$K428&lt;=$J428),"Concluída","Concluída com atraso"),IF($J428="","Na carteira",IF($J428&lt;TODAY(),"VENCIDA",IF($L428="Em execução","Em execução",IF($J428=TODAY(),"Hoje","Programada")))))))</f>
        <v/>
      </c>
      <c r="Q428" s="31" t="str">
        <f aca="false">IF($E428="","",IF(ISNUMBER(SEARCH("(externo)",$G428)),"Terceirizada","Interna"))</f>
        <v/>
      </c>
      <c r="R428" s="36" t="str">
        <f aca="false">IF($J428="","",IF($M428="",$J428,$M428))</f>
        <v/>
      </c>
      <c r="S428" s="31" t="str">
        <f aca="false">IF($E428="","",IF(OR($K428="",$J428=""),0,IF($K428&lt;=$J428,1,0)))</f>
        <v/>
      </c>
      <c r="T428" s="31" t="str">
        <f aca="false">IF($E428="","",IF(OR($K428="",$R428=""),0,IF($K428&lt;=$R428,1,0)))</f>
        <v/>
      </c>
      <c r="U428" s="38" t="str">
        <f aca="false">IF(OR($K428="",$J428=""),"",MAX(0,$K428-$J428))</f>
        <v/>
      </c>
      <c r="V428" s="31" t="str">
        <f aca="false">IF($E428="","",IF(AND($M428&lt;&gt;"",$J428&lt;&gt;"",$M428&lt;&gt;$J428),1,0))</f>
        <v/>
      </c>
      <c r="W428" s="39" t="str">
        <f aca="false">IF($E428="","",IF($L428="Cancelada",0,IF(OR($K428&lt;&gt;"",$L428="Concluída"),1,0)))</f>
        <v/>
      </c>
    </row>
    <row r="429" customFormat="false" ht="15" hidden="false" customHeight="true" outlineLevel="0" collapsed="false">
      <c r="A429" s="31" t="str">
        <f aca="false">IF($E429="","",COUNTA($E$5:$E429))</f>
        <v/>
      </c>
      <c r="B429" s="32"/>
      <c r="C429" s="32"/>
      <c r="D429" s="32"/>
      <c r="E429" s="32"/>
      <c r="F429" s="33"/>
      <c r="G429" s="32"/>
      <c r="H429" s="34"/>
      <c r="I429" s="35"/>
      <c r="J429" s="36" t="str">
        <f aca="false">IF(OR($H429="",$I429=""),"",$H429+MATCH($I429,Listas!$F$5:$F$11,0)-1)</f>
        <v/>
      </c>
      <c r="K429" s="37"/>
      <c r="L429" s="33"/>
      <c r="M429" s="37"/>
      <c r="N429" s="32"/>
      <c r="O429" s="32"/>
      <c r="P429" s="38" t="str">
        <f aca="true">IF($E429="","",IF($L429="Cancelada","Cancelada",IF(OR($K429&lt;&gt;"",$L429="Concluída"),IF(OR($J429="",$K429="",$K429&lt;=$J429),"Concluída","Concluída com atraso"),IF($J429="","Na carteira",IF($J429&lt;TODAY(),"VENCIDA",IF($L429="Em execução","Em execução",IF($J429=TODAY(),"Hoje","Programada")))))))</f>
        <v/>
      </c>
      <c r="Q429" s="31" t="str">
        <f aca="false">IF($E429="","",IF(ISNUMBER(SEARCH("(externo)",$G429)),"Terceirizada","Interna"))</f>
        <v/>
      </c>
      <c r="R429" s="36" t="str">
        <f aca="false">IF($J429="","",IF($M429="",$J429,$M429))</f>
        <v/>
      </c>
      <c r="S429" s="31" t="str">
        <f aca="false">IF($E429="","",IF(OR($K429="",$J429=""),0,IF($K429&lt;=$J429,1,0)))</f>
        <v/>
      </c>
      <c r="T429" s="31" t="str">
        <f aca="false">IF($E429="","",IF(OR($K429="",$R429=""),0,IF($K429&lt;=$R429,1,0)))</f>
        <v/>
      </c>
      <c r="U429" s="38" t="str">
        <f aca="false">IF(OR($K429="",$J429=""),"",MAX(0,$K429-$J429))</f>
        <v/>
      </c>
      <c r="V429" s="31" t="str">
        <f aca="false">IF($E429="","",IF(AND($M429&lt;&gt;"",$J429&lt;&gt;"",$M429&lt;&gt;$J429),1,0))</f>
        <v/>
      </c>
      <c r="W429" s="39" t="str">
        <f aca="false">IF($E429="","",IF($L429="Cancelada",0,IF(OR($K429&lt;&gt;"",$L429="Concluída"),1,0)))</f>
        <v/>
      </c>
    </row>
    <row r="430" customFormat="false" ht="15" hidden="false" customHeight="true" outlineLevel="0" collapsed="false">
      <c r="A430" s="31" t="str">
        <f aca="false">IF($E430="","",COUNTA($E$5:$E430))</f>
        <v/>
      </c>
      <c r="B430" s="32"/>
      <c r="C430" s="32"/>
      <c r="D430" s="32"/>
      <c r="E430" s="32"/>
      <c r="F430" s="33"/>
      <c r="G430" s="32"/>
      <c r="H430" s="34"/>
      <c r="I430" s="35"/>
      <c r="J430" s="36" t="str">
        <f aca="false">IF(OR($H430="",$I430=""),"",$H430+MATCH($I430,Listas!$F$5:$F$11,0)-1)</f>
        <v/>
      </c>
      <c r="K430" s="37"/>
      <c r="L430" s="33"/>
      <c r="M430" s="37"/>
      <c r="N430" s="32"/>
      <c r="O430" s="32"/>
      <c r="P430" s="38" t="str">
        <f aca="true">IF($E430="","",IF($L430="Cancelada","Cancelada",IF(OR($K430&lt;&gt;"",$L430="Concluída"),IF(OR($J430="",$K430="",$K430&lt;=$J430),"Concluída","Concluída com atraso"),IF($J430="","Na carteira",IF($J430&lt;TODAY(),"VENCIDA",IF($L430="Em execução","Em execução",IF($J430=TODAY(),"Hoje","Programada")))))))</f>
        <v/>
      </c>
      <c r="Q430" s="31" t="str">
        <f aca="false">IF($E430="","",IF(ISNUMBER(SEARCH("(externo)",$G430)),"Terceirizada","Interna"))</f>
        <v/>
      </c>
      <c r="R430" s="36" t="str">
        <f aca="false">IF($J430="","",IF($M430="",$J430,$M430))</f>
        <v/>
      </c>
      <c r="S430" s="31" t="str">
        <f aca="false">IF($E430="","",IF(OR($K430="",$J430=""),0,IF($K430&lt;=$J430,1,0)))</f>
        <v/>
      </c>
      <c r="T430" s="31" t="str">
        <f aca="false">IF($E430="","",IF(OR($K430="",$R430=""),0,IF($K430&lt;=$R430,1,0)))</f>
        <v/>
      </c>
      <c r="U430" s="38" t="str">
        <f aca="false">IF(OR($K430="",$J430=""),"",MAX(0,$K430-$J430))</f>
        <v/>
      </c>
      <c r="V430" s="31" t="str">
        <f aca="false">IF($E430="","",IF(AND($M430&lt;&gt;"",$J430&lt;&gt;"",$M430&lt;&gt;$J430),1,0))</f>
        <v/>
      </c>
      <c r="W430" s="39" t="str">
        <f aca="false">IF($E430="","",IF($L430="Cancelada",0,IF(OR($K430&lt;&gt;"",$L430="Concluída"),1,0)))</f>
        <v/>
      </c>
    </row>
    <row r="431" customFormat="false" ht="15" hidden="false" customHeight="true" outlineLevel="0" collapsed="false">
      <c r="A431" s="31" t="str">
        <f aca="false">IF($E431="","",COUNTA($E$5:$E431))</f>
        <v/>
      </c>
      <c r="B431" s="32"/>
      <c r="C431" s="32"/>
      <c r="D431" s="32"/>
      <c r="E431" s="32"/>
      <c r="F431" s="33"/>
      <c r="G431" s="32"/>
      <c r="H431" s="34"/>
      <c r="I431" s="35"/>
      <c r="J431" s="36" t="str">
        <f aca="false">IF(OR($H431="",$I431=""),"",$H431+MATCH($I431,Listas!$F$5:$F$11,0)-1)</f>
        <v/>
      </c>
      <c r="K431" s="37"/>
      <c r="L431" s="33"/>
      <c r="M431" s="37"/>
      <c r="N431" s="32"/>
      <c r="O431" s="32"/>
      <c r="P431" s="38" t="str">
        <f aca="true">IF($E431="","",IF($L431="Cancelada","Cancelada",IF(OR($K431&lt;&gt;"",$L431="Concluída"),IF(OR($J431="",$K431="",$K431&lt;=$J431),"Concluída","Concluída com atraso"),IF($J431="","Na carteira",IF($J431&lt;TODAY(),"VENCIDA",IF($L431="Em execução","Em execução",IF($J431=TODAY(),"Hoje","Programada")))))))</f>
        <v/>
      </c>
      <c r="Q431" s="31" t="str">
        <f aca="false">IF($E431="","",IF(ISNUMBER(SEARCH("(externo)",$G431)),"Terceirizada","Interna"))</f>
        <v/>
      </c>
      <c r="R431" s="36" t="str">
        <f aca="false">IF($J431="","",IF($M431="",$J431,$M431))</f>
        <v/>
      </c>
      <c r="S431" s="31" t="str">
        <f aca="false">IF($E431="","",IF(OR($K431="",$J431=""),0,IF($K431&lt;=$J431,1,0)))</f>
        <v/>
      </c>
      <c r="T431" s="31" t="str">
        <f aca="false">IF($E431="","",IF(OR($K431="",$R431=""),0,IF($K431&lt;=$R431,1,0)))</f>
        <v/>
      </c>
      <c r="U431" s="38" t="str">
        <f aca="false">IF(OR($K431="",$J431=""),"",MAX(0,$K431-$J431))</f>
        <v/>
      </c>
      <c r="V431" s="31" t="str">
        <f aca="false">IF($E431="","",IF(AND($M431&lt;&gt;"",$J431&lt;&gt;"",$M431&lt;&gt;$J431),1,0))</f>
        <v/>
      </c>
      <c r="W431" s="39" t="str">
        <f aca="false">IF($E431="","",IF($L431="Cancelada",0,IF(OR($K431&lt;&gt;"",$L431="Concluída"),1,0)))</f>
        <v/>
      </c>
    </row>
    <row r="432" customFormat="false" ht="15" hidden="false" customHeight="true" outlineLevel="0" collapsed="false">
      <c r="A432" s="31" t="str">
        <f aca="false">IF($E432="","",COUNTA($E$5:$E432))</f>
        <v/>
      </c>
      <c r="B432" s="32"/>
      <c r="C432" s="32"/>
      <c r="D432" s="32"/>
      <c r="E432" s="32"/>
      <c r="F432" s="33"/>
      <c r="G432" s="32"/>
      <c r="H432" s="34"/>
      <c r="I432" s="35"/>
      <c r="J432" s="36" t="str">
        <f aca="false">IF(OR($H432="",$I432=""),"",$H432+MATCH($I432,Listas!$F$5:$F$11,0)-1)</f>
        <v/>
      </c>
      <c r="K432" s="37"/>
      <c r="L432" s="33"/>
      <c r="M432" s="37"/>
      <c r="N432" s="32"/>
      <c r="O432" s="32"/>
      <c r="P432" s="38" t="str">
        <f aca="true">IF($E432="","",IF($L432="Cancelada","Cancelada",IF(OR($K432&lt;&gt;"",$L432="Concluída"),IF(OR($J432="",$K432="",$K432&lt;=$J432),"Concluída","Concluída com atraso"),IF($J432="","Na carteira",IF($J432&lt;TODAY(),"VENCIDA",IF($L432="Em execução","Em execução",IF($J432=TODAY(),"Hoje","Programada")))))))</f>
        <v/>
      </c>
      <c r="Q432" s="31" t="str">
        <f aca="false">IF($E432="","",IF(ISNUMBER(SEARCH("(externo)",$G432)),"Terceirizada","Interna"))</f>
        <v/>
      </c>
      <c r="R432" s="36" t="str">
        <f aca="false">IF($J432="","",IF($M432="",$J432,$M432))</f>
        <v/>
      </c>
      <c r="S432" s="31" t="str">
        <f aca="false">IF($E432="","",IF(OR($K432="",$J432=""),0,IF($K432&lt;=$J432,1,0)))</f>
        <v/>
      </c>
      <c r="T432" s="31" t="str">
        <f aca="false">IF($E432="","",IF(OR($K432="",$R432=""),0,IF($K432&lt;=$R432,1,0)))</f>
        <v/>
      </c>
      <c r="U432" s="38" t="str">
        <f aca="false">IF(OR($K432="",$J432=""),"",MAX(0,$K432-$J432))</f>
        <v/>
      </c>
      <c r="V432" s="31" t="str">
        <f aca="false">IF($E432="","",IF(AND($M432&lt;&gt;"",$J432&lt;&gt;"",$M432&lt;&gt;$J432),1,0))</f>
        <v/>
      </c>
      <c r="W432" s="39" t="str">
        <f aca="false">IF($E432="","",IF($L432="Cancelada",0,IF(OR($K432&lt;&gt;"",$L432="Concluída"),1,0)))</f>
        <v/>
      </c>
    </row>
    <row r="433" customFormat="false" ht="15" hidden="false" customHeight="true" outlineLevel="0" collapsed="false">
      <c r="A433" s="31" t="str">
        <f aca="false">IF($E433="","",COUNTA($E$5:$E433))</f>
        <v/>
      </c>
      <c r="B433" s="32"/>
      <c r="C433" s="32"/>
      <c r="D433" s="32"/>
      <c r="E433" s="32"/>
      <c r="F433" s="33"/>
      <c r="G433" s="32"/>
      <c r="H433" s="34"/>
      <c r="I433" s="35"/>
      <c r="J433" s="36" t="str">
        <f aca="false">IF(OR($H433="",$I433=""),"",$H433+MATCH($I433,Listas!$F$5:$F$11,0)-1)</f>
        <v/>
      </c>
      <c r="K433" s="37"/>
      <c r="L433" s="33"/>
      <c r="M433" s="37"/>
      <c r="N433" s="32"/>
      <c r="O433" s="32"/>
      <c r="P433" s="38" t="str">
        <f aca="true">IF($E433="","",IF($L433="Cancelada","Cancelada",IF(OR($K433&lt;&gt;"",$L433="Concluída"),IF(OR($J433="",$K433="",$K433&lt;=$J433),"Concluída","Concluída com atraso"),IF($J433="","Na carteira",IF($J433&lt;TODAY(),"VENCIDA",IF($L433="Em execução","Em execução",IF($J433=TODAY(),"Hoje","Programada")))))))</f>
        <v/>
      </c>
      <c r="Q433" s="31" t="str">
        <f aca="false">IF($E433="","",IF(ISNUMBER(SEARCH("(externo)",$G433)),"Terceirizada","Interna"))</f>
        <v/>
      </c>
      <c r="R433" s="36" t="str">
        <f aca="false">IF($J433="","",IF($M433="",$J433,$M433))</f>
        <v/>
      </c>
      <c r="S433" s="31" t="str">
        <f aca="false">IF($E433="","",IF(OR($K433="",$J433=""),0,IF($K433&lt;=$J433,1,0)))</f>
        <v/>
      </c>
      <c r="T433" s="31" t="str">
        <f aca="false">IF($E433="","",IF(OR($K433="",$R433=""),0,IF($K433&lt;=$R433,1,0)))</f>
        <v/>
      </c>
      <c r="U433" s="38" t="str">
        <f aca="false">IF(OR($K433="",$J433=""),"",MAX(0,$K433-$J433))</f>
        <v/>
      </c>
      <c r="V433" s="31" t="str">
        <f aca="false">IF($E433="","",IF(AND($M433&lt;&gt;"",$J433&lt;&gt;"",$M433&lt;&gt;$J433),1,0))</f>
        <v/>
      </c>
      <c r="W433" s="39" t="str">
        <f aca="false">IF($E433="","",IF($L433="Cancelada",0,IF(OR($K433&lt;&gt;"",$L433="Concluída"),1,0)))</f>
        <v/>
      </c>
    </row>
    <row r="434" customFormat="false" ht="15" hidden="false" customHeight="true" outlineLevel="0" collapsed="false">
      <c r="A434" s="31" t="str">
        <f aca="false">IF($E434="","",COUNTA($E$5:$E434))</f>
        <v/>
      </c>
      <c r="B434" s="32"/>
      <c r="C434" s="32"/>
      <c r="D434" s="32"/>
      <c r="E434" s="32"/>
      <c r="F434" s="33"/>
      <c r="G434" s="32"/>
      <c r="H434" s="34"/>
      <c r="I434" s="35"/>
      <c r="J434" s="36" t="str">
        <f aca="false">IF(OR($H434="",$I434=""),"",$H434+MATCH($I434,Listas!$F$5:$F$11,0)-1)</f>
        <v/>
      </c>
      <c r="K434" s="37"/>
      <c r="L434" s="33"/>
      <c r="M434" s="37"/>
      <c r="N434" s="32"/>
      <c r="O434" s="32"/>
      <c r="P434" s="38" t="str">
        <f aca="true">IF($E434="","",IF($L434="Cancelada","Cancelada",IF(OR($K434&lt;&gt;"",$L434="Concluída"),IF(OR($J434="",$K434="",$K434&lt;=$J434),"Concluída","Concluída com atraso"),IF($J434="","Na carteira",IF($J434&lt;TODAY(),"VENCIDA",IF($L434="Em execução","Em execução",IF($J434=TODAY(),"Hoje","Programada")))))))</f>
        <v/>
      </c>
      <c r="Q434" s="31" t="str">
        <f aca="false">IF($E434="","",IF(ISNUMBER(SEARCH("(externo)",$G434)),"Terceirizada","Interna"))</f>
        <v/>
      </c>
      <c r="R434" s="36" t="str">
        <f aca="false">IF($J434="","",IF($M434="",$J434,$M434))</f>
        <v/>
      </c>
      <c r="S434" s="31" t="str">
        <f aca="false">IF($E434="","",IF(OR($K434="",$J434=""),0,IF($K434&lt;=$J434,1,0)))</f>
        <v/>
      </c>
      <c r="T434" s="31" t="str">
        <f aca="false">IF($E434="","",IF(OR($K434="",$R434=""),0,IF($K434&lt;=$R434,1,0)))</f>
        <v/>
      </c>
      <c r="U434" s="38" t="str">
        <f aca="false">IF(OR($K434="",$J434=""),"",MAX(0,$K434-$J434))</f>
        <v/>
      </c>
      <c r="V434" s="31" t="str">
        <f aca="false">IF($E434="","",IF(AND($M434&lt;&gt;"",$J434&lt;&gt;"",$M434&lt;&gt;$J434),1,0))</f>
        <v/>
      </c>
      <c r="W434" s="39" t="str">
        <f aca="false">IF($E434="","",IF($L434="Cancelada",0,IF(OR($K434&lt;&gt;"",$L434="Concluída"),1,0)))</f>
        <v/>
      </c>
    </row>
    <row r="435" customFormat="false" ht="15" hidden="false" customHeight="true" outlineLevel="0" collapsed="false">
      <c r="A435" s="31" t="str">
        <f aca="false">IF($E435="","",COUNTA($E$5:$E435))</f>
        <v/>
      </c>
      <c r="B435" s="32"/>
      <c r="C435" s="32"/>
      <c r="D435" s="32"/>
      <c r="E435" s="32"/>
      <c r="F435" s="33"/>
      <c r="G435" s="32"/>
      <c r="H435" s="34"/>
      <c r="I435" s="35"/>
      <c r="J435" s="36" t="str">
        <f aca="false">IF(OR($H435="",$I435=""),"",$H435+MATCH($I435,Listas!$F$5:$F$11,0)-1)</f>
        <v/>
      </c>
      <c r="K435" s="37"/>
      <c r="L435" s="33"/>
      <c r="M435" s="37"/>
      <c r="N435" s="32"/>
      <c r="O435" s="32"/>
      <c r="P435" s="38" t="str">
        <f aca="true">IF($E435="","",IF($L435="Cancelada","Cancelada",IF(OR($K435&lt;&gt;"",$L435="Concluída"),IF(OR($J435="",$K435="",$K435&lt;=$J435),"Concluída","Concluída com atraso"),IF($J435="","Na carteira",IF($J435&lt;TODAY(),"VENCIDA",IF($L435="Em execução","Em execução",IF($J435=TODAY(),"Hoje","Programada")))))))</f>
        <v/>
      </c>
      <c r="Q435" s="31" t="str">
        <f aca="false">IF($E435="","",IF(ISNUMBER(SEARCH("(externo)",$G435)),"Terceirizada","Interna"))</f>
        <v/>
      </c>
      <c r="R435" s="36" t="str">
        <f aca="false">IF($J435="","",IF($M435="",$J435,$M435))</f>
        <v/>
      </c>
      <c r="S435" s="31" t="str">
        <f aca="false">IF($E435="","",IF(OR($K435="",$J435=""),0,IF($K435&lt;=$J435,1,0)))</f>
        <v/>
      </c>
      <c r="T435" s="31" t="str">
        <f aca="false">IF($E435="","",IF(OR($K435="",$R435=""),0,IF($K435&lt;=$R435,1,0)))</f>
        <v/>
      </c>
      <c r="U435" s="38" t="str">
        <f aca="false">IF(OR($K435="",$J435=""),"",MAX(0,$K435-$J435))</f>
        <v/>
      </c>
      <c r="V435" s="31" t="str">
        <f aca="false">IF($E435="","",IF(AND($M435&lt;&gt;"",$J435&lt;&gt;"",$M435&lt;&gt;$J435),1,0))</f>
        <v/>
      </c>
      <c r="W435" s="39" t="str">
        <f aca="false">IF($E435="","",IF($L435="Cancelada",0,IF(OR($K435&lt;&gt;"",$L435="Concluída"),1,0)))</f>
        <v/>
      </c>
    </row>
    <row r="436" customFormat="false" ht="15" hidden="false" customHeight="true" outlineLevel="0" collapsed="false">
      <c r="A436" s="31" t="str">
        <f aca="false">IF($E436="","",COUNTA($E$5:$E436))</f>
        <v/>
      </c>
      <c r="B436" s="32"/>
      <c r="C436" s="32"/>
      <c r="D436" s="32"/>
      <c r="E436" s="32"/>
      <c r="F436" s="33"/>
      <c r="G436" s="32"/>
      <c r="H436" s="34"/>
      <c r="I436" s="35"/>
      <c r="J436" s="36" t="str">
        <f aca="false">IF(OR($H436="",$I436=""),"",$H436+MATCH($I436,Listas!$F$5:$F$11,0)-1)</f>
        <v/>
      </c>
      <c r="K436" s="37"/>
      <c r="L436" s="33"/>
      <c r="M436" s="37"/>
      <c r="N436" s="32"/>
      <c r="O436" s="32"/>
      <c r="P436" s="38" t="str">
        <f aca="true">IF($E436="","",IF($L436="Cancelada","Cancelada",IF(OR($K436&lt;&gt;"",$L436="Concluída"),IF(OR($J436="",$K436="",$K436&lt;=$J436),"Concluída","Concluída com atraso"),IF($J436="","Na carteira",IF($J436&lt;TODAY(),"VENCIDA",IF($L436="Em execução","Em execução",IF($J436=TODAY(),"Hoje","Programada")))))))</f>
        <v/>
      </c>
      <c r="Q436" s="31" t="str">
        <f aca="false">IF($E436="","",IF(ISNUMBER(SEARCH("(externo)",$G436)),"Terceirizada","Interna"))</f>
        <v/>
      </c>
      <c r="R436" s="36" t="str">
        <f aca="false">IF($J436="","",IF($M436="",$J436,$M436))</f>
        <v/>
      </c>
      <c r="S436" s="31" t="str">
        <f aca="false">IF($E436="","",IF(OR($K436="",$J436=""),0,IF($K436&lt;=$J436,1,0)))</f>
        <v/>
      </c>
      <c r="T436" s="31" t="str">
        <f aca="false">IF($E436="","",IF(OR($K436="",$R436=""),0,IF($K436&lt;=$R436,1,0)))</f>
        <v/>
      </c>
      <c r="U436" s="38" t="str">
        <f aca="false">IF(OR($K436="",$J436=""),"",MAX(0,$K436-$J436))</f>
        <v/>
      </c>
      <c r="V436" s="31" t="str">
        <f aca="false">IF($E436="","",IF(AND($M436&lt;&gt;"",$J436&lt;&gt;"",$M436&lt;&gt;$J436),1,0))</f>
        <v/>
      </c>
      <c r="W436" s="39" t="str">
        <f aca="false">IF($E436="","",IF($L436="Cancelada",0,IF(OR($K436&lt;&gt;"",$L436="Concluída"),1,0)))</f>
        <v/>
      </c>
    </row>
    <row r="437" customFormat="false" ht="15" hidden="false" customHeight="true" outlineLevel="0" collapsed="false">
      <c r="A437" s="31" t="str">
        <f aca="false">IF($E437="","",COUNTA($E$5:$E437))</f>
        <v/>
      </c>
      <c r="B437" s="32"/>
      <c r="C437" s="32"/>
      <c r="D437" s="32"/>
      <c r="E437" s="32"/>
      <c r="F437" s="33"/>
      <c r="G437" s="32"/>
      <c r="H437" s="34"/>
      <c r="I437" s="35"/>
      <c r="J437" s="36" t="str">
        <f aca="false">IF(OR($H437="",$I437=""),"",$H437+MATCH($I437,Listas!$F$5:$F$11,0)-1)</f>
        <v/>
      </c>
      <c r="K437" s="37"/>
      <c r="L437" s="33"/>
      <c r="M437" s="37"/>
      <c r="N437" s="32"/>
      <c r="O437" s="32"/>
      <c r="P437" s="38" t="str">
        <f aca="true">IF($E437="","",IF($L437="Cancelada","Cancelada",IF(OR($K437&lt;&gt;"",$L437="Concluída"),IF(OR($J437="",$K437="",$K437&lt;=$J437),"Concluída","Concluída com atraso"),IF($J437="","Na carteira",IF($J437&lt;TODAY(),"VENCIDA",IF($L437="Em execução","Em execução",IF($J437=TODAY(),"Hoje","Programada")))))))</f>
        <v/>
      </c>
      <c r="Q437" s="31" t="str">
        <f aca="false">IF($E437="","",IF(ISNUMBER(SEARCH("(externo)",$G437)),"Terceirizada","Interna"))</f>
        <v/>
      </c>
      <c r="R437" s="36" t="str">
        <f aca="false">IF($J437="","",IF($M437="",$J437,$M437))</f>
        <v/>
      </c>
      <c r="S437" s="31" t="str">
        <f aca="false">IF($E437="","",IF(OR($K437="",$J437=""),0,IF($K437&lt;=$J437,1,0)))</f>
        <v/>
      </c>
      <c r="T437" s="31" t="str">
        <f aca="false">IF($E437="","",IF(OR($K437="",$R437=""),0,IF($K437&lt;=$R437,1,0)))</f>
        <v/>
      </c>
      <c r="U437" s="38" t="str">
        <f aca="false">IF(OR($K437="",$J437=""),"",MAX(0,$K437-$J437))</f>
        <v/>
      </c>
      <c r="V437" s="31" t="str">
        <f aca="false">IF($E437="","",IF(AND($M437&lt;&gt;"",$J437&lt;&gt;"",$M437&lt;&gt;$J437),1,0))</f>
        <v/>
      </c>
      <c r="W437" s="39" t="str">
        <f aca="false">IF($E437="","",IF($L437="Cancelada",0,IF(OR($K437&lt;&gt;"",$L437="Concluída"),1,0)))</f>
        <v/>
      </c>
    </row>
    <row r="438" customFormat="false" ht="15" hidden="false" customHeight="true" outlineLevel="0" collapsed="false">
      <c r="A438" s="31" t="str">
        <f aca="false">IF($E438="","",COUNTA($E$5:$E438))</f>
        <v/>
      </c>
      <c r="B438" s="32"/>
      <c r="C438" s="32"/>
      <c r="D438" s="32"/>
      <c r="E438" s="32"/>
      <c r="F438" s="33"/>
      <c r="G438" s="32"/>
      <c r="H438" s="34"/>
      <c r="I438" s="35"/>
      <c r="J438" s="36" t="str">
        <f aca="false">IF(OR($H438="",$I438=""),"",$H438+MATCH($I438,Listas!$F$5:$F$11,0)-1)</f>
        <v/>
      </c>
      <c r="K438" s="37"/>
      <c r="L438" s="33"/>
      <c r="M438" s="37"/>
      <c r="N438" s="32"/>
      <c r="O438" s="32"/>
      <c r="P438" s="38" t="str">
        <f aca="true">IF($E438="","",IF($L438="Cancelada","Cancelada",IF(OR($K438&lt;&gt;"",$L438="Concluída"),IF(OR($J438="",$K438="",$K438&lt;=$J438),"Concluída","Concluída com atraso"),IF($J438="","Na carteira",IF($J438&lt;TODAY(),"VENCIDA",IF($L438="Em execução","Em execução",IF($J438=TODAY(),"Hoje","Programada")))))))</f>
        <v/>
      </c>
      <c r="Q438" s="31" t="str">
        <f aca="false">IF($E438="","",IF(ISNUMBER(SEARCH("(externo)",$G438)),"Terceirizada","Interna"))</f>
        <v/>
      </c>
      <c r="R438" s="36" t="str">
        <f aca="false">IF($J438="","",IF($M438="",$J438,$M438))</f>
        <v/>
      </c>
      <c r="S438" s="31" t="str">
        <f aca="false">IF($E438="","",IF(OR($K438="",$J438=""),0,IF($K438&lt;=$J438,1,0)))</f>
        <v/>
      </c>
      <c r="T438" s="31" t="str">
        <f aca="false">IF($E438="","",IF(OR($K438="",$R438=""),0,IF($K438&lt;=$R438,1,0)))</f>
        <v/>
      </c>
      <c r="U438" s="38" t="str">
        <f aca="false">IF(OR($K438="",$J438=""),"",MAX(0,$K438-$J438))</f>
        <v/>
      </c>
      <c r="V438" s="31" t="str">
        <f aca="false">IF($E438="","",IF(AND($M438&lt;&gt;"",$J438&lt;&gt;"",$M438&lt;&gt;$J438),1,0))</f>
        <v/>
      </c>
      <c r="W438" s="39" t="str">
        <f aca="false">IF($E438="","",IF($L438="Cancelada",0,IF(OR($K438&lt;&gt;"",$L438="Concluída"),1,0)))</f>
        <v/>
      </c>
    </row>
    <row r="439" customFormat="false" ht="15" hidden="false" customHeight="true" outlineLevel="0" collapsed="false">
      <c r="A439" s="31" t="str">
        <f aca="false">IF($E439="","",COUNTA($E$5:$E439))</f>
        <v/>
      </c>
      <c r="B439" s="32"/>
      <c r="C439" s="32"/>
      <c r="D439" s="32"/>
      <c r="E439" s="32"/>
      <c r="F439" s="33"/>
      <c r="G439" s="32"/>
      <c r="H439" s="34"/>
      <c r="I439" s="35"/>
      <c r="J439" s="36" t="str">
        <f aca="false">IF(OR($H439="",$I439=""),"",$H439+MATCH($I439,Listas!$F$5:$F$11,0)-1)</f>
        <v/>
      </c>
      <c r="K439" s="37"/>
      <c r="L439" s="33"/>
      <c r="M439" s="37"/>
      <c r="N439" s="32"/>
      <c r="O439" s="32"/>
      <c r="P439" s="38" t="str">
        <f aca="true">IF($E439="","",IF($L439="Cancelada","Cancelada",IF(OR($K439&lt;&gt;"",$L439="Concluída"),IF(OR($J439="",$K439="",$K439&lt;=$J439),"Concluída","Concluída com atraso"),IF($J439="","Na carteira",IF($J439&lt;TODAY(),"VENCIDA",IF($L439="Em execução","Em execução",IF($J439=TODAY(),"Hoje","Programada")))))))</f>
        <v/>
      </c>
      <c r="Q439" s="31" t="str">
        <f aca="false">IF($E439="","",IF(ISNUMBER(SEARCH("(externo)",$G439)),"Terceirizada","Interna"))</f>
        <v/>
      </c>
      <c r="R439" s="36" t="str">
        <f aca="false">IF($J439="","",IF($M439="",$J439,$M439))</f>
        <v/>
      </c>
      <c r="S439" s="31" t="str">
        <f aca="false">IF($E439="","",IF(OR($K439="",$J439=""),0,IF($K439&lt;=$J439,1,0)))</f>
        <v/>
      </c>
      <c r="T439" s="31" t="str">
        <f aca="false">IF($E439="","",IF(OR($K439="",$R439=""),0,IF($K439&lt;=$R439,1,0)))</f>
        <v/>
      </c>
      <c r="U439" s="38" t="str">
        <f aca="false">IF(OR($K439="",$J439=""),"",MAX(0,$K439-$J439))</f>
        <v/>
      </c>
      <c r="V439" s="31" t="str">
        <f aca="false">IF($E439="","",IF(AND($M439&lt;&gt;"",$J439&lt;&gt;"",$M439&lt;&gt;$J439),1,0))</f>
        <v/>
      </c>
      <c r="W439" s="39" t="str">
        <f aca="false">IF($E439="","",IF($L439="Cancelada",0,IF(OR($K439&lt;&gt;"",$L439="Concluída"),1,0)))</f>
        <v/>
      </c>
    </row>
    <row r="440" customFormat="false" ht="15" hidden="false" customHeight="true" outlineLevel="0" collapsed="false">
      <c r="A440" s="31" t="str">
        <f aca="false">IF($E440="","",COUNTA($E$5:$E440))</f>
        <v/>
      </c>
      <c r="B440" s="32"/>
      <c r="C440" s="32"/>
      <c r="D440" s="32"/>
      <c r="E440" s="32"/>
      <c r="F440" s="33"/>
      <c r="G440" s="32"/>
      <c r="H440" s="34"/>
      <c r="I440" s="35"/>
      <c r="J440" s="36" t="str">
        <f aca="false">IF(OR($H440="",$I440=""),"",$H440+MATCH($I440,Listas!$F$5:$F$11,0)-1)</f>
        <v/>
      </c>
      <c r="K440" s="37"/>
      <c r="L440" s="33"/>
      <c r="M440" s="37"/>
      <c r="N440" s="32"/>
      <c r="O440" s="32"/>
      <c r="P440" s="38" t="str">
        <f aca="true">IF($E440="","",IF($L440="Cancelada","Cancelada",IF(OR($K440&lt;&gt;"",$L440="Concluída"),IF(OR($J440="",$K440="",$K440&lt;=$J440),"Concluída","Concluída com atraso"),IF($J440="","Na carteira",IF($J440&lt;TODAY(),"VENCIDA",IF($L440="Em execução","Em execução",IF($J440=TODAY(),"Hoje","Programada")))))))</f>
        <v/>
      </c>
      <c r="Q440" s="31" t="str">
        <f aca="false">IF($E440="","",IF(ISNUMBER(SEARCH("(externo)",$G440)),"Terceirizada","Interna"))</f>
        <v/>
      </c>
      <c r="R440" s="36" t="str">
        <f aca="false">IF($J440="","",IF($M440="",$J440,$M440))</f>
        <v/>
      </c>
      <c r="S440" s="31" t="str">
        <f aca="false">IF($E440="","",IF(OR($K440="",$J440=""),0,IF($K440&lt;=$J440,1,0)))</f>
        <v/>
      </c>
      <c r="T440" s="31" t="str">
        <f aca="false">IF($E440="","",IF(OR($K440="",$R440=""),0,IF($K440&lt;=$R440,1,0)))</f>
        <v/>
      </c>
      <c r="U440" s="38" t="str">
        <f aca="false">IF(OR($K440="",$J440=""),"",MAX(0,$K440-$J440))</f>
        <v/>
      </c>
      <c r="V440" s="31" t="str">
        <f aca="false">IF($E440="","",IF(AND($M440&lt;&gt;"",$J440&lt;&gt;"",$M440&lt;&gt;$J440),1,0))</f>
        <v/>
      </c>
      <c r="W440" s="39" t="str">
        <f aca="false">IF($E440="","",IF($L440="Cancelada",0,IF(OR($K440&lt;&gt;"",$L440="Concluída"),1,0)))</f>
        <v/>
      </c>
    </row>
    <row r="441" customFormat="false" ht="15" hidden="false" customHeight="true" outlineLevel="0" collapsed="false">
      <c r="A441" s="31" t="str">
        <f aca="false">IF($E441="","",COUNTA($E$5:$E441))</f>
        <v/>
      </c>
      <c r="B441" s="32"/>
      <c r="C441" s="32"/>
      <c r="D441" s="32"/>
      <c r="E441" s="32"/>
      <c r="F441" s="33"/>
      <c r="G441" s="32"/>
      <c r="H441" s="34"/>
      <c r="I441" s="35"/>
      <c r="J441" s="36" t="str">
        <f aca="false">IF(OR($H441="",$I441=""),"",$H441+MATCH($I441,Listas!$F$5:$F$11,0)-1)</f>
        <v/>
      </c>
      <c r="K441" s="37"/>
      <c r="L441" s="33"/>
      <c r="M441" s="37"/>
      <c r="N441" s="32"/>
      <c r="O441" s="32"/>
      <c r="P441" s="38" t="str">
        <f aca="true">IF($E441="","",IF($L441="Cancelada","Cancelada",IF(OR($K441&lt;&gt;"",$L441="Concluída"),IF(OR($J441="",$K441="",$K441&lt;=$J441),"Concluída","Concluída com atraso"),IF($J441="","Na carteira",IF($J441&lt;TODAY(),"VENCIDA",IF($L441="Em execução","Em execução",IF($J441=TODAY(),"Hoje","Programada")))))))</f>
        <v/>
      </c>
      <c r="Q441" s="31" t="str">
        <f aca="false">IF($E441="","",IF(ISNUMBER(SEARCH("(externo)",$G441)),"Terceirizada","Interna"))</f>
        <v/>
      </c>
      <c r="R441" s="36" t="str">
        <f aca="false">IF($J441="","",IF($M441="",$J441,$M441))</f>
        <v/>
      </c>
      <c r="S441" s="31" t="str">
        <f aca="false">IF($E441="","",IF(OR($K441="",$J441=""),0,IF($K441&lt;=$J441,1,0)))</f>
        <v/>
      </c>
      <c r="T441" s="31" t="str">
        <f aca="false">IF($E441="","",IF(OR($K441="",$R441=""),0,IF($K441&lt;=$R441,1,0)))</f>
        <v/>
      </c>
      <c r="U441" s="38" t="str">
        <f aca="false">IF(OR($K441="",$J441=""),"",MAX(0,$K441-$J441))</f>
        <v/>
      </c>
      <c r="V441" s="31" t="str">
        <f aca="false">IF($E441="","",IF(AND($M441&lt;&gt;"",$J441&lt;&gt;"",$M441&lt;&gt;$J441),1,0))</f>
        <v/>
      </c>
      <c r="W441" s="39" t="str">
        <f aca="false">IF($E441="","",IF($L441="Cancelada",0,IF(OR($K441&lt;&gt;"",$L441="Concluída"),1,0)))</f>
        <v/>
      </c>
    </row>
    <row r="442" customFormat="false" ht="15" hidden="false" customHeight="true" outlineLevel="0" collapsed="false">
      <c r="A442" s="31" t="str">
        <f aca="false">IF($E442="","",COUNTA($E$5:$E442))</f>
        <v/>
      </c>
      <c r="B442" s="32"/>
      <c r="C442" s="32"/>
      <c r="D442" s="32"/>
      <c r="E442" s="32"/>
      <c r="F442" s="33"/>
      <c r="G442" s="32"/>
      <c r="H442" s="34"/>
      <c r="I442" s="35"/>
      <c r="J442" s="36" t="str">
        <f aca="false">IF(OR($H442="",$I442=""),"",$H442+MATCH($I442,Listas!$F$5:$F$11,0)-1)</f>
        <v/>
      </c>
      <c r="K442" s="37"/>
      <c r="L442" s="33"/>
      <c r="M442" s="37"/>
      <c r="N442" s="32"/>
      <c r="O442" s="32"/>
      <c r="P442" s="38" t="str">
        <f aca="true">IF($E442="","",IF($L442="Cancelada","Cancelada",IF(OR($K442&lt;&gt;"",$L442="Concluída"),IF(OR($J442="",$K442="",$K442&lt;=$J442),"Concluída","Concluída com atraso"),IF($J442="","Na carteira",IF($J442&lt;TODAY(),"VENCIDA",IF($L442="Em execução","Em execução",IF($J442=TODAY(),"Hoje","Programada")))))))</f>
        <v/>
      </c>
      <c r="Q442" s="31" t="str">
        <f aca="false">IF($E442="","",IF(ISNUMBER(SEARCH("(externo)",$G442)),"Terceirizada","Interna"))</f>
        <v/>
      </c>
      <c r="R442" s="36" t="str">
        <f aca="false">IF($J442="","",IF($M442="",$J442,$M442))</f>
        <v/>
      </c>
      <c r="S442" s="31" t="str">
        <f aca="false">IF($E442="","",IF(OR($K442="",$J442=""),0,IF($K442&lt;=$J442,1,0)))</f>
        <v/>
      </c>
      <c r="T442" s="31" t="str">
        <f aca="false">IF($E442="","",IF(OR($K442="",$R442=""),0,IF($K442&lt;=$R442,1,0)))</f>
        <v/>
      </c>
      <c r="U442" s="38" t="str">
        <f aca="false">IF(OR($K442="",$J442=""),"",MAX(0,$K442-$J442))</f>
        <v/>
      </c>
      <c r="V442" s="31" t="str">
        <f aca="false">IF($E442="","",IF(AND($M442&lt;&gt;"",$J442&lt;&gt;"",$M442&lt;&gt;$J442),1,0))</f>
        <v/>
      </c>
      <c r="W442" s="39" t="str">
        <f aca="false">IF($E442="","",IF($L442="Cancelada",0,IF(OR($K442&lt;&gt;"",$L442="Concluída"),1,0)))</f>
        <v/>
      </c>
    </row>
    <row r="443" customFormat="false" ht="15" hidden="false" customHeight="true" outlineLevel="0" collapsed="false">
      <c r="A443" s="31" t="str">
        <f aca="false">IF($E443="","",COUNTA($E$5:$E443))</f>
        <v/>
      </c>
      <c r="B443" s="32"/>
      <c r="C443" s="32"/>
      <c r="D443" s="32"/>
      <c r="E443" s="32"/>
      <c r="F443" s="33"/>
      <c r="G443" s="32"/>
      <c r="H443" s="34"/>
      <c r="I443" s="35"/>
      <c r="J443" s="36" t="str">
        <f aca="false">IF(OR($H443="",$I443=""),"",$H443+MATCH($I443,Listas!$F$5:$F$11,0)-1)</f>
        <v/>
      </c>
      <c r="K443" s="37"/>
      <c r="L443" s="33"/>
      <c r="M443" s="37"/>
      <c r="N443" s="32"/>
      <c r="O443" s="32"/>
      <c r="P443" s="38" t="str">
        <f aca="true">IF($E443="","",IF($L443="Cancelada","Cancelada",IF(OR($K443&lt;&gt;"",$L443="Concluída"),IF(OR($J443="",$K443="",$K443&lt;=$J443),"Concluída","Concluída com atraso"),IF($J443="","Na carteira",IF($J443&lt;TODAY(),"VENCIDA",IF($L443="Em execução","Em execução",IF($J443=TODAY(),"Hoje","Programada")))))))</f>
        <v/>
      </c>
      <c r="Q443" s="31" t="str">
        <f aca="false">IF($E443="","",IF(ISNUMBER(SEARCH("(externo)",$G443)),"Terceirizada","Interna"))</f>
        <v/>
      </c>
      <c r="R443" s="36" t="str">
        <f aca="false">IF($J443="","",IF($M443="",$J443,$M443))</f>
        <v/>
      </c>
      <c r="S443" s="31" t="str">
        <f aca="false">IF($E443="","",IF(OR($K443="",$J443=""),0,IF($K443&lt;=$J443,1,0)))</f>
        <v/>
      </c>
      <c r="T443" s="31" t="str">
        <f aca="false">IF($E443="","",IF(OR($K443="",$R443=""),0,IF($K443&lt;=$R443,1,0)))</f>
        <v/>
      </c>
      <c r="U443" s="38" t="str">
        <f aca="false">IF(OR($K443="",$J443=""),"",MAX(0,$K443-$J443))</f>
        <v/>
      </c>
      <c r="V443" s="31" t="str">
        <f aca="false">IF($E443="","",IF(AND($M443&lt;&gt;"",$J443&lt;&gt;"",$M443&lt;&gt;$J443),1,0))</f>
        <v/>
      </c>
      <c r="W443" s="39" t="str">
        <f aca="false">IF($E443="","",IF($L443="Cancelada",0,IF(OR($K443&lt;&gt;"",$L443="Concluída"),1,0)))</f>
        <v/>
      </c>
    </row>
    <row r="444" customFormat="false" ht="15" hidden="false" customHeight="true" outlineLevel="0" collapsed="false">
      <c r="A444" s="31" t="str">
        <f aca="false">IF($E444="","",COUNTA($E$5:$E444))</f>
        <v/>
      </c>
      <c r="B444" s="32"/>
      <c r="C444" s="32"/>
      <c r="D444" s="32"/>
      <c r="E444" s="32"/>
      <c r="F444" s="33"/>
      <c r="G444" s="32"/>
      <c r="H444" s="34"/>
      <c r="I444" s="35"/>
      <c r="J444" s="36" t="str">
        <f aca="false">IF(OR($H444="",$I444=""),"",$H444+MATCH($I444,Listas!$F$5:$F$11,0)-1)</f>
        <v/>
      </c>
      <c r="K444" s="37"/>
      <c r="L444" s="33"/>
      <c r="M444" s="37"/>
      <c r="N444" s="32"/>
      <c r="O444" s="32"/>
      <c r="P444" s="38" t="str">
        <f aca="true">IF($E444="","",IF($L444="Cancelada","Cancelada",IF(OR($K444&lt;&gt;"",$L444="Concluída"),IF(OR($J444="",$K444="",$K444&lt;=$J444),"Concluída","Concluída com atraso"),IF($J444="","Na carteira",IF($J444&lt;TODAY(),"VENCIDA",IF($L444="Em execução","Em execução",IF($J444=TODAY(),"Hoje","Programada")))))))</f>
        <v/>
      </c>
      <c r="Q444" s="31" t="str">
        <f aca="false">IF($E444="","",IF(ISNUMBER(SEARCH("(externo)",$G444)),"Terceirizada","Interna"))</f>
        <v/>
      </c>
      <c r="R444" s="36" t="str">
        <f aca="false">IF($J444="","",IF($M444="",$J444,$M444))</f>
        <v/>
      </c>
      <c r="S444" s="31" t="str">
        <f aca="false">IF($E444="","",IF(OR($K444="",$J444=""),0,IF($K444&lt;=$J444,1,0)))</f>
        <v/>
      </c>
      <c r="T444" s="31" t="str">
        <f aca="false">IF($E444="","",IF(OR($K444="",$R444=""),0,IF($K444&lt;=$R444,1,0)))</f>
        <v/>
      </c>
      <c r="U444" s="38" t="str">
        <f aca="false">IF(OR($K444="",$J444=""),"",MAX(0,$K444-$J444))</f>
        <v/>
      </c>
      <c r="V444" s="31" t="str">
        <f aca="false">IF($E444="","",IF(AND($M444&lt;&gt;"",$J444&lt;&gt;"",$M444&lt;&gt;$J444),1,0))</f>
        <v/>
      </c>
      <c r="W444" s="39" t="str">
        <f aca="false">IF($E444="","",IF($L444="Cancelada",0,IF(OR($K444&lt;&gt;"",$L444="Concluída"),1,0)))</f>
        <v/>
      </c>
    </row>
    <row r="445" customFormat="false" ht="15" hidden="false" customHeight="true" outlineLevel="0" collapsed="false">
      <c r="A445" s="31" t="str">
        <f aca="false">IF($E445="","",COUNTA($E$5:$E445))</f>
        <v/>
      </c>
      <c r="B445" s="32"/>
      <c r="C445" s="32"/>
      <c r="D445" s="32"/>
      <c r="E445" s="32"/>
      <c r="F445" s="33"/>
      <c r="G445" s="32"/>
      <c r="H445" s="34"/>
      <c r="I445" s="35"/>
      <c r="J445" s="36" t="str">
        <f aca="false">IF(OR($H445="",$I445=""),"",$H445+MATCH($I445,Listas!$F$5:$F$11,0)-1)</f>
        <v/>
      </c>
      <c r="K445" s="37"/>
      <c r="L445" s="33"/>
      <c r="M445" s="37"/>
      <c r="N445" s="32"/>
      <c r="O445" s="32"/>
      <c r="P445" s="38" t="str">
        <f aca="true">IF($E445="","",IF($L445="Cancelada","Cancelada",IF(OR($K445&lt;&gt;"",$L445="Concluída"),IF(OR($J445="",$K445="",$K445&lt;=$J445),"Concluída","Concluída com atraso"),IF($J445="","Na carteira",IF($J445&lt;TODAY(),"VENCIDA",IF($L445="Em execução","Em execução",IF($J445=TODAY(),"Hoje","Programada")))))))</f>
        <v/>
      </c>
      <c r="Q445" s="31" t="str">
        <f aca="false">IF($E445="","",IF(ISNUMBER(SEARCH("(externo)",$G445)),"Terceirizada","Interna"))</f>
        <v/>
      </c>
      <c r="R445" s="36" t="str">
        <f aca="false">IF($J445="","",IF($M445="",$J445,$M445))</f>
        <v/>
      </c>
      <c r="S445" s="31" t="str">
        <f aca="false">IF($E445="","",IF(OR($K445="",$J445=""),0,IF($K445&lt;=$J445,1,0)))</f>
        <v/>
      </c>
      <c r="T445" s="31" t="str">
        <f aca="false">IF($E445="","",IF(OR($K445="",$R445=""),0,IF($K445&lt;=$R445,1,0)))</f>
        <v/>
      </c>
      <c r="U445" s="38" t="str">
        <f aca="false">IF(OR($K445="",$J445=""),"",MAX(0,$K445-$J445))</f>
        <v/>
      </c>
      <c r="V445" s="31" t="str">
        <f aca="false">IF($E445="","",IF(AND($M445&lt;&gt;"",$J445&lt;&gt;"",$M445&lt;&gt;$J445),1,0))</f>
        <v/>
      </c>
      <c r="W445" s="39" t="str">
        <f aca="false">IF($E445="","",IF($L445="Cancelada",0,IF(OR($K445&lt;&gt;"",$L445="Concluída"),1,0)))</f>
        <v/>
      </c>
    </row>
    <row r="446" customFormat="false" ht="15" hidden="false" customHeight="true" outlineLevel="0" collapsed="false">
      <c r="A446" s="31" t="str">
        <f aca="false">IF($E446="","",COUNTA($E$5:$E446))</f>
        <v/>
      </c>
      <c r="B446" s="32"/>
      <c r="C446" s="32"/>
      <c r="D446" s="32"/>
      <c r="E446" s="32"/>
      <c r="F446" s="33"/>
      <c r="G446" s="32"/>
      <c r="H446" s="34"/>
      <c r="I446" s="35"/>
      <c r="J446" s="36" t="str">
        <f aca="false">IF(OR($H446="",$I446=""),"",$H446+MATCH($I446,Listas!$F$5:$F$11,0)-1)</f>
        <v/>
      </c>
      <c r="K446" s="37"/>
      <c r="L446" s="33"/>
      <c r="M446" s="37"/>
      <c r="N446" s="32"/>
      <c r="O446" s="32"/>
      <c r="P446" s="38" t="str">
        <f aca="true">IF($E446="","",IF($L446="Cancelada","Cancelada",IF(OR($K446&lt;&gt;"",$L446="Concluída"),IF(OR($J446="",$K446="",$K446&lt;=$J446),"Concluída","Concluída com atraso"),IF($J446="","Na carteira",IF($J446&lt;TODAY(),"VENCIDA",IF($L446="Em execução","Em execução",IF($J446=TODAY(),"Hoje","Programada")))))))</f>
        <v/>
      </c>
      <c r="Q446" s="31" t="str">
        <f aca="false">IF($E446="","",IF(ISNUMBER(SEARCH("(externo)",$G446)),"Terceirizada","Interna"))</f>
        <v/>
      </c>
      <c r="R446" s="36" t="str">
        <f aca="false">IF($J446="","",IF($M446="",$J446,$M446))</f>
        <v/>
      </c>
      <c r="S446" s="31" t="str">
        <f aca="false">IF($E446="","",IF(OR($K446="",$J446=""),0,IF($K446&lt;=$J446,1,0)))</f>
        <v/>
      </c>
      <c r="T446" s="31" t="str">
        <f aca="false">IF($E446="","",IF(OR($K446="",$R446=""),0,IF($K446&lt;=$R446,1,0)))</f>
        <v/>
      </c>
      <c r="U446" s="38" t="str">
        <f aca="false">IF(OR($K446="",$J446=""),"",MAX(0,$K446-$J446))</f>
        <v/>
      </c>
      <c r="V446" s="31" t="str">
        <f aca="false">IF($E446="","",IF(AND($M446&lt;&gt;"",$J446&lt;&gt;"",$M446&lt;&gt;$J446),1,0))</f>
        <v/>
      </c>
      <c r="W446" s="39" t="str">
        <f aca="false">IF($E446="","",IF($L446="Cancelada",0,IF(OR($K446&lt;&gt;"",$L446="Concluída"),1,0)))</f>
        <v/>
      </c>
    </row>
    <row r="447" customFormat="false" ht="15" hidden="false" customHeight="true" outlineLevel="0" collapsed="false">
      <c r="A447" s="31" t="str">
        <f aca="false">IF($E447="","",COUNTA($E$5:$E447))</f>
        <v/>
      </c>
      <c r="B447" s="32"/>
      <c r="C447" s="32"/>
      <c r="D447" s="32"/>
      <c r="E447" s="32"/>
      <c r="F447" s="33"/>
      <c r="G447" s="32"/>
      <c r="H447" s="34"/>
      <c r="I447" s="35"/>
      <c r="J447" s="36" t="str">
        <f aca="false">IF(OR($H447="",$I447=""),"",$H447+MATCH($I447,Listas!$F$5:$F$11,0)-1)</f>
        <v/>
      </c>
      <c r="K447" s="37"/>
      <c r="L447" s="33"/>
      <c r="M447" s="37"/>
      <c r="N447" s="32"/>
      <c r="O447" s="32"/>
      <c r="P447" s="38" t="str">
        <f aca="true">IF($E447="","",IF($L447="Cancelada","Cancelada",IF(OR($K447&lt;&gt;"",$L447="Concluída"),IF(OR($J447="",$K447="",$K447&lt;=$J447),"Concluída","Concluída com atraso"),IF($J447="","Na carteira",IF($J447&lt;TODAY(),"VENCIDA",IF($L447="Em execução","Em execução",IF($J447=TODAY(),"Hoje","Programada")))))))</f>
        <v/>
      </c>
      <c r="Q447" s="31" t="str">
        <f aca="false">IF($E447="","",IF(ISNUMBER(SEARCH("(externo)",$G447)),"Terceirizada","Interna"))</f>
        <v/>
      </c>
      <c r="R447" s="36" t="str">
        <f aca="false">IF($J447="","",IF($M447="",$J447,$M447))</f>
        <v/>
      </c>
      <c r="S447" s="31" t="str">
        <f aca="false">IF($E447="","",IF(OR($K447="",$J447=""),0,IF($K447&lt;=$J447,1,0)))</f>
        <v/>
      </c>
      <c r="T447" s="31" t="str">
        <f aca="false">IF($E447="","",IF(OR($K447="",$R447=""),0,IF($K447&lt;=$R447,1,0)))</f>
        <v/>
      </c>
      <c r="U447" s="38" t="str">
        <f aca="false">IF(OR($K447="",$J447=""),"",MAX(0,$K447-$J447))</f>
        <v/>
      </c>
      <c r="V447" s="31" t="str">
        <f aca="false">IF($E447="","",IF(AND($M447&lt;&gt;"",$J447&lt;&gt;"",$M447&lt;&gt;$J447),1,0))</f>
        <v/>
      </c>
      <c r="W447" s="39" t="str">
        <f aca="false">IF($E447="","",IF($L447="Cancelada",0,IF(OR($K447&lt;&gt;"",$L447="Concluída"),1,0)))</f>
        <v/>
      </c>
    </row>
    <row r="448" customFormat="false" ht="15" hidden="false" customHeight="true" outlineLevel="0" collapsed="false">
      <c r="A448" s="31" t="str">
        <f aca="false">IF($E448="","",COUNTA($E$5:$E448))</f>
        <v/>
      </c>
      <c r="B448" s="32"/>
      <c r="C448" s="32"/>
      <c r="D448" s="32"/>
      <c r="E448" s="32"/>
      <c r="F448" s="33"/>
      <c r="G448" s="32"/>
      <c r="H448" s="34"/>
      <c r="I448" s="35"/>
      <c r="J448" s="36" t="str">
        <f aca="false">IF(OR($H448="",$I448=""),"",$H448+MATCH($I448,Listas!$F$5:$F$11,0)-1)</f>
        <v/>
      </c>
      <c r="K448" s="37"/>
      <c r="L448" s="33"/>
      <c r="M448" s="37"/>
      <c r="N448" s="32"/>
      <c r="O448" s="32"/>
      <c r="P448" s="38" t="str">
        <f aca="true">IF($E448="","",IF($L448="Cancelada","Cancelada",IF(OR($K448&lt;&gt;"",$L448="Concluída"),IF(OR($J448="",$K448="",$K448&lt;=$J448),"Concluída","Concluída com atraso"),IF($J448="","Na carteira",IF($J448&lt;TODAY(),"VENCIDA",IF($L448="Em execução","Em execução",IF($J448=TODAY(),"Hoje","Programada")))))))</f>
        <v/>
      </c>
      <c r="Q448" s="31" t="str">
        <f aca="false">IF($E448="","",IF(ISNUMBER(SEARCH("(externo)",$G448)),"Terceirizada","Interna"))</f>
        <v/>
      </c>
      <c r="R448" s="36" t="str">
        <f aca="false">IF($J448="","",IF($M448="",$J448,$M448))</f>
        <v/>
      </c>
      <c r="S448" s="31" t="str">
        <f aca="false">IF($E448="","",IF(OR($K448="",$J448=""),0,IF($K448&lt;=$J448,1,0)))</f>
        <v/>
      </c>
      <c r="T448" s="31" t="str">
        <f aca="false">IF($E448="","",IF(OR($K448="",$R448=""),0,IF($K448&lt;=$R448,1,0)))</f>
        <v/>
      </c>
      <c r="U448" s="38" t="str">
        <f aca="false">IF(OR($K448="",$J448=""),"",MAX(0,$K448-$J448))</f>
        <v/>
      </c>
      <c r="V448" s="31" t="str">
        <f aca="false">IF($E448="","",IF(AND($M448&lt;&gt;"",$J448&lt;&gt;"",$M448&lt;&gt;$J448),1,0))</f>
        <v/>
      </c>
      <c r="W448" s="39" t="str">
        <f aca="false">IF($E448="","",IF($L448="Cancelada",0,IF(OR($K448&lt;&gt;"",$L448="Concluída"),1,0)))</f>
        <v/>
      </c>
    </row>
    <row r="449" customFormat="false" ht="15" hidden="false" customHeight="true" outlineLevel="0" collapsed="false">
      <c r="A449" s="31" t="str">
        <f aca="false">IF($E449="","",COUNTA($E$5:$E449))</f>
        <v/>
      </c>
      <c r="B449" s="32"/>
      <c r="C449" s="32"/>
      <c r="D449" s="32"/>
      <c r="E449" s="32"/>
      <c r="F449" s="33"/>
      <c r="G449" s="32"/>
      <c r="H449" s="34"/>
      <c r="I449" s="35"/>
      <c r="J449" s="36" t="str">
        <f aca="false">IF(OR($H449="",$I449=""),"",$H449+MATCH($I449,Listas!$F$5:$F$11,0)-1)</f>
        <v/>
      </c>
      <c r="K449" s="37"/>
      <c r="L449" s="33"/>
      <c r="M449" s="37"/>
      <c r="N449" s="32"/>
      <c r="O449" s="32"/>
      <c r="P449" s="38" t="str">
        <f aca="true">IF($E449="","",IF($L449="Cancelada","Cancelada",IF(OR($K449&lt;&gt;"",$L449="Concluída"),IF(OR($J449="",$K449="",$K449&lt;=$J449),"Concluída","Concluída com atraso"),IF($J449="","Na carteira",IF($J449&lt;TODAY(),"VENCIDA",IF($L449="Em execução","Em execução",IF($J449=TODAY(),"Hoje","Programada")))))))</f>
        <v/>
      </c>
      <c r="Q449" s="31" t="str">
        <f aca="false">IF($E449="","",IF(ISNUMBER(SEARCH("(externo)",$G449)),"Terceirizada","Interna"))</f>
        <v/>
      </c>
      <c r="R449" s="36" t="str">
        <f aca="false">IF($J449="","",IF($M449="",$J449,$M449))</f>
        <v/>
      </c>
      <c r="S449" s="31" t="str">
        <f aca="false">IF($E449="","",IF(OR($K449="",$J449=""),0,IF($K449&lt;=$J449,1,0)))</f>
        <v/>
      </c>
      <c r="T449" s="31" t="str">
        <f aca="false">IF($E449="","",IF(OR($K449="",$R449=""),0,IF($K449&lt;=$R449,1,0)))</f>
        <v/>
      </c>
      <c r="U449" s="38" t="str">
        <f aca="false">IF(OR($K449="",$J449=""),"",MAX(0,$K449-$J449))</f>
        <v/>
      </c>
      <c r="V449" s="31" t="str">
        <f aca="false">IF($E449="","",IF(AND($M449&lt;&gt;"",$J449&lt;&gt;"",$M449&lt;&gt;$J449),1,0))</f>
        <v/>
      </c>
      <c r="W449" s="39" t="str">
        <f aca="false">IF($E449="","",IF($L449="Cancelada",0,IF(OR($K449&lt;&gt;"",$L449="Concluída"),1,0)))</f>
        <v/>
      </c>
    </row>
    <row r="450" customFormat="false" ht="15" hidden="false" customHeight="true" outlineLevel="0" collapsed="false">
      <c r="A450" s="31" t="str">
        <f aca="false">IF($E450="","",COUNTA($E$5:$E450))</f>
        <v/>
      </c>
      <c r="B450" s="32"/>
      <c r="C450" s="32"/>
      <c r="D450" s="32"/>
      <c r="E450" s="32"/>
      <c r="F450" s="33"/>
      <c r="G450" s="32"/>
      <c r="H450" s="34"/>
      <c r="I450" s="35"/>
      <c r="J450" s="36" t="str">
        <f aca="false">IF(OR($H450="",$I450=""),"",$H450+MATCH($I450,Listas!$F$5:$F$11,0)-1)</f>
        <v/>
      </c>
      <c r="K450" s="37"/>
      <c r="L450" s="33"/>
      <c r="M450" s="37"/>
      <c r="N450" s="32"/>
      <c r="O450" s="32"/>
      <c r="P450" s="38" t="str">
        <f aca="true">IF($E450="","",IF($L450="Cancelada","Cancelada",IF(OR($K450&lt;&gt;"",$L450="Concluída"),IF(OR($J450="",$K450="",$K450&lt;=$J450),"Concluída","Concluída com atraso"),IF($J450="","Na carteira",IF($J450&lt;TODAY(),"VENCIDA",IF($L450="Em execução","Em execução",IF($J450=TODAY(),"Hoje","Programada")))))))</f>
        <v/>
      </c>
      <c r="Q450" s="31" t="str">
        <f aca="false">IF($E450="","",IF(ISNUMBER(SEARCH("(externo)",$G450)),"Terceirizada","Interna"))</f>
        <v/>
      </c>
      <c r="R450" s="36" t="str">
        <f aca="false">IF($J450="","",IF($M450="",$J450,$M450))</f>
        <v/>
      </c>
      <c r="S450" s="31" t="str">
        <f aca="false">IF($E450="","",IF(OR($K450="",$J450=""),0,IF($K450&lt;=$J450,1,0)))</f>
        <v/>
      </c>
      <c r="T450" s="31" t="str">
        <f aca="false">IF($E450="","",IF(OR($K450="",$R450=""),0,IF($K450&lt;=$R450,1,0)))</f>
        <v/>
      </c>
      <c r="U450" s="38" t="str">
        <f aca="false">IF(OR($K450="",$J450=""),"",MAX(0,$K450-$J450))</f>
        <v/>
      </c>
      <c r="V450" s="31" t="str">
        <f aca="false">IF($E450="","",IF(AND($M450&lt;&gt;"",$J450&lt;&gt;"",$M450&lt;&gt;$J450),1,0))</f>
        <v/>
      </c>
      <c r="W450" s="39" t="str">
        <f aca="false">IF($E450="","",IF($L450="Cancelada",0,IF(OR($K450&lt;&gt;"",$L450="Concluída"),1,0)))</f>
        <v/>
      </c>
    </row>
    <row r="451" customFormat="false" ht="15" hidden="false" customHeight="true" outlineLevel="0" collapsed="false">
      <c r="A451" s="31" t="str">
        <f aca="false">IF($E451="","",COUNTA($E$5:$E451))</f>
        <v/>
      </c>
      <c r="B451" s="32"/>
      <c r="C451" s="32"/>
      <c r="D451" s="32"/>
      <c r="E451" s="32"/>
      <c r="F451" s="33"/>
      <c r="G451" s="32"/>
      <c r="H451" s="34"/>
      <c r="I451" s="35"/>
      <c r="J451" s="36" t="str">
        <f aca="false">IF(OR($H451="",$I451=""),"",$H451+MATCH($I451,Listas!$F$5:$F$11,0)-1)</f>
        <v/>
      </c>
      <c r="K451" s="37"/>
      <c r="L451" s="33"/>
      <c r="M451" s="37"/>
      <c r="N451" s="32"/>
      <c r="O451" s="32"/>
      <c r="P451" s="38" t="str">
        <f aca="true">IF($E451="","",IF($L451="Cancelada","Cancelada",IF(OR($K451&lt;&gt;"",$L451="Concluída"),IF(OR($J451="",$K451="",$K451&lt;=$J451),"Concluída","Concluída com atraso"),IF($J451="","Na carteira",IF($J451&lt;TODAY(),"VENCIDA",IF($L451="Em execução","Em execução",IF($J451=TODAY(),"Hoje","Programada")))))))</f>
        <v/>
      </c>
      <c r="Q451" s="31" t="str">
        <f aca="false">IF($E451="","",IF(ISNUMBER(SEARCH("(externo)",$G451)),"Terceirizada","Interna"))</f>
        <v/>
      </c>
      <c r="R451" s="36" t="str">
        <f aca="false">IF($J451="","",IF($M451="",$J451,$M451))</f>
        <v/>
      </c>
      <c r="S451" s="31" t="str">
        <f aca="false">IF($E451="","",IF(OR($K451="",$J451=""),0,IF($K451&lt;=$J451,1,0)))</f>
        <v/>
      </c>
      <c r="T451" s="31" t="str">
        <f aca="false">IF($E451="","",IF(OR($K451="",$R451=""),0,IF($K451&lt;=$R451,1,0)))</f>
        <v/>
      </c>
      <c r="U451" s="38" t="str">
        <f aca="false">IF(OR($K451="",$J451=""),"",MAX(0,$K451-$J451))</f>
        <v/>
      </c>
      <c r="V451" s="31" t="str">
        <f aca="false">IF($E451="","",IF(AND($M451&lt;&gt;"",$J451&lt;&gt;"",$M451&lt;&gt;$J451),1,0))</f>
        <v/>
      </c>
      <c r="W451" s="39" t="str">
        <f aca="false">IF($E451="","",IF($L451="Cancelada",0,IF(OR($K451&lt;&gt;"",$L451="Concluída"),1,0)))</f>
        <v/>
      </c>
    </row>
    <row r="452" customFormat="false" ht="15" hidden="false" customHeight="true" outlineLevel="0" collapsed="false">
      <c r="A452" s="31" t="str">
        <f aca="false">IF($E452="","",COUNTA($E$5:$E452))</f>
        <v/>
      </c>
      <c r="B452" s="32"/>
      <c r="C452" s="32"/>
      <c r="D452" s="32"/>
      <c r="E452" s="32"/>
      <c r="F452" s="33"/>
      <c r="G452" s="32"/>
      <c r="H452" s="34"/>
      <c r="I452" s="35"/>
      <c r="J452" s="36" t="str">
        <f aca="false">IF(OR($H452="",$I452=""),"",$H452+MATCH($I452,Listas!$F$5:$F$11,0)-1)</f>
        <v/>
      </c>
      <c r="K452" s="37"/>
      <c r="L452" s="33"/>
      <c r="M452" s="37"/>
      <c r="N452" s="32"/>
      <c r="O452" s="32"/>
      <c r="P452" s="38" t="str">
        <f aca="true">IF($E452="","",IF($L452="Cancelada","Cancelada",IF(OR($K452&lt;&gt;"",$L452="Concluída"),IF(OR($J452="",$K452="",$K452&lt;=$J452),"Concluída","Concluída com atraso"),IF($J452="","Na carteira",IF($J452&lt;TODAY(),"VENCIDA",IF($L452="Em execução","Em execução",IF($J452=TODAY(),"Hoje","Programada")))))))</f>
        <v/>
      </c>
      <c r="Q452" s="31" t="str">
        <f aca="false">IF($E452="","",IF(ISNUMBER(SEARCH("(externo)",$G452)),"Terceirizada","Interna"))</f>
        <v/>
      </c>
      <c r="R452" s="36" t="str">
        <f aca="false">IF($J452="","",IF($M452="",$J452,$M452))</f>
        <v/>
      </c>
      <c r="S452" s="31" t="str">
        <f aca="false">IF($E452="","",IF(OR($K452="",$J452=""),0,IF($K452&lt;=$J452,1,0)))</f>
        <v/>
      </c>
      <c r="T452" s="31" t="str">
        <f aca="false">IF($E452="","",IF(OR($K452="",$R452=""),0,IF($K452&lt;=$R452,1,0)))</f>
        <v/>
      </c>
      <c r="U452" s="38" t="str">
        <f aca="false">IF(OR($K452="",$J452=""),"",MAX(0,$K452-$J452))</f>
        <v/>
      </c>
      <c r="V452" s="31" t="str">
        <f aca="false">IF($E452="","",IF(AND($M452&lt;&gt;"",$J452&lt;&gt;"",$M452&lt;&gt;$J452),1,0))</f>
        <v/>
      </c>
      <c r="W452" s="39" t="str">
        <f aca="false">IF($E452="","",IF($L452="Cancelada",0,IF(OR($K452&lt;&gt;"",$L452="Concluída"),1,0)))</f>
        <v/>
      </c>
    </row>
    <row r="453" customFormat="false" ht="15" hidden="false" customHeight="true" outlineLevel="0" collapsed="false">
      <c r="A453" s="31" t="str">
        <f aca="false">IF($E453="","",COUNTA($E$5:$E453))</f>
        <v/>
      </c>
      <c r="B453" s="32"/>
      <c r="C453" s="32"/>
      <c r="D453" s="32"/>
      <c r="E453" s="32"/>
      <c r="F453" s="33"/>
      <c r="G453" s="32"/>
      <c r="H453" s="34"/>
      <c r="I453" s="35"/>
      <c r="J453" s="36" t="str">
        <f aca="false">IF(OR($H453="",$I453=""),"",$H453+MATCH($I453,Listas!$F$5:$F$11,0)-1)</f>
        <v/>
      </c>
      <c r="K453" s="37"/>
      <c r="L453" s="33"/>
      <c r="M453" s="37"/>
      <c r="N453" s="32"/>
      <c r="O453" s="32"/>
      <c r="P453" s="38" t="str">
        <f aca="true">IF($E453="","",IF($L453="Cancelada","Cancelada",IF(OR($K453&lt;&gt;"",$L453="Concluída"),IF(OR($J453="",$K453="",$K453&lt;=$J453),"Concluída","Concluída com atraso"),IF($J453="","Na carteira",IF($J453&lt;TODAY(),"VENCIDA",IF($L453="Em execução","Em execução",IF($J453=TODAY(),"Hoje","Programada")))))))</f>
        <v/>
      </c>
      <c r="Q453" s="31" t="str">
        <f aca="false">IF($E453="","",IF(ISNUMBER(SEARCH("(externo)",$G453)),"Terceirizada","Interna"))</f>
        <v/>
      </c>
      <c r="R453" s="36" t="str">
        <f aca="false">IF($J453="","",IF($M453="",$J453,$M453))</f>
        <v/>
      </c>
      <c r="S453" s="31" t="str">
        <f aca="false">IF($E453="","",IF(OR($K453="",$J453=""),0,IF($K453&lt;=$J453,1,0)))</f>
        <v/>
      </c>
      <c r="T453" s="31" t="str">
        <f aca="false">IF($E453="","",IF(OR($K453="",$R453=""),0,IF($K453&lt;=$R453,1,0)))</f>
        <v/>
      </c>
      <c r="U453" s="38" t="str">
        <f aca="false">IF(OR($K453="",$J453=""),"",MAX(0,$K453-$J453))</f>
        <v/>
      </c>
      <c r="V453" s="31" t="str">
        <f aca="false">IF($E453="","",IF(AND($M453&lt;&gt;"",$J453&lt;&gt;"",$M453&lt;&gt;$J453),1,0))</f>
        <v/>
      </c>
      <c r="W453" s="39" t="str">
        <f aca="false">IF($E453="","",IF($L453="Cancelada",0,IF(OR($K453&lt;&gt;"",$L453="Concluída"),1,0)))</f>
        <v/>
      </c>
    </row>
    <row r="454" customFormat="false" ht="15" hidden="false" customHeight="true" outlineLevel="0" collapsed="false">
      <c r="A454" s="31" t="str">
        <f aca="false">IF($E454="","",COUNTA($E$5:$E454))</f>
        <v/>
      </c>
      <c r="B454" s="32"/>
      <c r="C454" s="32"/>
      <c r="D454" s="32"/>
      <c r="E454" s="32"/>
      <c r="F454" s="33"/>
      <c r="G454" s="32"/>
      <c r="H454" s="34"/>
      <c r="I454" s="35"/>
      <c r="J454" s="36" t="str">
        <f aca="false">IF(OR($H454="",$I454=""),"",$H454+MATCH($I454,Listas!$F$5:$F$11,0)-1)</f>
        <v/>
      </c>
      <c r="K454" s="37"/>
      <c r="L454" s="33"/>
      <c r="M454" s="37"/>
      <c r="N454" s="32"/>
      <c r="O454" s="32"/>
      <c r="P454" s="38" t="str">
        <f aca="true">IF($E454="","",IF($L454="Cancelada","Cancelada",IF(OR($K454&lt;&gt;"",$L454="Concluída"),IF(OR($J454="",$K454="",$K454&lt;=$J454),"Concluída","Concluída com atraso"),IF($J454="","Na carteira",IF($J454&lt;TODAY(),"VENCIDA",IF($L454="Em execução","Em execução",IF($J454=TODAY(),"Hoje","Programada")))))))</f>
        <v/>
      </c>
      <c r="Q454" s="31" t="str">
        <f aca="false">IF($E454="","",IF(ISNUMBER(SEARCH("(externo)",$G454)),"Terceirizada","Interna"))</f>
        <v/>
      </c>
      <c r="R454" s="36" t="str">
        <f aca="false">IF($J454="","",IF($M454="",$J454,$M454))</f>
        <v/>
      </c>
      <c r="S454" s="31" t="str">
        <f aca="false">IF($E454="","",IF(OR($K454="",$J454=""),0,IF($K454&lt;=$J454,1,0)))</f>
        <v/>
      </c>
      <c r="T454" s="31" t="str">
        <f aca="false">IF($E454="","",IF(OR($K454="",$R454=""),0,IF($K454&lt;=$R454,1,0)))</f>
        <v/>
      </c>
      <c r="U454" s="38" t="str">
        <f aca="false">IF(OR($K454="",$J454=""),"",MAX(0,$K454-$J454))</f>
        <v/>
      </c>
      <c r="V454" s="31" t="str">
        <f aca="false">IF($E454="","",IF(AND($M454&lt;&gt;"",$J454&lt;&gt;"",$M454&lt;&gt;$J454),1,0))</f>
        <v/>
      </c>
      <c r="W454" s="39" t="str">
        <f aca="false">IF($E454="","",IF($L454="Cancelada",0,IF(OR($K454&lt;&gt;"",$L454="Concluída"),1,0)))</f>
        <v/>
      </c>
    </row>
    <row r="455" customFormat="false" ht="15" hidden="false" customHeight="true" outlineLevel="0" collapsed="false">
      <c r="A455" s="31" t="str">
        <f aca="false">IF($E455="","",COUNTA($E$5:$E455))</f>
        <v/>
      </c>
      <c r="B455" s="32"/>
      <c r="C455" s="32"/>
      <c r="D455" s="32"/>
      <c r="E455" s="32"/>
      <c r="F455" s="33"/>
      <c r="G455" s="32"/>
      <c r="H455" s="34"/>
      <c r="I455" s="35"/>
      <c r="J455" s="36" t="str">
        <f aca="false">IF(OR($H455="",$I455=""),"",$H455+MATCH($I455,Listas!$F$5:$F$11,0)-1)</f>
        <v/>
      </c>
      <c r="K455" s="37"/>
      <c r="L455" s="33"/>
      <c r="M455" s="37"/>
      <c r="N455" s="32"/>
      <c r="O455" s="32"/>
      <c r="P455" s="38" t="str">
        <f aca="true">IF($E455="","",IF($L455="Cancelada","Cancelada",IF(OR($K455&lt;&gt;"",$L455="Concluída"),IF(OR($J455="",$K455="",$K455&lt;=$J455),"Concluída","Concluída com atraso"),IF($J455="","Na carteira",IF($J455&lt;TODAY(),"VENCIDA",IF($L455="Em execução","Em execução",IF($J455=TODAY(),"Hoje","Programada")))))))</f>
        <v/>
      </c>
      <c r="Q455" s="31" t="str">
        <f aca="false">IF($E455="","",IF(ISNUMBER(SEARCH("(externo)",$G455)),"Terceirizada","Interna"))</f>
        <v/>
      </c>
      <c r="R455" s="36" t="str">
        <f aca="false">IF($J455="","",IF($M455="",$J455,$M455))</f>
        <v/>
      </c>
      <c r="S455" s="31" t="str">
        <f aca="false">IF($E455="","",IF(OR($K455="",$J455=""),0,IF($K455&lt;=$J455,1,0)))</f>
        <v/>
      </c>
      <c r="T455" s="31" t="str">
        <f aca="false">IF($E455="","",IF(OR($K455="",$R455=""),0,IF($K455&lt;=$R455,1,0)))</f>
        <v/>
      </c>
      <c r="U455" s="38" t="str">
        <f aca="false">IF(OR($K455="",$J455=""),"",MAX(0,$K455-$J455))</f>
        <v/>
      </c>
      <c r="V455" s="31" t="str">
        <f aca="false">IF($E455="","",IF(AND($M455&lt;&gt;"",$J455&lt;&gt;"",$M455&lt;&gt;$J455),1,0))</f>
        <v/>
      </c>
      <c r="W455" s="39" t="str">
        <f aca="false">IF($E455="","",IF($L455="Cancelada",0,IF(OR($K455&lt;&gt;"",$L455="Concluída"),1,0)))</f>
        <v/>
      </c>
    </row>
    <row r="456" customFormat="false" ht="15" hidden="false" customHeight="true" outlineLevel="0" collapsed="false">
      <c r="A456" s="31" t="str">
        <f aca="false">IF($E456="","",COUNTA($E$5:$E456))</f>
        <v/>
      </c>
      <c r="B456" s="32"/>
      <c r="C456" s="32"/>
      <c r="D456" s="32"/>
      <c r="E456" s="32"/>
      <c r="F456" s="33"/>
      <c r="G456" s="32"/>
      <c r="H456" s="34"/>
      <c r="I456" s="35"/>
      <c r="J456" s="36" t="str">
        <f aca="false">IF(OR($H456="",$I456=""),"",$H456+MATCH($I456,Listas!$F$5:$F$11,0)-1)</f>
        <v/>
      </c>
      <c r="K456" s="37"/>
      <c r="L456" s="33"/>
      <c r="M456" s="37"/>
      <c r="N456" s="32"/>
      <c r="O456" s="32"/>
      <c r="P456" s="38" t="str">
        <f aca="true">IF($E456="","",IF($L456="Cancelada","Cancelada",IF(OR($K456&lt;&gt;"",$L456="Concluída"),IF(OR($J456="",$K456="",$K456&lt;=$J456),"Concluída","Concluída com atraso"),IF($J456="","Na carteira",IF($J456&lt;TODAY(),"VENCIDA",IF($L456="Em execução","Em execução",IF($J456=TODAY(),"Hoje","Programada")))))))</f>
        <v/>
      </c>
      <c r="Q456" s="31" t="str">
        <f aca="false">IF($E456="","",IF(ISNUMBER(SEARCH("(externo)",$G456)),"Terceirizada","Interna"))</f>
        <v/>
      </c>
      <c r="R456" s="36" t="str">
        <f aca="false">IF($J456="","",IF($M456="",$J456,$M456))</f>
        <v/>
      </c>
      <c r="S456" s="31" t="str">
        <f aca="false">IF($E456="","",IF(OR($K456="",$J456=""),0,IF($K456&lt;=$J456,1,0)))</f>
        <v/>
      </c>
      <c r="T456" s="31" t="str">
        <f aca="false">IF($E456="","",IF(OR($K456="",$R456=""),0,IF($K456&lt;=$R456,1,0)))</f>
        <v/>
      </c>
      <c r="U456" s="38" t="str">
        <f aca="false">IF(OR($K456="",$J456=""),"",MAX(0,$K456-$J456))</f>
        <v/>
      </c>
      <c r="V456" s="31" t="str">
        <f aca="false">IF($E456="","",IF(AND($M456&lt;&gt;"",$J456&lt;&gt;"",$M456&lt;&gt;$J456),1,0))</f>
        <v/>
      </c>
      <c r="W456" s="39" t="str">
        <f aca="false">IF($E456="","",IF($L456="Cancelada",0,IF(OR($K456&lt;&gt;"",$L456="Concluída"),1,0)))</f>
        <v/>
      </c>
    </row>
    <row r="457" customFormat="false" ht="15" hidden="false" customHeight="true" outlineLevel="0" collapsed="false">
      <c r="A457" s="31" t="str">
        <f aca="false">IF($E457="","",COUNTA($E$5:$E457))</f>
        <v/>
      </c>
      <c r="B457" s="32"/>
      <c r="C457" s="32"/>
      <c r="D457" s="32"/>
      <c r="E457" s="32"/>
      <c r="F457" s="33"/>
      <c r="G457" s="32"/>
      <c r="H457" s="34"/>
      <c r="I457" s="35"/>
      <c r="J457" s="36" t="str">
        <f aca="false">IF(OR($H457="",$I457=""),"",$H457+MATCH($I457,Listas!$F$5:$F$11,0)-1)</f>
        <v/>
      </c>
      <c r="K457" s="37"/>
      <c r="L457" s="33"/>
      <c r="M457" s="37"/>
      <c r="N457" s="32"/>
      <c r="O457" s="32"/>
      <c r="P457" s="38" t="str">
        <f aca="true">IF($E457="","",IF($L457="Cancelada","Cancelada",IF(OR($K457&lt;&gt;"",$L457="Concluída"),IF(OR($J457="",$K457="",$K457&lt;=$J457),"Concluída","Concluída com atraso"),IF($J457="","Na carteira",IF($J457&lt;TODAY(),"VENCIDA",IF($L457="Em execução","Em execução",IF($J457=TODAY(),"Hoje","Programada")))))))</f>
        <v/>
      </c>
      <c r="Q457" s="31" t="str">
        <f aca="false">IF($E457="","",IF(ISNUMBER(SEARCH("(externo)",$G457)),"Terceirizada","Interna"))</f>
        <v/>
      </c>
      <c r="R457" s="36" t="str">
        <f aca="false">IF($J457="","",IF($M457="",$J457,$M457))</f>
        <v/>
      </c>
      <c r="S457" s="31" t="str">
        <f aca="false">IF($E457="","",IF(OR($K457="",$J457=""),0,IF($K457&lt;=$J457,1,0)))</f>
        <v/>
      </c>
      <c r="T457" s="31" t="str">
        <f aca="false">IF($E457="","",IF(OR($K457="",$R457=""),0,IF($K457&lt;=$R457,1,0)))</f>
        <v/>
      </c>
      <c r="U457" s="38" t="str">
        <f aca="false">IF(OR($K457="",$J457=""),"",MAX(0,$K457-$J457))</f>
        <v/>
      </c>
      <c r="V457" s="31" t="str">
        <f aca="false">IF($E457="","",IF(AND($M457&lt;&gt;"",$J457&lt;&gt;"",$M457&lt;&gt;$J457),1,0))</f>
        <v/>
      </c>
      <c r="W457" s="39" t="str">
        <f aca="false">IF($E457="","",IF($L457="Cancelada",0,IF(OR($K457&lt;&gt;"",$L457="Concluída"),1,0)))</f>
        <v/>
      </c>
    </row>
    <row r="458" customFormat="false" ht="15" hidden="false" customHeight="true" outlineLevel="0" collapsed="false">
      <c r="A458" s="31" t="str">
        <f aca="false">IF($E458="","",COUNTA($E$5:$E458))</f>
        <v/>
      </c>
      <c r="B458" s="32"/>
      <c r="C458" s="32"/>
      <c r="D458" s="32"/>
      <c r="E458" s="32"/>
      <c r="F458" s="33"/>
      <c r="G458" s="32"/>
      <c r="H458" s="34"/>
      <c r="I458" s="35"/>
      <c r="J458" s="36" t="str">
        <f aca="false">IF(OR($H458="",$I458=""),"",$H458+MATCH($I458,Listas!$F$5:$F$11,0)-1)</f>
        <v/>
      </c>
      <c r="K458" s="37"/>
      <c r="L458" s="33"/>
      <c r="M458" s="37"/>
      <c r="N458" s="32"/>
      <c r="O458" s="32"/>
      <c r="P458" s="38" t="str">
        <f aca="true">IF($E458="","",IF($L458="Cancelada","Cancelada",IF(OR($K458&lt;&gt;"",$L458="Concluída"),IF(OR($J458="",$K458="",$K458&lt;=$J458),"Concluída","Concluída com atraso"),IF($J458="","Na carteira",IF($J458&lt;TODAY(),"VENCIDA",IF($L458="Em execução","Em execução",IF($J458=TODAY(),"Hoje","Programada")))))))</f>
        <v/>
      </c>
      <c r="Q458" s="31" t="str">
        <f aca="false">IF($E458="","",IF(ISNUMBER(SEARCH("(externo)",$G458)),"Terceirizada","Interna"))</f>
        <v/>
      </c>
      <c r="R458" s="36" t="str">
        <f aca="false">IF($J458="","",IF($M458="",$J458,$M458))</f>
        <v/>
      </c>
      <c r="S458" s="31" t="str">
        <f aca="false">IF($E458="","",IF(OR($K458="",$J458=""),0,IF($K458&lt;=$J458,1,0)))</f>
        <v/>
      </c>
      <c r="T458" s="31" t="str">
        <f aca="false">IF($E458="","",IF(OR($K458="",$R458=""),0,IF($K458&lt;=$R458,1,0)))</f>
        <v/>
      </c>
      <c r="U458" s="38" t="str">
        <f aca="false">IF(OR($K458="",$J458=""),"",MAX(0,$K458-$J458))</f>
        <v/>
      </c>
      <c r="V458" s="31" t="str">
        <f aca="false">IF($E458="","",IF(AND($M458&lt;&gt;"",$J458&lt;&gt;"",$M458&lt;&gt;$J458),1,0))</f>
        <v/>
      </c>
      <c r="W458" s="39" t="str">
        <f aca="false">IF($E458="","",IF($L458="Cancelada",0,IF(OR($K458&lt;&gt;"",$L458="Concluída"),1,0)))</f>
        <v/>
      </c>
    </row>
    <row r="459" customFormat="false" ht="15" hidden="false" customHeight="true" outlineLevel="0" collapsed="false">
      <c r="A459" s="31" t="str">
        <f aca="false">IF($E459="","",COUNTA($E$5:$E459))</f>
        <v/>
      </c>
      <c r="B459" s="32"/>
      <c r="C459" s="32"/>
      <c r="D459" s="32"/>
      <c r="E459" s="32"/>
      <c r="F459" s="33"/>
      <c r="G459" s="32"/>
      <c r="H459" s="34"/>
      <c r="I459" s="35"/>
      <c r="J459" s="36" t="str">
        <f aca="false">IF(OR($H459="",$I459=""),"",$H459+MATCH($I459,Listas!$F$5:$F$11,0)-1)</f>
        <v/>
      </c>
      <c r="K459" s="37"/>
      <c r="L459" s="33"/>
      <c r="M459" s="37"/>
      <c r="N459" s="32"/>
      <c r="O459" s="32"/>
      <c r="P459" s="38" t="str">
        <f aca="true">IF($E459="","",IF($L459="Cancelada","Cancelada",IF(OR($K459&lt;&gt;"",$L459="Concluída"),IF(OR($J459="",$K459="",$K459&lt;=$J459),"Concluída","Concluída com atraso"),IF($J459="","Na carteira",IF($J459&lt;TODAY(),"VENCIDA",IF($L459="Em execução","Em execução",IF($J459=TODAY(),"Hoje","Programada")))))))</f>
        <v/>
      </c>
      <c r="Q459" s="31" t="str">
        <f aca="false">IF($E459="","",IF(ISNUMBER(SEARCH("(externo)",$G459)),"Terceirizada","Interna"))</f>
        <v/>
      </c>
      <c r="R459" s="36" t="str">
        <f aca="false">IF($J459="","",IF($M459="",$J459,$M459))</f>
        <v/>
      </c>
      <c r="S459" s="31" t="str">
        <f aca="false">IF($E459="","",IF(OR($K459="",$J459=""),0,IF($K459&lt;=$J459,1,0)))</f>
        <v/>
      </c>
      <c r="T459" s="31" t="str">
        <f aca="false">IF($E459="","",IF(OR($K459="",$R459=""),0,IF($K459&lt;=$R459,1,0)))</f>
        <v/>
      </c>
      <c r="U459" s="38" t="str">
        <f aca="false">IF(OR($K459="",$J459=""),"",MAX(0,$K459-$J459))</f>
        <v/>
      </c>
      <c r="V459" s="31" t="str">
        <f aca="false">IF($E459="","",IF(AND($M459&lt;&gt;"",$J459&lt;&gt;"",$M459&lt;&gt;$J459),1,0))</f>
        <v/>
      </c>
      <c r="W459" s="39" t="str">
        <f aca="false">IF($E459="","",IF($L459="Cancelada",0,IF(OR($K459&lt;&gt;"",$L459="Concluída"),1,0)))</f>
        <v/>
      </c>
    </row>
    <row r="460" customFormat="false" ht="15" hidden="false" customHeight="true" outlineLevel="0" collapsed="false">
      <c r="A460" s="31" t="str">
        <f aca="false">IF($E460="","",COUNTA($E$5:$E460))</f>
        <v/>
      </c>
      <c r="B460" s="32"/>
      <c r="C460" s="32"/>
      <c r="D460" s="32"/>
      <c r="E460" s="32"/>
      <c r="F460" s="33"/>
      <c r="G460" s="32"/>
      <c r="H460" s="34"/>
      <c r="I460" s="35"/>
      <c r="J460" s="36" t="str">
        <f aca="false">IF(OR($H460="",$I460=""),"",$H460+MATCH($I460,Listas!$F$5:$F$11,0)-1)</f>
        <v/>
      </c>
      <c r="K460" s="37"/>
      <c r="L460" s="33"/>
      <c r="M460" s="37"/>
      <c r="N460" s="32"/>
      <c r="O460" s="32"/>
      <c r="P460" s="38" t="str">
        <f aca="true">IF($E460="","",IF($L460="Cancelada","Cancelada",IF(OR($K460&lt;&gt;"",$L460="Concluída"),IF(OR($J460="",$K460="",$K460&lt;=$J460),"Concluída","Concluída com atraso"),IF($J460="","Na carteira",IF($J460&lt;TODAY(),"VENCIDA",IF($L460="Em execução","Em execução",IF($J460=TODAY(),"Hoje","Programada")))))))</f>
        <v/>
      </c>
      <c r="Q460" s="31" t="str">
        <f aca="false">IF($E460="","",IF(ISNUMBER(SEARCH("(externo)",$G460)),"Terceirizada","Interna"))</f>
        <v/>
      </c>
      <c r="R460" s="36" t="str">
        <f aca="false">IF($J460="","",IF($M460="",$J460,$M460))</f>
        <v/>
      </c>
      <c r="S460" s="31" t="str">
        <f aca="false">IF($E460="","",IF(OR($K460="",$J460=""),0,IF($K460&lt;=$J460,1,0)))</f>
        <v/>
      </c>
      <c r="T460" s="31" t="str">
        <f aca="false">IF($E460="","",IF(OR($K460="",$R460=""),0,IF($K460&lt;=$R460,1,0)))</f>
        <v/>
      </c>
      <c r="U460" s="38" t="str">
        <f aca="false">IF(OR($K460="",$J460=""),"",MAX(0,$K460-$J460))</f>
        <v/>
      </c>
      <c r="V460" s="31" t="str">
        <f aca="false">IF($E460="","",IF(AND($M460&lt;&gt;"",$J460&lt;&gt;"",$M460&lt;&gt;$J460),1,0))</f>
        <v/>
      </c>
      <c r="W460" s="39" t="str">
        <f aca="false">IF($E460="","",IF($L460="Cancelada",0,IF(OR($K460&lt;&gt;"",$L460="Concluída"),1,0)))</f>
        <v/>
      </c>
    </row>
    <row r="461" customFormat="false" ht="15" hidden="false" customHeight="true" outlineLevel="0" collapsed="false">
      <c r="A461" s="31" t="str">
        <f aca="false">IF($E461="","",COUNTA($E$5:$E461))</f>
        <v/>
      </c>
      <c r="B461" s="32"/>
      <c r="C461" s="32"/>
      <c r="D461" s="32"/>
      <c r="E461" s="32"/>
      <c r="F461" s="33"/>
      <c r="G461" s="32"/>
      <c r="H461" s="34"/>
      <c r="I461" s="35"/>
      <c r="J461" s="36" t="str">
        <f aca="false">IF(OR($H461="",$I461=""),"",$H461+MATCH($I461,Listas!$F$5:$F$11,0)-1)</f>
        <v/>
      </c>
      <c r="K461" s="37"/>
      <c r="L461" s="33"/>
      <c r="M461" s="37"/>
      <c r="N461" s="32"/>
      <c r="O461" s="32"/>
      <c r="P461" s="38" t="str">
        <f aca="true">IF($E461="","",IF($L461="Cancelada","Cancelada",IF(OR($K461&lt;&gt;"",$L461="Concluída"),IF(OR($J461="",$K461="",$K461&lt;=$J461),"Concluída","Concluída com atraso"),IF($J461="","Na carteira",IF($J461&lt;TODAY(),"VENCIDA",IF($L461="Em execução","Em execução",IF($J461=TODAY(),"Hoje","Programada")))))))</f>
        <v/>
      </c>
      <c r="Q461" s="31" t="str">
        <f aca="false">IF($E461="","",IF(ISNUMBER(SEARCH("(externo)",$G461)),"Terceirizada","Interna"))</f>
        <v/>
      </c>
      <c r="R461" s="36" t="str">
        <f aca="false">IF($J461="","",IF($M461="",$J461,$M461))</f>
        <v/>
      </c>
      <c r="S461" s="31" t="str">
        <f aca="false">IF($E461="","",IF(OR($K461="",$J461=""),0,IF($K461&lt;=$J461,1,0)))</f>
        <v/>
      </c>
      <c r="T461" s="31" t="str">
        <f aca="false">IF($E461="","",IF(OR($K461="",$R461=""),0,IF($K461&lt;=$R461,1,0)))</f>
        <v/>
      </c>
      <c r="U461" s="38" t="str">
        <f aca="false">IF(OR($K461="",$J461=""),"",MAX(0,$K461-$J461))</f>
        <v/>
      </c>
      <c r="V461" s="31" t="str">
        <f aca="false">IF($E461="","",IF(AND($M461&lt;&gt;"",$J461&lt;&gt;"",$M461&lt;&gt;$J461),1,0))</f>
        <v/>
      </c>
      <c r="W461" s="39" t="str">
        <f aca="false">IF($E461="","",IF($L461="Cancelada",0,IF(OR($K461&lt;&gt;"",$L461="Concluída"),1,0)))</f>
        <v/>
      </c>
    </row>
    <row r="462" customFormat="false" ht="15" hidden="false" customHeight="true" outlineLevel="0" collapsed="false">
      <c r="A462" s="31" t="str">
        <f aca="false">IF($E462="","",COUNTA($E$5:$E462))</f>
        <v/>
      </c>
      <c r="B462" s="32"/>
      <c r="C462" s="32"/>
      <c r="D462" s="32"/>
      <c r="E462" s="32"/>
      <c r="F462" s="33"/>
      <c r="G462" s="32"/>
      <c r="H462" s="34"/>
      <c r="I462" s="35"/>
      <c r="J462" s="36" t="str">
        <f aca="false">IF(OR($H462="",$I462=""),"",$H462+MATCH($I462,Listas!$F$5:$F$11,0)-1)</f>
        <v/>
      </c>
      <c r="K462" s="37"/>
      <c r="L462" s="33"/>
      <c r="M462" s="37"/>
      <c r="N462" s="32"/>
      <c r="O462" s="32"/>
      <c r="P462" s="38" t="str">
        <f aca="true">IF($E462="","",IF($L462="Cancelada","Cancelada",IF(OR($K462&lt;&gt;"",$L462="Concluída"),IF(OR($J462="",$K462="",$K462&lt;=$J462),"Concluída","Concluída com atraso"),IF($J462="","Na carteira",IF($J462&lt;TODAY(),"VENCIDA",IF($L462="Em execução","Em execução",IF($J462=TODAY(),"Hoje","Programada")))))))</f>
        <v/>
      </c>
      <c r="Q462" s="31" t="str">
        <f aca="false">IF($E462="","",IF(ISNUMBER(SEARCH("(externo)",$G462)),"Terceirizada","Interna"))</f>
        <v/>
      </c>
      <c r="R462" s="36" t="str">
        <f aca="false">IF($J462="","",IF($M462="",$J462,$M462))</f>
        <v/>
      </c>
      <c r="S462" s="31" t="str">
        <f aca="false">IF($E462="","",IF(OR($K462="",$J462=""),0,IF($K462&lt;=$J462,1,0)))</f>
        <v/>
      </c>
      <c r="T462" s="31" t="str">
        <f aca="false">IF($E462="","",IF(OR($K462="",$R462=""),0,IF($K462&lt;=$R462,1,0)))</f>
        <v/>
      </c>
      <c r="U462" s="38" t="str">
        <f aca="false">IF(OR($K462="",$J462=""),"",MAX(0,$K462-$J462))</f>
        <v/>
      </c>
      <c r="V462" s="31" t="str">
        <f aca="false">IF($E462="","",IF(AND($M462&lt;&gt;"",$J462&lt;&gt;"",$M462&lt;&gt;$J462),1,0))</f>
        <v/>
      </c>
      <c r="W462" s="39" t="str">
        <f aca="false">IF($E462="","",IF($L462="Cancelada",0,IF(OR($K462&lt;&gt;"",$L462="Concluída"),1,0)))</f>
        <v/>
      </c>
    </row>
    <row r="463" customFormat="false" ht="15" hidden="false" customHeight="true" outlineLevel="0" collapsed="false">
      <c r="A463" s="31" t="str">
        <f aca="false">IF($E463="","",COUNTA($E$5:$E463))</f>
        <v/>
      </c>
      <c r="B463" s="32"/>
      <c r="C463" s="32"/>
      <c r="D463" s="32"/>
      <c r="E463" s="32"/>
      <c r="F463" s="33"/>
      <c r="G463" s="32"/>
      <c r="H463" s="34"/>
      <c r="I463" s="35"/>
      <c r="J463" s="36" t="str">
        <f aca="false">IF(OR($H463="",$I463=""),"",$H463+MATCH($I463,Listas!$F$5:$F$11,0)-1)</f>
        <v/>
      </c>
      <c r="K463" s="37"/>
      <c r="L463" s="33"/>
      <c r="M463" s="37"/>
      <c r="N463" s="32"/>
      <c r="O463" s="32"/>
      <c r="P463" s="38" t="str">
        <f aca="true">IF($E463="","",IF($L463="Cancelada","Cancelada",IF(OR($K463&lt;&gt;"",$L463="Concluída"),IF(OR($J463="",$K463="",$K463&lt;=$J463),"Concluída","Concluída com atraso"),IF($J463="","Na carteira",IF($J463&lt;TODAY(),"VENCIDA",IF($L463="Em execução","Em execução",IF($J463=TODAY(),"Hoje","Programada")))))))</f>
        <v/>
      </c>
      <c r="Q463" s="31" t="str">
        <f aca="false">IF($E463="","",IF(ISNUMBER(SEARCH("(externo)",$G463)),"Terceirizada","Interna"))</f>
        <v/>
      </c>
      <c r="R463" s="36" t="str">
        <f aca="false">IF($J463="","",IF($M463="",$J463,$M463))</f>
        <v/>
      </c>
      <c r="S463" s="31" t="str">
        <f aca="false">IF($E463="","",IF(OR($K463="",$J463=""),0,IF($K463&lt;=$J463,1,0)))</f>
        <v/>
      </c>
      <c r="T463" s="31" t="str">
        <f aca="false">IF($E463="","",IF(OR($K463="",$R463=""),0,IF($K463&lt;=$R463,1,0)))</f>
        <v/>
      </c>
      <c r="U463" s="38" t="str">
        <f aca="false">IF(OR($K463="",$J463=""),"",MAX(0,$K463-$J463))</f>
        <v/>
      </c>
      <c r="V463" s="31" t="str">
        <f aca="false">IF($E463="","",IF(AND($M463&lt;&gt;"",$J463&lt;&gt;"",$M463&lt;&gt;$J463),1,0))</f>
        <v/>
      </c>
      <c r="W463" s="39" t="str">
        <f aca="false">IF($E463="","",IF($L463="Cancelada",0,IF(OR($K463&lt;&gt;"",$L463="Concluída"),1,0)))</f>
        <v/>
      </c>
    </row>
    <row r="464" customFormat="false" ht="15" hidden="false" customHeight="true" outlineLevel="0" collapsed="false">
      <c r="A464" s="31" t="str">
        <f aca="false">IF($E464="","",COUNTA($E$5:$E464))</f>
        <v/>
      </c>
      <c r="B464" s="32"/>
      <c r="C464" s="32"/>
      <c r="D464" s="32"/>
      <c r="E464" s="32"/>
      <c r="F464" s="33"/>
      <c r="G464" s="32"/>
      <c r="H464" s="34"/>
      <c r="I464" s="35"/>
      <c r="J464" s="36" t="str">
        <f aca="false">IF(OR($H464="",$I464=""),"",$H464+MATCH($I464,Listas!$F$5:$F$11,0)-1)</f>
        <v/>
      </c>
      <c r="K464" s="37"/>
      <c r="L464" s="33"/>
      <c r="M464" s="37"/>
      <c r="N464" s="32"/>
      <c r="O464" s="32"/>
      <c r="P464" s="38" t="str">
        <f aca="true">IF($E464="","",IF($L464="Cancelada","Cancelada",IF(OR($K464&lt;&gt;"",$L464="Concluída"),IF(OR($J464="",$K464="",$K464&lt;=$J464),"Concluída","Concluída com atraso"),IF($J464="","Na carteira",IF($J464&lt;TODAY(),"VENCIDA",IF($L464="Em execução","Em execução",IF($J464=TODAY(),"Hoje","Programada")))))))</f>
        <v/>
      </c>
      <c r="Q464" s="31" t="str">
        <f aca="false">IF($E464="","",IF(ISNUMBER(SEARCH("(externo)",$G464)),"Terceirizada","Interna"))</f>
        <v/>
      </c>
      <c r="R464" s="36" t="str">
        <f aca="false">IF($J464="","",IF($M464="",$J464,$M464))</f>
        <v/>
      </c>
      <c r="S464" s="31" t="str">
        <f aca="false">IF($E464="","",IF(OR($K464="",$J464=""),0,IF($K464&lt;=$J464,1,0)))</f>
        <v/>
      </c>
      <c r="T464" s="31" t="str">
        <f aca="false">IF($E464="","",IF(OR($K464="",$R464=""),0,IF($K464&lt;=$R464,1,0)))</f>
        <v/>
      </c>
      <c r="U464" s="38" t="str">
        <f aca="false">IF(OR($K464="",$J464=""),"",MAX(0,$K464-$J464))</f>
        <v/>
      </c>
      <c r="V464" s="31" t="str">
        <f aca="false">IF($E464="","",IF(AND($M464&lt;&gt;"",$J464&lt;&gt;"",$M464&lt;&gt;$J464),1,0))</f>
        <v/>
      </c>
      <c r="W464" s="39" t="str">
        <f aca="false">IF($E464="","",IF($L464="Cancelada",0,IF(OR($K464&lt;&gt;"",$L464="Concluída"),1,0)))</f>
        <v/>
      </c>
    </row>
    <row r="465" customFormat="false" ht="15" hidden="false" customHeight="true" outlineLevel="0" collapsed="false">
      <c r="A465" s="31" t="str">
        <f aca="false">IF($E465="","",COUNTA($E$5:$E465))</f>
        <v/>
      </c>
      <c r="B465" s="32"/>
      <c r="C465" s="32"/>
      <c r="D465" s="32"/>
      <c r="E465" s="32"/>
      <c r="F465" s="33"/>
      <c r="G465" s="32"/>
      <c r="H465" s="34"/>
      <c r="I465" s="35"/>
      <c r="J465" s="36" t="str">
        <f aca="false">IF(OR($H465="",$I465=""),"",$H465+MATCH($I465,Listas!$F$5:$F$11,0)-1)</f>
        <v/>
      </c>
      <c r="K465" s="37"/>
      <c r="L465" s="33"/>
      <c r="M465" s="37"/>
      <c r="N465" s="32"/>
      <c r="O465" s="32"/>
      <c r="P465" s="38" t="str">
        <f aca="true">IF($E465="","",IF($L465="Cancelada","Cancelada",IF(OR($K465&lt;&gt;"",$L465="Concluída"),IF(OR($J465="",$K465="",$K465&lt;=$J465),"Concluída","Concluída com atraso"),IF($J465="","Na carteira",IF($J465&lt;TODAY(),"VENCIDA",IF($L465="Em execução","Em execução",IF($J465=TODAY(),"Hoje","Programada")))))))</f>
        <v/>
      </c>
      <c r="Q465" s="31" t="str">
        <f aca="false">IF($E465="","",IF(ISNUMBER(SEARCH("(externo)",$G465)),"Terceirizada","Interna"))</f>
        <v/>
      </c>
      <c r="R465" s="36" t="str">
        <f aca="false">IF($J465="","",IF($M465="",$J465,$M465))</f>
        <v/>
      </c>
      <c r="S465" s="31" t="str">
        <f aca="false">IF($E465="","",IF(OR($K465="",$J465=""),0,IF($K465&lt;=$J465,1,0)))</f>
        <v/>
      </c>
      <c r="T465" s="31" t="str">
        <f aca="false">IF($E465="","",IF(OR($K465="",$R465=""),0,IF($K465&lt;=$R465,1,0)))</f>
        <v/>
      </c>
      <c r="U465" s="38" t="str">
        <f aca="false">IF(OR($K465="",$J465=""),"",MAX(0,$K465-$J465))</f>
        <v/>
      </c>
      <c r="V465" s="31" t="str">
        <f aca="false">IF($E465="","",IF(AND($M465&lt;&gt;"",$J465&lt;&gt;"",$M465&lt;&gt;$J465),1,0))</f>
        <v/>
      </c>
      <c r="W465" s="39" t="str">
        <f aca="false">IF($E465="","",IF($L465="Cancelada",0,IF(OR($K465&lt;&gt;"",$L465="Concluída"),1,0)))</f>
        <v/>
      </c>
    </row>
    <row r="466" customFormat="false" ht="15" hidden="false" customHeight="true" outlineLevel="0" collapsed="false">
      <c r="A466" s="31" t="str">
        <f aca="false">IF($E466="","",COUNTA($E$5:$E466))</f>
        <v/>
      </c>
      <c r="B466" s="32"/>
      <c r="C466" s="32"/>
      <c r="D466" s="32"/>
      <c r="E466" s="32"/>
      <c r="F466" s="33"/>
      <c r="G466" s="32"/>
      <c r="H466" s="34"/>
      <c r="I466" s="35"/>
      <c r="J466" s="36" t="str">
        <f aca="false">IF(OR($H466="",$I466=""),"",$H466+MATCH($I466,Listas!$F$5:$F$11,0)-1)</f>
        <v/>
      </c>
      <c r="K466" s="37"/>
      <c r="L466" s="33"/>
      <c r="M466" s="37"/>
      <c r="N466" s="32"/>
      <c r="O466" s="32"/>
      <c r="P466" s="38" t="str">
        <f aca="true">IF($E466="","",IF($L466="Cancelada","Cancelada",IF(OR($K466&lt;&gt;"",$L466="Concluída"),IF(OR($J466="",$K466="",$K466&lt;=$J466),"Concluída","Concluída com atraso"),IF($J466="","Na carteira",IF($J466&lt;TODAY(),"VENCIDA",IF($L466="Em execução","Em execução",IF($J466=TODAY(),"Hoje","Programada")))))))</f>
        <v/>
      </c>
      <c r="Q466" s="31" t="str">
        <f aca="false">IF($E466="","",IF(ISNUMBER(SEARCH("(externo)",$G466)),"Terceirizada","Interna"))</f>
        <v/>
      </c>
      <c r="R466" s="36" t="str">
        <f aca="false">IF($J466="","",IF($M466="",$J466,$M466))</f>
        <v/>
      </c>
      <c r="S466" s="31" t="str">
        <f aca="false">IF($E466="","",IF(OR($K466="",$J466=""),0,IF($K466&lt;=$J466,1,0)))</f>
        <v/>
      </c>
      <c r="T466" s="31" t="str">
        <f aca="false">IF($E466="","",IF(OR($K466="",$R466=""),0,IF($K466&lt;=$R466,1,0)))</f>
        <v/>
      </c>
      <c r="U466" s="38" t="str">
        <f aca="false">IF(OR($K466="",$J466=""),"",MAX(0,$K466-$J466))</f>
        <v/>
      </c>
      <c r="V466" s="31" t="str">
        <f aca="false">IF($E466="","",IF(AND($M466&lt;&gt;"",$J466&lt;&gt;"",$M466&lt;&gt;$J466),1,0))</f>
        <v/>
      </c>
      <c r="W466" s="39" t="str">
        <f aca="false">IF($E466="","",IF($L466="Cancelada",0,IF(OR($K466&lt;&gt;"",$L466="Concluída"),1,0)))</f>
        <v/>
      </c>
    </row>
    <row r="467" customFormat="false" ht="15" hidden="false" customHeight="true" outlineLevel="0" collapsed="false">
      <c r="A467" s="31" t="str">
        <f aca="false">IF($E467="","",COUNTA($E$5:$E467))</f>
        <v/>
      </c>
      <c r="B467" s="32"/>
      <c r="C467" s="32"/>
      <c r="D467" s="32"/>
      <c r="E467" s="32"/>
      <c r="F467" s="33"/>
      <c r="G467" s="32"/>
      <c r="H467" s="34"/>
      <c r="I467" s="35"/>
      <c r="J467" s="36" t="str">
        <f aca="false">IF(OR($H467="",$I467=""),"",$H467+MATCH($I467,Listas!$F$5:$F$11,0)-1)</f>
        <v/>
      </c>
      <c r="K467" s="37"/>
      <c r="L467" s="33"/>
      <c r="M467" s="37"/>
      <c r="N467" s="32"/>
      <c r="O467" s="32"/>
      <c r="P467" s="38" t="str">
        <f aca="true">IF($E467="","",IF($L467="Cancelada","Cancelada",IF(OR($K467&lt;&gt;"",$L467="Concluída"),IF(OR($J467="",$K467="",$K467&lt;=$J467),"Concluída","Concluída com atraso"),IF($J467="","Na carteira",IF($J467&lt;TODAY(),"VENCIDA",IF($L467="Em execução","Em execução",IF($J467=TODAY(),"Hoje","Programada")))))))</f>
        <v/>
      </c>
      <c r="Q467" s="31" t="str">
        <f aca="false">IF($E467="","",IF(ISNUMBER(SEARCH("(externo)",$G467)),"Terceirizada","Interna"))</f>
        <v/>
      </c>
      <c r="R467" s="36" t="str">
        <f aca="false">IF($J467="","",IF($M467="",$J467,$M467))</f>
        <v/>
      </c>
      <c r="S467" s="31" t="str">
        <f aca="false">IF($E467="","",IF(OR($K467="",$J467=""),0,IF($K467&lt;=$J467,1,0)))</f>
        <v/>
      </c>
      <c r="T467" s="31" t="str">
        <f aca="false">IF($E467="","",IF(OR($K467="",$R467=""),0,IF($K467&lt;=$R467,1,0)))</f>
        <v/>
      </c>
      <c r="U467" s="38" t="str">
        <f aca="false">IF(OR($K467="",$J467=""),"",MAX(0,$K467-$J467))</f>
        <v/>
      </c>
      <c r="V467" s="31" t="str">
        <f aca="false">IF($E467="","",IF(AND($M467&lt;&gt;"",$J467&lt;&gt;"",$M467&lt;&gt;$J467),1,0))</f>
        <v/>
      </c>
      <c r="W467" s="39" t="str">
        <f aca="false">IF($E467="","",IF($L467="Cancelada",0,IF(OR($K467&lt;&gt;"",$L467="Concluída"),1,0)))</f>
        <v/>
      </c>
    </row>
    <row r="468" customFormat="false" ht="15" hidden="false" customHeight="true" outlineLevel="0" collapsed="false">
      <c r="A468" s="31" t="str">
        <f aca="false">IF($E468="","",COUNTA($E$5:$E468))</f>
        <v/>
      </c>
      <c r="B468" s="32"/>
      <c r="C468" s="32"/>
      <c r="D468" s="32"/>
      <c r="E468" s="32"/>
      <c r="F468" s="33"/>
      <c r="G468" s="32"/>
      <c r="H468" s="34"/>
      <c r="I468" s="35"/>
      <c r="J468" s="36" t="str">
        <f aca="false">IF(OR($H468="",$I468=""),"",$H468+MATCH($I468,Listas!$F$5:$F$11,0)-1)</f>
        <v/>
      </c>
      <c r="K468" s="37"/>
      <c r="L468" s="33"/>
      <c r="M468" s="37"/>
      <c r="N468" s="32"/>
      <c r="O468" s="32"/>
      <c r="P468" s="38" t="str">
        <f aca="true">IF($E468="","",IF($L468="Cancelada","Cancelada",IF(OR($K468&lt;&gt;"",$L468="Concluída"),IF(OR($J468="",$K468="",$K468&lt;=$J468),"Concluída","Concluída com atraso"),IF($J468="","Na carteira",IF($J468&lt;TODAY(),"VENCIDA",IF($L468="Em execução","Em execução",IF($J468=TODAY(),"Hoje","Programada")))))))</f>
        <v/>
      </c>
      <c r="Q468" s="31" t="str">
        <f aca="false">IF($E468="","",IF(ISNUMBER(SEARCH("(externo)",$G468)),"Terceirizada","Interna"))</f>
        <v/>
      </c>
      <c r="R468" s="36" t="str">
        <f aca="false">IF($J468="","",IF($M468="",$J468,$M468))</f>
        <v/>
      </c>
      <c r="S468" s="31" t="str">
        <f aca="false">IF($E468="","",IF(OR($K468="",$J468=""),0,IF($K468&lt;=$J468,1,0)))</f>
        <v/>
      </c>
      <c r="T468" s="31" t="str">
        <f aca="false">IF($E468="","",IF(OR($K468="",$R468=""),0,IF($K468&lt;=$R468,1,0)))</f>
        <v/>
      </c>
      <c r="U468" s="38" t="str">
        <f aca="false">IF(OR($K468="",$J468=""),"",MAX(0,$K468-$J468))</f>
        <v/>
      </c>
      <c r="V468" s="31" t="str">
        <f aca="false">IF($E468="","",IF(AND($M468&lt;&gt;"",$J468&lt;&gt;"",$M468&lt;&gt;$J468),1,0))</f>
        <v/>
      </c>
      <c r="W468" s="39" t="str">
        <f aca="false">IF($E468="","",IF($L468="Cancelada",0,IF(OR($K468&lt;&gt;"",$L468="Concluída"),1,0)))</f>
        <v/>
      </c>
    </row>
    <row r="469" customFormat="false" ht="15" hidden="false" customHeight="true" outlineLevel="0" collapsed="false">
      <c r="A469" s="31" t="str">
        <f aca="false">IF($E469="","",COUNTA($E$5:$E469))</f>
        <v/>
      </c>
      <c r="B469" s="32"/>
      <c r="C469" s="32"/>
      <c r="D469" s="32"/>
      <c r="E469" s="32"/>
      <c r="F469" s="33"/>
      <c r="G469" s="32"/>
      <c r="H469" s="34"/>
      <c r="I469" s="35"/>
      <c r="J469" s="36" t="str">
        <f aca="false">IF(OR($H469="",$I469=""),"",$H469+MATCH($I469,Listas!$F$5:$F$11,0)-1)</f>
        <v/>
      </c>
      <c r="K469" s="37"/>
      <c r="L469" s="33"/>
      <c r="M469" s="37"/>
      <c r="N469" s="32"/>
      <c r="O469" s="32"/>
      <c r="P469" s="38" t="str">
        <f aca="true">IF($E469="","",IF($L469="Cancelada","Cancelada",IF(OR($K469&lt;&gt;"",$L469="Concluída"),IF(OR($J469="",$K469="",$K469&lt;=$J469),"Concluída","Concluída com atraso"),IF($J469="","Na carteira",IF($J469&lt;TODAY(),"VENCIDA",IF($L469="Em execução","Em execução",IF($J469=TODAY(),"Hoje","Programada")))))))</f>
        <v/>
      </c>
      <c r="Q469" s="31" t="str">
        <f aca="false">IF($E469="","",IF(ISNUMBER(SEARCH("(externo)",$G469)),"Terceirizada","Interna"))</f>
        <v/>
      </c>
      <c r="R469" s="36" t="str">
        <f aca="false">IF($J469="","",IF($M469="",$J469,$M469))</f>
        <v/>
      </c>
      <c r="S469" s="31" t="str">
        <f aca="false">IF($E469="","",IF(OR($K469="",$J469=""),0,IF($K469&lt;=$J469,1,0)))</f>
        <v/>
      </c>
      <c r="T469" s="31" t="str">
        <f aca="false">IF($E469="","",IF(OR($K469="",$R469=""),0,IF($K469&lt;=$R469,1,0)))</f>
        <v/>
      </c>
      <c r="U469" s="38" t="str">
        <f aca="false">IF(OR($K469="",$J469=""),"",MAX(0,$K469-$J469))</f>
        <v/>
      </c>
      <c r="V469" s="31" t="str">
        <f aca="false">IF($E469="","",IF(AND($M469&lt;&gt;"",$J469&lt;&gt;"",$M469&lt;&gt;$J469),1,0))</f>
        <v/>
      </c>
      <c r="W469" s="39" t="str">
        <f aca="false">IF($E469="","",IF($L469="Cancelada",0,IF(OR($K469&lt;&gt;"",$L469="Concluída"),1,0)))</f>
        <v/>
      </c>
    </row>
    <row r="470" customFormat="false" ht="15" hidden="false" customHeight="true" outlineLevel="0" collapsed="false">
      <c r="A470" s="31" t="str">
        <f aca="false">IF($E470="","",COUNTA($E$5:$E470))</f>
        <v/>
      </c>
      <c r="B470" s="32"/>
      <c r="C470" s="32"/>
      <c r="D470" s="32"/>
      <c r="E470" s="32"/>
      <c r="F470" s="33"/>
      <c r="G470" s="32"/>
      <c r="H470" s="34"/>
      <c r="I470" s="35"/>
      <c r="J470" s="36" t="str">
        <f aca="false">IF(OR($H470="",$I470=""),"",$H470+MATCH($I470,Listas!$F$5:$F$11,0)-1)</f>
        <v/>
      </c>
      <c r="K470" s="37"/>
      <c r="L470" s="33"/>
      <c r="M470" s="37"/>
      <c r="N470" s="32"/>
      <c r="O470" s="32"/>
      <c r="P470" s="38" t="str">
        <f aca="true">IF($E470="","",IF($L470="Cancelada","Cancelada",IF(OR($K470&lt;&gt;"",$L470="Concluída"),IF(OR($J470="",$K470="",$K470&lt;=$J470),"Concluída","Concluída com atraso"),IF($J470="","Na carteira",IF($J470&lt;TODAY(),"VENCIDA",IF($L470="Em execução","Em execução",IF($J470=TODAY(),"Hoje","Programada")))))))</f>
        <v/>
      </c>
      <c r="Q470" s="31" t="str">
        <f aca="false">IF($E470="","",IF(ISNUMBER(SEARCH("(externo)",$G470)),"Terceirizada","Interna"))</f>
        <v/>
      </c>
      <c r="R470" s="36" t="str">
        <f aca="false">IF($J470="","",IF($M470="",$J470,$M470))</f>
        <v/>
      </c>
      <c r="S470" s="31" t="str">
        <f aca="false">IF($E470="","",IF(OR($K470="",$J470=""),0,IF($K470&lt;=$J470,1,0)))</f>
        <v/>
      </c>
      <c r="T470" s="31" t="str">
        <f aca="false">IF($E470="","",IF(OR($K470="",$R470=""),0,IF($K470&lt;=$R470,1,0)))</f>
        <v/>
      </c>
      <c r="U470" s="38" t="str">
        <f aca="false">IF(OR($K470="",$J470=""),"",MAX(0,$K470-$J470))</f>
        <v/>
      </c>
      <c r="V470" s="31" t="str">
        <f aca="false">IF($E470="","",IF(AND($M470&lt;&gt;"",$J470&lt;&gt;"",$M470&lt;&gt;$J470),1,0))</f>
        <v/>
      </c>
      <c r="W470" s="39" t="str">
        <f aca="false">IF($E470="","",IF($L470="Cancelada",0,IF(OR($K470&lt;&gt;"",$L470="Concluída"),1,0)))</f>
        <v/>
      </c>
    </row>
    <row r="471" customFormat="false" ht="15" hidden="false" customHeight="true" outlineLevel="0" collapsed="false">
      <c r="A471" s="31" t="str">
        <f aca="false">IF($E471="","",COUNTA($E$5:$E471))</f>
        <v/>
      </c>
      <c r="B471" s="32"/>
      <c r="C471" s="32"/>
      <c r="D471" s="32"/>
      <c r="E471" s="32"/>
      <c r="F471" s="33"/>
      <c r="G471" s="32"/>
      <c r="H471" s="34"/>
      <c r="I471" s="35"/>
      <c r="J471" s="36" t="str">
        <f aca="false">IF(OR($H471="",$I471=""),"",$H471+MATCH($I471,Listas!$F$5:$F$11,0)-1)</f>
        <v/>
      </c>
      <c r="K471" s="37"/>
      <c r="L471" s="33"/>
      <c r="M471" s="37"/>
      <c r="N471" s="32"/>
      <c r="O471" s="32"/>
      <c r="P471" s="38" t="str">
        <f aca="true">IF($E471="","",IF($L471="Cancelada","Cancelada",IF(OR($K471&lt;&gt;"",$L471="Concluída"),IF(OR($J471="",$K471="",$K471&lt;=$J471),"Concluída","Concluída com atraso"),IF($J471="","Na carteira",IF($J471&lt;TODAY(),"VENCIDA",IF($L471="Em execução","Em execução",IF($J471=TODAY(),"Hoje","Programada")))))))</f>
        <v/>
      </c>
      <c r="Q471" s="31" t="str">
        <f aca="false">IF($E471="","",IF(ISNUMBER(SEARCH("(externo)",$G471)),"Terceirizada","Interna"))</f>
        <v/>
      </c>
      <c r="R471" s="36" t="str">
        <f aca="false">IF($J471="","",IF($M471="",$J471,$M471))</f>
        <v/>
      </c>
      <c r="S471" s="31" t="str">
        <f aca="false">IF($E471="","",IF(OR($K471="",$J471=""),0,IF($K471&lt;=$J471,1,0)))</f>
        <v/>
      </c>
      <c r="T471" s="31" t="str">
        <f aca="false">IF($E471="","",IF(OR($K471="",$R471=""),0,IF($K471&lt;=$R471,1,0)))</f>
        <v/>
      </c>
      <c r="U471" s="38" t="str">
        <f aca="false">IF(OR($K471="",$J471=""),"",MAX(0,$K471-$J471))</f>
        <v/>
      </c>
      <c r="V471" s="31" t="str">
        <f aca="false">IF($E471="","",IF(AND($M471&lt;&gt;"",$J471&lt;&gt;"",$M471&lt;&gt;$J471),1,0))</f>
        <v/>
      </c>
      <c r="W471" s="39" t="str">
        <f aca="false">IF($E471="","",IF($L471="Cancelada",0,IF(OR($K471&lt;&gt;"",$L471="Concluída"),1,0)))</f>
        <v/>
      </c>
    </row>
    <row r="472" customFormat="false" ht="15" hidden="false" customHeight="true" outlineLevel="0" collapsed="false">
      <c r="A472" s="31" t="str">
        <f aca="false">IF($E472="","",COUNTA($E$5:$E472))</f>
        <v/>
      </c>
      <c r="B472" s="32"/>
      <c r="C472" s="32"/>
      <c r="D472" s="32"/>
      <c r="E472" s="32"/>
      <c r="F472" s="33"/>
      <c r="G472" s="32"/>
      <c r="H472" s="34"/>
      <c r="I472" s="35"/>
      <c r="J472" s="36" t="str">
        <f aca="false">IF(OR($H472="",$I472=""),"",$H472+MATCH($I472,Listas!$F$5:$F$11,0)-1)</f>
        <v/>
      </c>
      <c r="K472" s="37"/>
      <c r="L472" s="33"/>
      <c r="M472" s="37"/>
      <c r="N472" s="32"/>
      <c r="O472" s="32"/>
      <c r="P472" s="38" t="str">
        <f aca="true">IF($E472="","",IF($L472="Cancelada","Cancelada",IF(OR($K472&lt;&gt;"",$L472="Concluída"),IF(OR($J472="",$K472="",$K472&lt;=$J472),"Concluída","Concluída com atraso"),IF($J472="","Na carteira",IF($J472&lt;TODAY(),"VENCIDA",IF($L472="Em execução","Em execução",IF($J472=TODAY(),"Hoje","Programada")))))))</f>
        <v/>
      </c>
      <c r="Q472" s="31" t="str">
        <f aca="false">IF($E472="","",IF(ISNUMBER(SEARCH("(externo)",$G472)),"Terceirizada","Interna"))</f>
        <v/>
      </c>
      <c r="R472" s="36" t="str">
        <f aca="false">IF($J472="","",IF($M472="",$J472,$M472))</f>
        <v/>
      </c>
      <c r="S472" s="31" t="str">
        <f aca="false">IF($E472="","",IF(OR($K472="",$J472=""),0,IF($K472&lt;=$J472,1,0)))</f>
        <v/>
      </c>
      <c r="T472" s="31" t="str">
        <f aca="false">IF($E472="","",IF(OR($K472="",$R472=""),0,IF($K472&lt;=$R472,1,0)))</f>
        <v/>
      </c>
      <c r="U472" s="38" t="str">
        <f aca="false">IF(OR($K472="",$J472=""),"",MAX(0,$K472-$J472))</f>
        <v/>
      </c>
      <c r="V472" s="31" t="str">
        <f aca="false">IF($E472="","",IF(AND($M472&lt;&gt;"",$J472&lt;&gt;"",$M472&lt;&gt;$J472),1,0))</f>
        <v/>
      </c>
      <c r="W472" s="39" t="str">
        <f aca="false">IF($E472="","",IF($L472="Cancelada",0,IF(OR($K472&lt;&gt;"",$L472="Concluída"),1,0)))</f>
        <v/>
      </c>
    </row>
    <row r="473" customFormat="false" ht="15" hidden="false" customHeight="true" outlineLevel="0" collapsed="false">
      <c r="A473" s="31" t="str">
        <f aca="false">IF($E473="","",COUNTA($E$5:$E473))</f>
        <v/>
      </c>
      <c r="B473" s="32"/>
      <c r="C473" s="32"/>
      <c r="D473" s="32"/>
      <c r="E473" s="32"/>
      <c r="F473" s="33"/>
      <c r="G473" s="32"/>
      <c r="H473" s="34"/>
      <c r="I473" s="35"/>
      <c r="J473" s="36" t="str">
        <f aca="false">IF(OR($H473="",$I473=""),"",$H473+MATCH($I473,Listas!$F$5:$F$11,0)-1)</f>
        <v/>
      </c>
      <c r="K473" s="37"/>
      <c r="L473" s="33"/>
      <c r="M473" s="37"/>
      <c r="N473" s="32"/>
      <c r="O473" s="32"/>
      <c r="P473" s="38" t="str">
        <f aca="true">IF($E473="","",IF($L473="Cancelada","Cancelada",IF(OR($K473&lt;&gt;"",$L473="Concluída"),IF(OR($J473="",$K473="",$K473&lt;=$J473),"Concluída","Concluída com atraso"),IF($J473="","Na carteira",IF($J473&lt;TODAY(),"VENCIDA",IF($L473="Em execução","Em execução",IF($J473=TODAY(),"Hoje","Programada")))))))</f>
        <v/>
      </c>
      <c r="Q473" s="31" t="str">
        <f aca="false">IF($E473="","",IF(ISNUMBER(SEARCH("(externo)",$G473)),"Terceirizada","Interna"))</f>
        <v/>
      </c>
      <c r="R473" s="36" t="str">
        <f aca="false">IF($J473="","",IF($M473="",$J473,$M473))</f>
        <v/>
      </c>
      <c r="S473" s="31" t="str">
        <f aca="false">IF($E473="","",IF(OR($K473="",$J473=""),0,IF($K473&lt;=$J473,1,0)))</f>
        <v/>
      </c>
      <c r="T473" s="31" t="str">
        <f aca="false">IF($E473="","",IF(OR($K473="",$R473=""),0,IF($K473&lt;=$R473,1,0)))</f>
        <v/>
      </c>
      <c r="U473" s="38" t="str">
        <f aca="false">IF(OR($K473="",$J473=""),"",MAX(0,$K473-$J473))</f>
        <v/>
      </c>
      <c r="V473" s="31" t="str">
        <f aca="false">IF($E473="","",IF(AND($M473&lt;&gt;"",$J473&lt;&gt;"",$M473&lt;&gt;$J473),1,0))</f>
        <v/>
      </c>
      <c r="W473" s="39" t="str">
        <f aca="false">IF($E473="","",IF($L473="Cancelada",0,IF(OR($K473&lt;&gt;"",$L473="Concluída"),1,0)))</f>
        <v/>
      </c>
    </row>
    <row r="474" customFormat="false" ht="15" hidden="false" customHeight="true" outlineLevel="0" collapsed="false">
      <c r="A474" s="31" t="str">
        <f aca="false">IF($E474="","",COUNTA($E$5:$E474))</f>
        <v/>
      </c>
      <c r="B474" s="32"/>
      <c r="C474" s="32"/>
      <c r="D474" s="32"/>
      <c r="E474" s="32"/>
      <c r="F474" s="33"/>
      <c r="G474" s="32"/>
      <c r="H474" s="34"/>
      <c r="I474" s="35"/>
      <c r="J474" s="36" t="str">
        <f aca="false">IF(OR($H474="",$I474=""),"",$H474+MATCH($I474,Listas!$F$5:$F$11,0)-1)</f>
        <v/>
      </c>
      <c r="K474" s="37"/>
      <c r="L474" s="33"/>
      <c r="M474" s="37"/>
      <c r="N474" s="32"/>
      <c r="O474" s="32"/>
      <c r="P474" s="38" t="str">
        <f aca="true">IF($E474="","",IF($L474="Cancelada","Cancelada",IF(OR($K474&lt;&gt;"",$L474="Concluída"),IF(OR($J474="",$K474="",$K474&lt;=$J474),"Concluída","Concluída com atraso"),IF($J474="","Na carteira",IF($J474&lt;TODAY(),"VENCIDA",IF($L474="Em execução","Em execução",IF($J474=TODAY(),"Hoje","Programada")))))))</f>
        <v/>
      </c>
      <c r="Q474" s="31" t="str">
        <f aca="false">IF($E474="","",IF(ISNUMBER(SEARCH("(externo)",$G474)),"Terceirizada","Interna"))</f>
        <v/>
      </c>
      <c r="R474" s="36" t="str">
        <f aca="false">IF($J474="","",IF($M474="",$J474,$M474))</f>
        <v/>
      </c>
      <c r="S474" s="31" t="str">
        <f aca="false">IF($E474="","",IF(OR($K474="",$J474=""),0,IF($K474&lt;=$J474,1,0)))</f>
        <v/>
      </c>
      <c r="T474" s="31" t="str">
        <f aca="false">IF($E474="","",IF(OR($K474="",$R474=""),0,IF($K474&lt;=$R474,1,0)))</f>
        <v/>
      </c>
      <c r="U474" s="38" t="str">
        <f aca="false">IF(OR($K474="",$J474=""),"",MAX(0,$K474-$J474))</f>
        <v/>
      </c>
      <c r="V474" s="31" t="str">
        <f aca="false">IF($E474="","",IF(AND($M474&lt;&gt;"",$J474&lt;&gt;"",$M474&lt;&gt;$J474),1,0))</f>
        <v/>
      </c>
      <c r="W474" s="39" t="str">
        <f aca="false">IF($E474="","",IF($L474="Cancelada",0,IF(OR($K474&lt;&gt;"",$L474="Concluída"),1,0)))</f>
        <v/>
      </c>
    </row>
    <row r="475" customFormat="false" ht="15" hidden="false" customHeight="true" outlineLevel="0" collapsed="false">
      <c r="A475" s="31" t="str">
        <f aca="false">IF($E475="","",COUNTA($E$5:$E475))</f>
        <v/>
      </c>
      <c r="B475" s="32"/>
      <c r="C475" s="32"/>
      <c r="D475" s="32"/>
      <c r="E475" s="32"/>
      <c r="F475" s="33"/>
      <c r="G475" s="32"/>
      <c r="H475" s="34"/>
      <c r="I475" s="35"/>
      <c r="J475" s="36" t="str">
        <f aca="false">IF(OR($H475="",$I475=""),"",$H475+MATCH($I475,Listas!$F$5:$F$11,0)-1)</f>
        <v/>
      </c>
      <c r="K475" s="37"/>
      <c r="L475" s="33"/>
      <c r="M475" s="37"/>
      <c r="N475" s="32"/>
      <c r="O475" s="32"/>
      <c r="P475" s="38" t="str">
        <f aca="true">IF($E475="","",IF($L475="Cancelada","Cancelada",IF(OR($K475&lt;&gt;"",$L475="Concluída"),IF(OR($J475="",$K475="",$K475&lt;=$J475),"Concluída","Concluída com atraso"),IF($J475="","Na carteira",IF($J475&lt;TODAY(),"VENCIDA",IF($L475="Em execução","Em execução",IF($J475=TODAY(),"Hoje","Programada")))))))</f>
        <v/>
      </c>
      <c r="Q475" s="31" t="str">
        <f aca="false">IF($E475="","",IF(ISNUMBER(SEARCH("(externo)",$G475)),"Terceirizada","Interna"))</f>
        <v/>
      </c>
      <c r="R475" s="36" t="str">
        <f aca="false">IF($J475="","",IF($M475="",$J475,$M475))</f>
        <v/>
      </c>
      <c r="S475" s="31" t="str">
        <f aca="false">IF($E475="","",IF(OR($K475="",$J475=""),0,IF($K475&lt;=$J475,1,0)))</f>
        <v/>
      </c>
      <c r="T475" s="31" t="str">
        <f aca="false">IF($E475="","",IF(OR($K475="",$R475=""),0,IF($K475&lt;=$R475,1,0)))</f>
        <v/>
      </c>
      <c r="U475" s="38" t="str">
        <f aca="false">IF(OR($K475="",$J475=""),"",MAX(0,$K475-$J475))</f>
        <v/>
      </c>
      <c r="V475" s="31" t="str">
        <f aca="false">IF($E475="","",IF(AND($M475&lt;&gt;"",$J475&lt;&gt;"",$M475&lt;&gt;$J475),1,0))</f>
        <v/>
      </c>
      <c r="W475" s="39" t="str">
        <f aca="false">IF($E475="","",IF($L475="Cancelada",0,IF(OR($K475&lt;&gt;"",$L475="Concluída"),1,0)))</f>
        <v/>
      </c>
    </row>
    <row r="476" customFormat="false" ht="15" hidden="false" customHeight="true" outlineLevel="0" collapsed="false">
      <c r="A476" s="31" t="str">
        <f aca="false">IF($E476="","",COUNTA($E$5:$E476))</f>
        <v/>
      </c>
      <c r="B476" s="32"/>
      <c r="C476" s="32"/>
      <c r="D476" s="32"/>
      <c r="E476" s="32"/>
      <c r="F476" s="33"/>
      <c r="G476" s="32"/>
      <c r="H476" s="34"/>
      <c r="I476" s="35"/>
      <c r="J476" s="36" t="str">
        <f aca="false">IF(OR($H476="",$I476=""),"",$H476+MATCH($I476,Listas!$F$5:$F$11,0)-1)</f>
        <v/>
      </c>
      <c r="K476" s="37"/>
      <c r="L476" s="33"/>
      <c r="M476" s="37"/>
      <c r="N476" s="32"/>
      <c r="O476" s="32"/>
      <c r="P476" s="38" t="str">
        <f aca="true">IF($E476="","",IF($L476="Cancelada","Cancelada",IF(OR($K476&lt;&gt;"",$L476="Concluída"),IF(OR($J476="",$K476="",$K476&lt;=$J476),"Concluída","Concluída com atraso"),IF($J476="","Na carteira",IF($J476&lt;TODAY(),"VENCIDA",IF($L476="Em execução","Em execução",IF($J476=TODAY(),"Hoje","Programada")))))))</f>
        <v/>
      </c>
      <c r="Q476" s="31" t="str">
        <f aca="false">IF($E476="","",IF(ISNUMBER(SEARCH("(externo)",$G476)),"Terceirizada","Interna"))</f>
        <v/>
      </c>
      <c r="R476" s="36" t="str">
        <f aca="false">IF($J476="","",IF($M476="",$J476,$M476))</f>
        <v/>
      </c>
      <c r="S476" s="31" t="str">
        <f aca="false">IF($E476="","",IF(OR($K476="",$J476=""),0,IF($K476&lt;=$J476,1,0)))</f>
        <v/>
      </c>
      <c r="T476" s="31" t="str">
        <f aca="false">IF($E476="","",IF(OR($K476="",$R476=""),0,IF($K476&lt;=$R476,1,0)))</f>
        <v/>
      </c>
      <c r="U476" s="38" t="str">
        <f aca="false">IF(OR($K476="",$J476=""),"",MAX(0,$K476-$J476))</f>
        <v/>
      </c>
      <c r="V476" s="31" t="str">
        <f aca="false">IF($E476="","",IF(AND($M476&lt;&gt;"",$J476&lt;&gt;"",$M476&lt;&gt;$J476),1,0))</f>
        <v/>
      </c>
      <c r="W476" s="39" t="str">
        <f aca="false">IF($E476="","",IF($L476="Cancelada",0,IF(OR($K476&lt;&gt;"",$L476="Concluída"),1,0)))</f>
        <v/>
      </c>
    </row>
    <row r="477" customFormat="false" ht="15" hidden="false" customHeight="true" outlineLevel="0" collapsed="false">
      <c r="A477" s="31" t="str">
        <f aca="false">IF($E477="","",COUNTA($E$5:$E477))</f>
        <v/>
      </c>
      <c r="B477" s="32"/>
      <c r="C477" s="32"/>
      <c r="D477" s="32"/>
      <c r="E477" s="32"/>
      <c r="F477" s="33"/>
      <c r="G477" s="32"/>
      <c r="H477" s="34"/>
      <c r="I477" s="35"/>
      <c r="J477" s="36" t="str">
        <f aca="false">IF(OR($H477="",$I477=""),"",$H477+MATCH($I477,Listas!$F$5:$F$11,0)-1)</f>
        <v/>
      </c>
      <c r="K477" s="37"/>
      <c r="L477" s="33"/>
      <c r="M477" s="37"/>
      <c r="N477" s="32"/>
      <c r="O477" s="32"/>
      <c r="P477" s="38" t="str">
        <f aca="true">IF($E477="","",IF($L477="Cancelada","Cancelada",IF(OR($K477&lt;&gt;"",$L477="Concluída"),IF(OR($J477="",$K477="",$K477&lt;=$J477),"Concluída","Concluída com atraso"),IF($J477="","Na carteira",IF($J477&lt;TODAY(),"VENCIDA",IF($L477="Em execução","Em execução",IF($J477=TODAY(),"Hoje","Programada")))))))</f>
        <v/>
      </c>
      <c r="Q477" s="31" t="str">
        <f aca="false">IF($E477="","",IF(ISNUMBER(SEARCH("(externo)",$G477)),"Terceirizada","Interna"))</f>
        <v/>
      </c>
      <c r="R477" s="36" t="str">
        <f aca="false">IF($J477="","",IF($M477="",$J477,$M477))</f>
        <v/>
      </c>
      <c r="S477" s="31" t="str">
        <f aca="false">IF($E477="","",IF(OR($K477="",$J477=""),0,IF($K477&lt;=$J477,1,0)))</f>
        <v/>
      </c>
      <c r="T477" s="31" t="str">
        <f aca="false">IF($E477="","",IF(OR($K477="",$R477=""),0,IF($K477&lt;=$R477,1,0)))</f>
        <v/>
      </c>
      <c r="U477" s="38" t="str">
        <f aca="false">IF(OR($K477="",$J477=""),"",MAX(0,$K477-$J477))</f>
        <v/>
      </c>
      <c r="V477" s="31" t="str">
        <f aca="false">IF($E477="","",IF(AND($M477&lt;&gt;"",$J477&lt;&gt;"",$M477&lt;&gt;$J477),1,0))</f>
        <v/>
      </c>
      <c r="W477" s="39" t="str">
        <f aca="false">IF($E477="","",IF($L477="Cancelada",0,IF(OR($K477&lt;&gt;"",$L477="Concluída"),1,0)))</f>
        <v/>
      </c>
    </row>
    <row r="478" customFormat="false" ht="15" hidden="false" customHeight="true" outlineLevel="0" collapsed="false">
      <c r="A478" s="31" t="str">
        <f aca="false">IF($E478="","",COUNTA($E$5:$E478))</f>
        <v/>
      </c>
      <c r="B478" s="32"/>
      <c r="C478" s="32"/>
      <c r="D478" s="32"/>
      <c r="E478" s="32"/>
      <c r="F478" s="33"/>
      <c r="G478" s="32"/>
      <c r="H478" s="34"/>
      <c r="I478" s="35"/>
      <c r="J478" s="36" t="str">
        <f aca="false">IF(OR($H478="",$I478=""),"",$H478+MATCH($I478,Listas!$F$5:$F$11,0)-1)</f>
        <v/>
      </c>
      <c r="K478" s="37"/>
      <c r="L478" s="33"/>
      <c r="M478" s="37"/>
      <c r="N478" s="32"/>
      <c r="O478" s="32"/>
      <c r="P478" s="38" t="str">
        <f aca="true">IF($E478="","",IF($L478="Cancelada","Cancelada",IF(OR($K478&lt;&gt;"",$L478="Concluída"),IF(OR($J478="",$K478="",$K478&lt;=$J478),"Concluída","Concluída com atraso"),IF($J478="","Na carteira",IF($J478&lt;TODAY(),"VENCIDA",IF($L478="Em execução","Em execução",IF($J478=TODAY(),"Hoje","Programada")))))))</f>
        <v/>
      </c>
      <c r="Q478" s="31" t="str">
        <f aca="false">IF($E478="","",IF(ISNUMBER(SEARCH("(externo)",$G478)),"Terceirizada","Interna"))</f>
        <v/>
      </c>
      <c r="R478" s="36" t="str">
        <f aca="false">IF($J478="","",IF($M478="",$J478,$M478))</f>
        <v/>
      </c>
      <c r="S478" s="31" t="str">
        <f aca="false">IF($E478="","",IF(OR($K478="",$J478=""),0,IF($K478&lt;=$J478,1,0)))</f>
        <v/>
      </c>
      <c r="T478" s="31" t="str">
        <f aca="false">IF($E478="","",IF(OR($K478="",$R478=""),0,IF($K478&lt;=$R478,1,0)))</f>
        <v/>
      </c>
      <c r="U478" s="38" t="str">
        <f aca="false">IF(OR($K478="",$J478=""),"",MAX(0,$K478-$J478))</f>
        <v/>
      </c>
      <c r="V478" s="31" t="str">
        <f aca="false">IF($E478="","",IF(AND($M478&lt;&gt;"",$J478&lt;&gt;"",$M478&lt;&gt;$J478),1,0))</f>
        <v/>
      </c>
      <c r="W478" s="39" t="str">
        <f aca="false">IF($E478="","",IF($L478="Cancelada",0,IF(OR($K478&lt;&gt;"",$L478="Concluída"),1,0)))</f>
        <v/>
      </c>
    </row>
    <row r="479" customFormat="false" ht="15" hidden="false" customHeight="true" outlineLevel="0" collapsed="false">
      <c r="A479" s="31" t="str">
        <f aca="false">IF($E479="","",COUNTA($E$5:$E479))</f>
        <v/>
      </c>
      <c r="B479" s="32"/>
      <c r="C479" s="32"/>
      <c r="D479" s="32"/>
      <c r="E479" s="32"/>
      <c r="F479" s="33"/>
      <c r="G479" s="32"/>
      <c r="H479" s="34"/>
      <c r="I479" s="35"/>
      <c r="J479" s="36" t="str">
        <f aca="false">IF(OR($H479="",$I479=""),"",$H479+MATCH($I479,Listas!$F$5:$F$11,0)-1)</f>
        <v/>
      </c>
      <c r="K479" s="37"/>
      <c r="L479" s="33"/>
      <c r="M479" s="37"/>
      <c r="N479" s="32"/>
      <c r="O479" s="32"/>
      <c r="P479" s="38" t="str">
        <f aca="true">IF($E479="","",IF($L479="Cancelada","Cancelada",IF(OR($K479&lt;&gt;"",$L479="Concluída"),IF(OR($J479="",$K479="",$K479&lt;=$J479),"Concluída","Concluída com atraso"),IF($J479="","Na carteira",IF($J479&lt;TODAY(),"VENCIDA",IF($L479="Em execução","Em execução",IF($J479=TODAY(),"Hoje","Programada")))))))</f>
        <v/>
      </c>
      <c r="Q479" s="31" t="str">
        <f aca="false">IF($E479="","",IF(ISNUMBER(SEARCH("(externo)",$G479)),"Terceirizada","Interna"))</f>
        <v/>
      </c>
      <c r="R479" s="36" t="str">
        <f aca="false">IF($J479="","",IF($M479="",$J479,$M479))</f>
        <v/>
      </c>
      <c r="S479" s="31" t="str">
        <f aca="false">IF($E479="","",IF(OR($K479="",$J479=""),0,IF($K479&lt;=$J479,1,0)))</f>
        <v/>
      </c>
      <c r="T479" s="31" t="str">
        <f aca="false">IF($E479="","",IF(OR($K479="",$R479=""),0,IF($K479&lt;=$R479,1,0)))</f>
        <v/>
      </c>
      <c r="U479" s="38" t="str">
        <f aca="false">IF(OR($K479="",$J479=""),"",MAX(0,$K479-$J479))</f>
        <v/>
      </c>
      <c r="V479" s="31" t="str">
        <f aca="false">IF($E479="","",IF(AND($M479&lt;&gt;"",$J479&lt;&gt;"",$M479&lt;&gt;$J479),1,0))</f>
        <v/>
      </c>
      <c r="W479" s="39" t="str">
        <f aca="false">IF($E479="","",IF($L479="Cancelada",0,IF(OR($K479&lt;&gt;"",$L479="Concluída"),1,0)))</f>
        <v/>
      </c>
    </row>
    <row r="480" customFormat="false" ht="15" hidden="false" customHeight="true" outlineLevel="0" collapsed="false">
      <c r="A480" s="31" t="str">
        <f aca="false">IF($E480="","",COUNTA($E$5:$E480))</f>
        <v/>
      </c>
      <c r="B480" s="32"/>
      <c r="C480" s="32"/>
      <c r="D480" s="32"/>
      <c r="E480" s="32"/>
      <c r="F480" s="33"/>
      <c r="G480" s="32"/>
      <c r="H480" s="34"/>
      <c r="I480" s="35"/>
      <c r="J480" s="36" t="str">
        <f aca="false">IF(OR($H480="",$I480=""),"",$H480+MATCH($I480,Listas!$F$5:$F$11,0)-1)</f>
        <v/>
      </c>
      <c r="K480" s="37"/>
      <c r="L480" s="33"/>
      <c r="M480" s="37"/>
      <c r="N480" s="32"/>
      <c r="O480" s="32"/>
      <c r="P480" s="38" t="str">
        <f aca="true">IF($E480="","",IF($L480="Cancelada","Cancelada",IF(OR($K480&lt;&gt;"",$L480="Concluída"),IF(OR($J480="",$K480="",$K480&lt;=$J480),"Concluída","Concluída com atraso"),IF($J480="","Na carteira",IF($J480&lt;TODAY(),"VENCIDA",IF($L480="Em execução","Em execução",IF($J480=TODAY(),"Hoje","Programada")))))))</f>
        <v/>
      </c>
      <c r="Q480" s="31" t="str">
        <f aca="false">IF($E480="","",IF(ISNUMBER(SEARCH("(externo)",$G480)),"Terceirizada","Interna"))</f>
        <v/>
      </c>
      <c r="R480" s="36" t="str">
        <f aca="false">IF($J480="","",IF($M480="",$J480,$M480))</f>
        <v/>
      </c>
      <c r="S480" s="31" t="str">
        <f aca="false">IF($E480="","",IF(OR($K480="",$J480=""),0,IF($K480&lt;=$J480,1,0)))</f>
        <v/>
      </c>
      <c r="T480" s="31" t="str">
        <f aca="false">IF($E480="","",IF(OR($K480="",$R480=""),0,IF($K480&lt;=$R480,1,0)))</f>
        <v/>
      </c>
      <c r="U480" s="38" t="str">
        <f aca="false">IF(OR($K480="",$J480=""),"",MAX(0,$K480-$J480))</f>
        <v/>
      </c>
      <c r="V480" s="31" t="str">
        <f aca="false">IF($E480="","",IF(AND($M480&lt;&gt;"",$J480&lt;&gt;"",$M480&lt;&gt;$J480),1,0))</f>
        <v/>
      </c>
      <c r="W480" s="39" t="str">
        <f aca="false">IF($E480="","",IF($L480="Cancelada",0,IF(OR($K480&lt;&gt;"",$L480="Concluída"),1,0)))</f>
        <v/>
      </c>
    </row>
    <row r="481" customFormat="false" ht="15" hidden="false" customHeight="true" outlineLevel="0" collapsed="false">
      <c r="A481" s="31" t="str">
        <f aca="false">IF($E481="","",COUNTA($E$5:$E481))</f>
        <v/>
      </c>
      <c r="B481" s="32"/>
      <c r="C481" s="32"/>
      <c r="D481" s="32"/>
      <c r="E481" s="32"/>
      <c r="F481" s="33"/>
      <c r="G481" s="32"/>
      <c r="H481" s="34"/>
      <c r="I481" s="35"/>
      <c r="J481" s="36" t="str">
        <f aca="false">IF(OR($H481="",$I481=""),"",$H481+MATCH($I481,Listas!$F$5:$F$11,0)-1)</f>
        <v/>
      </c>
      <c r="K481" s="37"/>
      <c r="L481" s="33"/>
      <c r="M481" s="37"/>
      <c r="N481" s="32"/>
      <c r="O481" s="32"/>
      <c r="P481" s="38" t="str">
        <f aca="true">IF($E481="","",IF($L481="Cancelada","Cancelada",IF(OR($K481&lt;&gt;"",$L481="Concluída"),IF(OR($J481="",$K481="",$K481&lt;=$J481),"Concluída","Concluída com atraso"),IF($J481="","Na carteira",IF($J481&lt;TODAY(),"VENCIDA",IF($L481="Em execução","Em execução",IF($J481=TODAY(),"Hoje","Programada")))))))</f>
        <v/>
      </c>
      <c r="Q481" s="31" t="str">
        <f aca="false">IF($E481="","",IF(ISNUMBER(SEARCH("(externo)",$G481)),"Terceirizada","Interna"))</f>
        <v/>
      </c>
      <c r="R481" s="36" t="str">
        <f aca="false">IF($J481="","",IF($M481="",$J481,$M481))</f>
        <v/>
      </c>
      <c r="S481" s="31" t="str">
        <f aca="false">IF($E481="","",IF(OR($K481="",$J481=""),0,IF($K481&lt;=$J481,1,0)))</f>
        <v/>
      </c>
      <c r="T481" s="31" t="str">
        <f aca="false">IF($E481="","",IF(OR($K481="",$R481=""),0,IF($K481&lt;=$R481,1,0)))</f>
        <v/>
      </c>
      <c r="U481" s="38" t="str">
        <f aca="false">IF(OR($K481="",$J481=""),"",MAX(0,$K481-$J481))</f>
        <v/>
      </c>
      <c r="V481" s="31" t="str">
        <f aca="false">IF($E481="","",IF(AND($M481&lt;&gt;"",$J481&lt;&gt;"",$M481&lt;&gt;$J481),1,0))</f>
        <v/>
      </c>
      <c r="W481" s="39" t="str">
        <f aca="false">IF($E481="","",IF($L481="Cancelada",0,IF(OR($K481&lt;&gt;"",$L481="Concluída"),1,0)))</f>
        <v/>
      </c>
    </row>
    <row r="482" customFormat="false" ht="15" hidden="false" customHeight="true" outlineLevel="0" collapsed="false">
      <c r="A482" s="31" t="str">
        <f aca="false">IF($E482="","",COUNTA($E$5:$E482))</f>
        <v/>
      </c>
      <c r="B482" s="32"/>
      <c r="C482" s="32"/>
      <c r="D482" s="32"/>
      <c r="E482" s="32"/>
      <c r="F482" s="33"/>
      <c r="G482" s="32"/>
      <c r="H482" s="34"/>
      <c r="I482" s="35"/>
      <c r="J482" s="36" t="str">
        <f aca="false">IF(OR($H482="",$I482=""),"",$H482+MATCH($I482,Listas!$F$5:$F$11,0)-1)</f>
        <v/>
      </c>
      <c r="K482" s="37"/>
      <c r="L482" s="33"/>
      <c r="M482" s="37"/>
      <c r="N482" s="32"/>
      <c r="O482" s="32"/>
      <c r="P482" s="38" t="str">
        <f aca="true">IF($E482="","",IF($L482="Cancelada","Cancelada",IF(OR($K482&lt;&gt;"",$L482="Concluída"),IF(OR($J482="",$K482="",$K482&lt;=$J482),"Concluída","Concluída com atraso"),IF($J482="","Na carteira",IF($J482&lt;TODAY(),"VENCIDA",IF($L482="Em execução","Em execução",IF($J482=TODAY(),"Hoje","Programada")))))))</f>
        <v/>
      </c>
      <c r="Q482" s="31" t="str">
        <f aca="false">IF($E482="","",IF(ISNUMBER(SEARCH("(externo)",$G482)),"Terceirizada","Interna"))</f>
        <v/>
      </c>
      <c r="R482" s="36" t="str">
        <f aca="false">IF($J482="","",IF($M482="",$J482,$M482))</f>
        <v/>
      </c>
      <c r="S482" s="31" t="str">
        <f aca="false">IF($E482="","",IF(OR($K482="",$J482=""),0,IF($K482&lt;=$J482,1,0)))</f>
        <v/>
      </c>
      <c r="T482" s="31" t="str">
        <f aca="false">IF($E482="","",IF(OR($K482="",$R482=""),0,IF($K482&lt;=$R482,1,0)))</f>
        <v/>
      </c>
      <c r="U482" s="38" t="str">
        <f aca="false">IF(OR($K482="",$J482=""),"",MAX(0,$K482-$J482))</f>
        <v/>
      </c>
      <c r="V482" s="31" t="str">
        <f aca="false">IF($E482="","",IF(AND($M482&lt;&gt;"",$J482&lt;&gt;"",$M482&lt;&gt;$J482),1,0))</f>
        <v/>
      </c>
      <c r="W482" s="39" t="str">
        <f aca="false">IF($E482="","",IF($L482="Cancelada",0,IF(OR($K482&lt;&gt;"",$L482="Concluída"),1,0)))</f>
        <v/>
      </c>
    </row>
    <row r="483" customFormat="false" ht="15" hidden="false" customHeight="true" outlineLevel="0" collapsed="false">
      <c r="A483" s="31" t="str">
        <f aca="false">IF($E483="","",COUNTA($E$5:$E483))</f>
        <v/>
      </c>
      <c r="B483" s="32"/>
      <c r="C483" s="32"/>
      <c r="D483" s="32"/>
      <c r="E483" s="32"/>
      <c r="F483" s="33"/>
      <c r="G483" s="32"/>
      <c r="H483" s="34"/>
      <c r="I483" s="35"/>
      <c r="J483" s="36" t="str">
        <f aca="false">IF(OR($H483="",$I483=""),"",$H483+MATCH($I483,Listas!$F$5:$F$11,0)-1)</f>
        <v/>
      </c>
      <c r="K483" s="37"/>
      <c r="L483" s="33"/>
      <c r="M483" s="37"/>
      <c r="N483" s="32"/>
      <c r="O483" s="32"/>
      <c r="P483" s="38" t="str">
        <f aca="true">IF($E483="","",IF($L483="Cancelada","Cancelada",IF(OR($K483&lt;&gt;"",$L483="Concluída"),IF(OR($J483="",$K483="",$K483&lt;=$J483),"Concluída","Concluída com atraso"),IF($J483="","Na carteira",IF($J483&lt;TODAY(),"VENCIDA",IF($L483="Em execução","Em execução",IF($J483=TODAY(),"Hoje","Programada")))))))</f>
        <v/>
      </c>
      <c r="Q483" s="31" t="str">
        <f aca="false">IF($E483="","",IF(ISNUMBER(SEARCH("(externo)",$G483)),"Terceirizada","Interna"))</f>
        <v/>
      </c>
      <c r="R483" s="36" t="str">
        <f aca="false">IF($J483="","",IF($M483="",$J483,$M483))</f>
        <v/>
      </c>
      <c r="S483" s="31" t="str">
        <f aca="false">IF($E483="","",IF(OR($K483="",$J483=""),0,IF($K483&lt;=$J483,1,0)))</f>
        <v/>
      </c>
      <c r="T483" s="31" t="str">
        <f aca="false">IF($E483="","",IF(OR($K483="",$R483=""),0,IF($K483&lt;=$R483,1,0)))</f>
        <v/>
      </c>
      <c r="U483" s="38" t="str">
        <f aca="false">IF(OR($K483="",$J483=""),"",MAX(0,$K483-$J483))</f>
        <v/>
      </c>
      <c r="V483" s="31" t="str">
        <f aca="false">IF($E483="","",IF(AND($M483&lt;&gt;"",$J483&lt;&gt;"",$M483&lt;&gt;$J483),1,0))</f>
        <v/>
      </c>
      <c r="W483" s="39" t="str">
        <f aca="false">IF($E483="","",IF($L483="Cancelada",0,IF(OR($K483&lt;&gt;"",$L483="Concluída"),1,0)))</f>
        <v/>
      </c>
    </row>
    <row r="484" customFormat="false" ht="15" hidden="false" customHeight="true" outlineLevel="0" collapsed="false">
      <c r="A484" s="31" t="str">
        <f aca="false">IF($E484="","",COUNTA($E$5:$E484))</f>
        <v/>
      </c>
      <c r="B484" s="32"/>
      <c r="C484" s="32"/>
      <c r="D484" s="32"/>
      <c r="E484" s="32"/>
      <c r="F484" s="33"/>
      <c r="G484" s="32"/>
      <c r="H484" s="34"/>
      <c r="I484" s="35"/>
      <c r="J484" s="36" t="str">
        <f aca="false">IF(OR($H484="",$I484=""),"",$H484+MATCH($I484,Listas!$F$5:$F$11,0)-1)</f>
        <v/>
      </c>
      <c r="K484" s="37"/>
      <c r="L484" s="33"/>
      <c r="M484" s="37"/>
      <c r="N484" s="32"/>
      <c r="O484" s="32"/>
      <c r="P484" s="38" t="str">
        <f aca="true">IF($E484="","",IF($L484="Cancelada","Cancelada",IF(OR($K484&lt;&gt;"",$L484="Concluída"),IF(OR($J484="",$K484="",$K484&lt;=$J484),"Concluída","Concluída com atraso"),IF($J484="","Na carteira",IF($J484&lt;TODAY(),"VENCIDA",IF($L484="Em execução","Em execução",IF($J484=TODAY(),"Hoje","Programada")))))))</f>
        <v/>
      </c>
      <c r="Q484" s="31" t="str">
        <f aca="false">IF($E484="","",IF(ISNUMBER(SEARCH("(externo)",$G484)),"Terceirizada","Interna"))</f>
        <v/>
      </c>
      <c r="R484" s="36" t="str">
        <f aca="false">IF($J484="","",IF($M484="",$J484,$M484))</f>
        <v/>
      </c>
      <c r="S484" s="31" t="str">
        <f aca="false">IF($E484="","",IF(OR($K484="",$J484=""),0,IF($K484&lt;=$J484,1,0)))</f>
        <v/>
      </c>
      <c r="T484" s="31" t="str">
        <f aca="false">IF($E484="","",IF(OR($K484="",$R484=""),0,IF($K484&lt;=$R484,1,0)))</f>
        <v/>
      </c>
      <c r="U484" s="38" t="str">
        <f aca="false">IF(OR($K484="",$J484=""),"",MAX(0,$K484-$J484))</f>
        <v/>
      </c>
      <c r="V484" s="31" t="str">
        <f aca="false">IF($E484="","",IF(AND($M484&lt;&gt;"",$J484&lt;&gt;"",$M484&lt;&gt;$J484),1,0))</f>
        <v/>
      </c>
      <c r="W484" s="39" t="str">
        <f aca="false">IF($E484="","",IF($L484="Cancelada",0,IF(OR($K484&lt;&gt;"",$L484="Concluída"),1,0)))</f>
        <v/>
      </c>
    </row>
    <row r="485" customFormat="false" ht="15" hidden="false" customHeight="true" outlineLevel="0" collapsed="false">
      <c r="A485" s="31" t="str">
        <f aca="false">IF($E485="","",COUNTA($E$5:$E485))</f>
        <v/>
      </c>
      <c r="B485" s="32"/>
      <c r="C485" s="32"/>
      <c r="D485" s="32"/>
      <c r="E485" s="32"/>
      <c r="F485" s="33"/>
      <c r="G485" s="32"/>
      <c r="H485" s="34"/>
      <c r="I485" s="35"/>
      <c r="J485" s="36" t="str">
        <f aca="false">IF(OR($H485="",$I485=""),"",$H485+MATCH($I485,Listas!$F$5:$F$11,0)-1)</f>
        <v/>
      </c>
      <c r="K485" s="37"/>
      <c r="L485" s="33"/>
      <c r="M485" s="37"/>
      <c r="N485" s="32"/>
      <c r="O485" s="32"/>
      <c r="P485" s="38" t="str">
        <f aca="true">IF($E485="","",IF($L485="Cancelada","Cancelada",IF(OR($K485&lt;&gt;"",$L485="Concluída"),IF(OR($J485="",$K485="",$K485&lt;=$J485),"Concluída","Concluída com atraso"),IF($J485="","Na carteira",IF($J485&lt;TODAY(),"VENCIDA",IF($L485="Em execução","Em execução",IF($J485=TODAY(),"Hoje","Programada")))))))</f>
        <v/>
      </c>
      <c r="Q485" s="31" t="str">
        <f aca="false">IF($E485="","",IF(ISNUMBER(SEARCH("(externo)",$G485)),"Terceirizada","Interna"))</f>
        <v/>
      </c>
      <c r="R485" s="36" t="str">
        <f aca="false">IF($J485="","",IF($M485="",$J485,$M485))</f>
        <v/>
      </c>
      <c r="S485" s="31" t="str">
        <f aca="false">IF($E485="","",IF(OR($K485="",$J485=""),0,IF($K485&lt;=$J485,1,0)))</f>
        <v/>
      </c>
      <c r="T485" s="31" t="str">
        <f aca="false">IF($E485="","",IF(OR($K485="",$R485=""),0,IF($K485&lt;=$R485,1,0)))</f>
        <v/>
      </c>
      <c r="U485" s="38" t="str">
        <f aca="false">IF(OR($K485="",$J485=""),"",MAX(0,$K485-$J485))</f>
        <v/>
      </c>
      <c r="V485" s="31" t="str">
        <f aca="false">IF($E485="","",IF(AND($M485&lt;&gt;"",$J485&lt;&gt;"",$M485&lt;&gt;$J485),1,0))</f>
        <v/>
      </c>
      <c r="W485" s="39" t="str">
        <f aca="false">IF($E485="","",IF($L485="Cancelada",0,IF(OR($K485&lt;&gt;"",$L485="Concluída"),1,0)))</f>
        <v/>
      </c>
    </row>
    <row r="486" customFormat="false" ht="15" hidden="false" customHeight="true" outlineLevel="0" collapsed="false">
      <c r="A486" s="31" t="str">
        <f aca="false">IF($E486="","",COUNTA($E$5:$E486))</f>
        <v/>
      </c>
      <c r="B486" s="32"/>
      <c r="C486" s="32"/>
      <c r="D486" s="32"/>
      <c r="E486" s="32"/>
      <c r="F486" s="33"/>
      <c r="G486" s="32"/>
      <c r="H486" s="34"/>
      <c r="I486" s="35"/>
      <c r="J486" s="36" t="str">
        <f aca="false">IF(OR($H486="",$I486=""),"",$H486+MATCH($I486,Listas!$F$5:$F$11,0)-1)</f>
        <v/>
      </c>
      <c r="K486" s="37"/>
      <c r="L486" s="33"/>
      <c r="M486" s="37"/>
      <c r="N486" s="32"/>
      <c r="O486" s="32"/>
      <c r="P486" s="38" t="str">
        <f aca="true">IF($E486="","",IF($L486="Cancelada","Cancelada",IF(OR($K486&lt;&gt;"",$L486="Concluída"),IF(OR($J486="",$K486="",$K486&lt;=$J486),"Concluída","Concluída com atraso"),IF($J486="","Na carteira",IF($J486&lt;TODAY(),"VENCIDA",IF($L486="Em execução","Em execução",IF($J486=TODAY(),"Hoje","Programada")))))))</f>
        <v/>
      </c>
      <c r="Q486" s="31" t="str">
        <f aca="false">IF($E486="","",IF(ISNUMBER(SEARCH("(externo)",$G486)),"Terceirizada","Interna"))</f>
        <v/>
      </c>
      <c r="R486" s="36" t="str">
        <f aca="false">IF($J486="","",IF($M486="",$J486,$M486))</f>
        <v/>
      </c>
      <c r="S486" s="31" t="str">
        <f aca="false">IF($E486="","",IF(OR($K486="",$J486=""),0,IF($K486&lt;=$J486,1,0)))</f>
        <v/>
      </c>
      <c r="T486" s="31" t="str">
        <f aca="false">IF($E486="","",IF(OR($K486="",$R486=""),0,IF($K486&lt;=$R486,1,0)))</f>
        <v/>
      </c>
      <c r="U486" s="38" t="str">
        <f aca="false">IF(OR($K486="",$J486=""),"",MAX(0,$K486-$J486))</f>
        <v/>
      </c>
      <c r="V486" s="31" t="str">
        <f aca="false">IF($E486="","",IF(AND($M486&lt;&gt;"",$J486&lt;&gt;"",$M486&lt;&gt;$J486),1,0))</f>
        <v/>
      </c>
      <c r="W486" s="39" t="str">
        <f aca="false">IF($E486="","",IF($L486="Cancelada",0,IF(OR($K486&lt;&gt;"",$L486="Concluída"),1,0)))</f>
        <v/>
      </c>
    </row>
    <row r="487" customFormat="false" ht="15" hidden="false" customHeight="true" outlineLevel="0" collapsed="false">
      <c r="A487" s="31" t="str">
        <f aca="false">IF($E487="","",COUNTA($E$5:$E487))</f>
        <v/>
      </c>
      <c r="B487" s="32"/>
      <c r="C487" s="32"/>
      <c r="D487" s="32"/>
      <c r="E487" s="32"/>
      <c r="F487" s="33"/>
      <c r="G487" s="32"/>
      <c r="H487" s="34"/>
      <c r="I487" s="35"/>
      <c r="J487" s="36" t="str">
        <f aca="false">IF(OR($H487="",$I487=""),"",$H487+MATCH($I487,Listas!$F$5:$F$11,0)-1)</f>
        <v/>
      </c>
      <c r="K487" s="37"/>
      <c r="L487" s="33"/>
      <c r="M487" s="37"/>
      <c r="N487" s="32"/>
      <c r="O487" s="32"/>
      <c r="P487" s="38" t="str">
        <f aca="true">IF($E487="","",IF($L487="Cancelada","Cancelada",IF(OR($K487&lt;&gt;"",$L487="Concluída"),IF(OR($J487="",$K487="",$K487&lt;=$J487),"Concluída","Concluída com atraso"),IF($J487="","Na carteira",IF($J487&lt;TODAY(),"VENCIDA",IF($L487="Em execução","Em execução",IF($J487=TODAY(),"Hoje","Programada")))))))</f>
        <v/>
      </c>
      <c r="Q487" s="31" t="str">
        <f aca="false">IF($E487="","",IF(ISNUMBER(SEARCH("(externo)",$G487)),"Terceirizada","Interna"))</f>
        <v/>
      </c>
      <c r="R487" s="36" t="str">
        <f aca="false">IF($J487="","",IF($M487="",$J487,$M487))</f>
        <v/>
      </c>
      <c r="S487" s="31" t="str">
        <f aca="false">IF($E487="","",IF(OR($K487="",$J487=""),0,IF($K487&lt;=$J487,1,0)))</f>
        <v/>
      </c>
      <c r="T487" s="31" t="str">
        <f aca="false">IF($E487="","",IF(OR($K487="",$R487=""),0,IF($K487&lt;=$R487,1,0)))</f>
        <v/>
      </c>
      <c r="U487" s="38" t="str">
        <f aca="false">IF(OR($K487="",$J487=""),"",MAX(0,$K487-$J487))</f>
        <v/>
      </c>
      <c r="V487" s="31" t="str">
        <f aca="false">IF($E487="","",IF(AND($M487&lt;&gt;"",$J487&lt;&gt;"",$M487&lt;&gt;$J487),1,0))</f>
        <v/>
      </c>
      <c r="W487" s="39" t="str">
        <f aca="false">IF($E487="","",IF($L487="Cancelada",0,IF(OR($K487&lt;&gt;"",$L487="Concluída"),1,0)))</f>
        <v/>
      </c>
    </row>
    <row r="488" customFormat="false" ht="15" hidden="false" customHeight="true" outlineLevel="0" collapsed="false">
      <c r="A488" s="31" t="str">
        <f aca="false">IF($E488="","",COUNTA($E$5:$E488))</f>
        <v/>
      </c>
      <c r="B488" s="32"/>
      <c r="C488" s="32"/>
      <c r="D488" s="32"/>
      <c r="E488" s="32"/>
      <c r="F488" s="33"/>
      <c r="G488" s="32"/>
      <c r="H488" s="34"/>
      <c r="I488" s="35"/>
      <c r="J488" s="36" t="str">
        <f aca="false">IF(OR($H488="",$I488=""),"",$H488+MATCH($I488,Listas!$F$5:$F$11,0)-1)</f>
        <v/>
      </c>
      <c r="K488" s="37"/>
      <c r="L488" s="33"/>
      <c r="M488" s="37"/>
      <c r="N488" s="32"/>
      <c r="O488" s="32"/>
      <c r="P488" s="38" t="str">
        <f aca="true">IF($E488="","",IF($L488="Cancelada","Cancelada",IF(OR($K488&lt;&gt;"",$L488="Concluída"),IF(OR($J488="",$K488="",$K488&lt;=$J488),"Concluída","Concluída com atraso"),IF($J488="","Na carteira",IF($J488&lt;TODAY(),"VENCIDA",IF($L488="Em execução","Em execução",IF($J488=TODAY(),"Hoje","Programada")))))))</f>
        <v/>
      </c>
      <c r="Q488" s="31" t="str">
        <f aca="false">IF($E488="","",IF(ISNUMBER(SEARCH("(externo)",$G488)),"Terceirizada","Interna"))</f>
        <v/>
      </c>
      <c r="R488" s="36" t="str">
        <f aca="false">IF($J488="","",IF($M488="",$J488,$M488))</f>
        <v/>
      </c>
      <c r="S488" s="31" t="str">
        <f aca="false">IF($E488="","",IF(OR($K488="",$J488=""),0,IF($K488&lt;=$J488,1,0)))</f>
        <v/>
      </c>
      <c r="T488" s="31" t="str">
        <f aca="false">IF($E488="","",IF(OR($K488="",$R488=""),0,IF($K488&lt;=$R488,1,0)))</f>
        <v/>
      </c>
      <c r="U488" s="38" t="str">
        <f aca="false">IF(OR($K488="",$J488=""),"",MAX(0,$K488-$J488))</f>
        <v/>
      </c>
      <c r="V488" s="31" t="str">
        <f aca="false">IF($E488="","",IF(AND($M488&lt;&gt;"",$J488&lt;&gt;"",$M488&lt;&gt;$J488),1,0))</f>
        <v/>
      </c>
      <c r="W488" s="39" t="str">
        <f aca="false">IF($E488="","",IF($L488="Cancelada",0,IF(OR($K488&lt;&gt;"",$L488="Concluída"),1,0)))</f>
        <v/>
      </c>
    </row>
    <row r="489" customFormat="false" ht="15" hidden="false" customHeight="true" outlineLevel="0" collapsed="false">
      <c r="A489" s="31" t="str">
        <f aca="false">IF($E489="","",COUNTA($E$5:$E489))</f>
        <v/>
      </c>
      <c r="B489" s="32"/>
      <c r="C489" s="32"/>
      <c r="D489" s="32"/>
      <c r="E489" s="32"/>
      <c r="F489" s="33"/>
      <c r="G489" s="32"/>
      <c r="H489" s="34"/>
      <c r="I489" s="35"/>
      <c r="J489" s="36" t="str">
        <f aca="false">IF(OR($H489="",$I489=""),"",$H489+MATCH($I489,Listas!$F$5:$F$11,0)-1)</f>
        <v/>
      </c>
      <c r="K489" s="37"/>
      <c r="L489" s="33"/>
      <c r="M489" s="37"/>
      <c r="N489" s="32"/>
      <c r="O489" s="32"/>
      <c r="P489" s="38" t="str">
        <f aca="true">IF($E489="","",IF($L489="Cancelada","Cancelada",IF(OR($K489&lt;&gt;"",$L489="Concluída"),IF(OR($J489="",$K489="",$K489&lt;=$J489),"Concluída","Concluída com atraso"),IF($J489="","Na carteira",IF($J489&lt;TODAY(),"VENCIDA",IF($L489="Em execução","Em execução",IF($J489=TODAY(),"Hoje","Programada")))))))</f>
        <v/>
      </c>
      <c r="Q489" s="31" t="str">
        <f aca="false">IF($E489="","",IF(ISNUMBER(SEARCH("(externo)",$G489)),"Terceirizada","Interna"))</f>
        <v/>
      </c>
      <c r="R489" s="36" t="str">
        <f aca="false">IF($J489="","",IF($M489="",$J489,$M489))</f>
        <v/>
      </c>
      <c r="S489" s="31" t="str">
        <f aca="false">IF($E489="","",IF(OR($K489="",$J489=""),0,IF($K489&lt;=$J489,1,0)))</f>
        <v/>
      </c>
      <c r="T489" s="31" t="str">
        <f aca="false">IF($E489="","",IF(OR($K489="",$R489=""),0,IF($K489&lt;=$R489,1,0)))</f>
        <v/>
      </c>
      <c r="U489" s="38" t="str">
        <f aca="false">IF(OR($K489="",$J489=""),"",MAX(0,$K489-$J489))</f>
        <v/>
      </c>
      <c r="V489" s="31" t="str">
        <f aca="false">IF($E489="","",IF(AND($M489&lt;&gt;"",$J489&lt;&gt;"",$M489&lt;&gt;$J489),1,0))</f>
        <v/>
      </c>
      <c r="W489" s="39" t="str">
        <f aca="false">IF($E489="","",IF($L489="Cancelada",0,IF(OR($K489&lt;&gt;"",$L489="Concluída"),1,0)))</f>
        <v/>
      </c>
    </row>
    <row r="490" customFormat="false" ht="15" hidden="false" customHeight="true" outlineLevel="0" collapsed="false">
      <c r="A490" s="31" t="str">
        <f aca="false">IF($E490="","",COUNTA($E$5:$E490))</f>
        <v/>
      </c>
      <c r="B490" s="32"/>
      <c r="C490" s="32"/>
      <c r="D490" s="32"/>
      <c r="E490" s="32"/>
      <c r="F490" s="33"/>
      <c r="G490" s="32"/>
      <c r="H490" s="34"/>
      <c r="I490" s="35"/>
      <c r="J490" s="36" t="str">
        <f aca="false">IF(OR($H490="",$I490=""),"",$H490+MATCH($I490,Listas!$F$5:$F$11,0)-1)</f>
        <v/>
      </c>
      <c r="K490" s="37"/>
      <c r="L490" s="33"/>
      <c r="M490" s="37"/>
      <c r="N490" s="32"/>
      <c r="O490" s="32"/>
      <c r="P490" s="38" t="str">
        <f aca="true">IF($E490="","",IF($L490="Cancelada","Cancelada",IF(OR($K490&lt;&gt;"",$L490="Concluída"),IF(OR($J490="",$K490="",$K490&lt;=$J490),"Concluída","Concluída com atraso"),IF($J490="","Na carteira",IF($J490&lt;TODAY(),"VENCIDA",IF($L490="Em execução","Em execução",IF($J490=TODAY(),"Hoje","Programada")))))))</f>
        <v/>
      </c>
      <c r="Q490" s="31" t="str">
        <f aca="false">IF($E490="","",IF(ISNUMBER(SEARCH("(externo)",$G490)),"Terceirizada","Interna"))</f>
        <v/>
      </c>
      <c r="R490" s="36" t="str">
        <f aca="false">IF($J490="","",IF($M490="",$J490,$M490))</f>
        <v/>
      </c>
      <c r="S490" s="31" t="str">
        <f aca="false">IF($E490="","",IF(OR($K490="",$J490=""),0,IF($K490&lt;=$J490,1,0)))</f>
        <v/>
      </c>
      <c r="T490" s="31" t="str">
        <f aca="false">IF($E490="","",IF(OR($K490="",$R490=""),0,IF($K490&lt;=$R490,1,0)))</f>
        <v/>
      </c>
      <c r="U490" s="38" t="str">
        <f aca="false">IF(OR($K490="",$J490=""),"",MAX(0,$K490-$J490))</f>
        <v/>
      </c>
      <c r="V490" s="31" t="str">
        <f aca="false">IF($E490="","",IF(AND($M490&lt;&gt;"",$J490&lt;&gt;"",$M490&lt;&gt;$J490),1,0))</f>
        <v/>
      </c>
      <c r="W490" s="39" t="str">
        <f aca="false">IF($E490="","",IF($L490="Cancelada",0,IF(OR($K490&lt;&gt;"",$L490="Concluída"),1,0)))</f>
        <v/>
      </c>
    </row>
    <row r="491" customFormat="false" ht="15" hidden="false" customHeight="true" outlineLevel="0" collapsed="false">
      <c r="A491" s="31" t="str">
        <f aca="false">IF($E491="","",COUNTA($E$5:$E491))</f>
        <v/>
      </c>
      <c r="B491" s="32"/>
      <c r="C491" s="32"/>
      <c r="D491" s="32"/>
      <c r="E491" s="32"/>
      <c r="F491" s="33"/>
      <c r="G491" s="32"/>
      <c r="H491" s="34"/>
      <c r="I491" s="35"/>
      <c r="J491" s="36" t="str">
        <f aca="false">IF(OR($H491="",$I491=""),"",$H491+MATCH($I491,Listas!$F$5:$F$11,0)-1)</f>
        <v/>
      </c>
      <c r="K491" s="37"/>
      <c r="L491" s="33"/>
      <c r="M491" s="37"/>
      <c r="N491" s="32"/>
      <c r="O491" s="32"/>
      <c r="P491" s="38" t="str">
        <f aca="true">IF($E491="","",IF($L491="Cancelada","Cancelada",IF(OR($K491&lt;&gt;"",$L491="Concluída"),IF(OR($J491="",$K491="",$K491&lt;=$J491),"Concluída","Concluída com atraso"),IF($J491="","Na carteira",IF($J491&lt;TODAY(),"VENCIDA",IF($L491="Em execução","Em execução",IF($J491=TODAY(),"Hoje","Programada")))))))</f>
        <v/>
      </c>
      <c r="Q491" s="31" t="str">
        <f aca="false">IF($E491="","",IF(ISNUMBER(SEARCH("(externo)",$G491)),"Terceirizada","Interna"))</f>
        <v/>
      </c>
      <c r="R491" s="36" t="str">
        <f aca="false">IF($J491="","",IF($M491="",$J491,$M491))</f>
        <v/>
      </c>
      <c r="S491" s="31" t="str">
        <f aca="false">IF($E491="","",IF(OR($K491="",$J491=""),0,IF($K491&lt;=$J491,1,0)))</f>
        <v/>
      </c>
      <c r="T491" s="31" t="str">
        <f aca="false">IF($E491="","",IF(OR($K491="",$R491=""),0,IF($K491&lt;=$R491,1,0)))</f>
        <v/>
      </c>
      <c r="U491" s="38" t="str">
        <f aca="false">IF(OR($K491="",$J491=""),"",MAX(0,$K491-$J491))</f>
        <v/>
      </c>
      <c r="V491" s="31" t="str">
        <f aca="false">IF($E491="","",IF(AND($M491&lt;&gt;"",$J491&lt;&gt;"",$M491&lt;&gt;$J491),1,0))</f>
        <v/>
      </c>
      <c r="W491" s="39" t="str">
        <f aca="false">IF($E491="","",IF($L491="Cancelada",0,IF(OR($K491&lt;&gt;"",$L491="Concluída"),1,0)))</f>
        <v/>
      </c>
    </row>
    <row r="492" customFormat="false" ht="15" hidden="false" customHeight="true" outlineLevel="0" collapsed="false">
      <c r="A492" s="31" t="str">
        <f aca="false">IF($E492="","",COUNTA($E$5:$E492))</f>
        <v/>
      </c>
      <c r="B492" s="32"/>
      <c r="C492" s="32"/>
      <c r="D492" s="32"/>
      <c r="E492" s="32"/>
      <c r="F492" s="33"/>
      <c r="G492" s="32"/>
      <c r="H492" s="34"/>
      <c r="I492" s="35"/>
      <c r="J492" s="36" t="str">
        <f aca="false">IF(OR($H492="",$I492=""),"",$H492+MATCH($I492,Listas!$F$5:$F$11,0)-1)</f>
        <v/>
      </c>
      <c r="K492" s="37"/>
      <c r="L492" s="33"/>
      <c r="M492" s="37"/>
      <c r="N492" s="32"/>
      <c r="O492" s="32"/>
      <c r="P492" s="38" t="str">
        <f aca="true">IF($E492="","",IF($L492="Cancelada","Cancelada",IF(OR($K492&lt;&gt;"",$L492="Concluída"),IF(OR($J492="",$K492="",$K492&lt;=$J492),"Concluída","Concluída com atraso"),IF($J492="","Na carteira",IF($J492&lt;TODAY(),"VENCIDA",IF($L492="Em execução","Em execução",IF($J492=TODAY(),"Hoje","Programada")))))))</f>
        <v/>
      </c>
      <c r="Q492" s="31" t="str">
        <f aca="false">IF($E492="","",IF(ISNUMBER(SEARCH("(externo)",$G492)),"Terceirizada","Interna"))</f>
        <v/>
      </c>
      <c r="R492" s="36" t="str">
        <f aca="false">IF($J492="","",IF($M492="",$J492,$M492))</f>
        <v/>
      </c>
      <c r="S492" s="31" t="str">
        <f aca="false">IF($E492="","",IF(OR($K492="",$J492=""),0,IF($K492&lt;=$J492,1,0)))</f>
        <v/>
      </c>
      <c r="T492" s="31" t="str">
        <f aca="false">IF($E492="","",IF(OR($K492="",$R492=""),0,IF($K492&lt;=$R492,1,0)))</f>
        <v/>
      </c>
      <c r="U492" s="38" t="str">
        <f aca="false">IF(OR($K492="",$J492=""),"",MAX(0,$K492-$J492))</f>
        <v/>
      </c>
      <c r="V492" s="31" t="str">
        <f aca="false">IF($E492="","",IF(AND($M492&lt;&gt;"",$J492&lt;&gt;"",$M492&lt;&gt;$J492),1,0))</f>
        <v/>
      </c>
      <c r="W492" s="39" t="str">
        <f aca="false">IF($E492="","",IF($L492="Cancelada",0,IF(OR($K492&lt;&gt;"",$L492="Concluída"),1,0)))</f>
        <v/>
      </c>
    </row>
    <row r="493" customFormat="false" ht="15" hidden="false" customHeight="true" outlineLevel="0" collapsed="false">
      <c r="A493" s="31" t="str">
        <f aca="false">IF($E493="","",COUNTA($E$5:$E493))</f>
        <v/>
      </c>
      <c r="B493" s="32"/>
      <c r="C493" s="32"/>
      <c r="D493" s="32"/>
      <c r="E493" s="32"/>
      <c r="F493" s="33"/>
      <c r="G493" s="32"/>
      <c r="H493" s="34"/>
      <c r="I493" s="35"/>
      <c r="J493" s="36" t="str">
        <f aca="false">IF(OR($H493="",$I493=""),"",$H493+MATCH($I493,Listas!$F$5:$F$11,0)-1)</f>
        <v/>
      </c>
      <c r="K493" s="37"/>
      <c r="L493" s="33"/>
      <c r="M493" s="37"/>
      <c r="N493" s="32"/>
      <c r="O493" s="32"/>
      <c r="P493" s="38" t="str">
        <f aca="true">IF($E493="","",IF($L493="Cancelada","Cancelada",IF(OR($K493&lt;&gt;"",$L493="Concluída"),IF(OR($J493="",$K493="",$K493&lt;=$J493),"Concluída","Concluída com atraso"),IF($J493="","Na carteira",IF($J493&lt;TODAY(),"VENCIDA",IF($L493="Em execução","Em execução",IF($J493=TODAY(),"Hoje","Programada")))))))</f>
        <v/>
      </c>
      <c r="Q493" s="31" t="str">
        <f aca="false">IF($E493="","",IF(ISNUMBER(SEARCH("(externo)",$G493)),"Terceirizada","Interna"))</f>
        <v/>
      </c>
      <c r="R493" s="36" t="str">
        <f aca="false">IF($J493="","",IF($M493="",$J493,$M493))</f>
        <v/>
      </c>
      <c r="S493" s="31" t="str">
        <f aca="false">IF($E493="","",IF(OR($K493="",$J493=""),0,IF($K493&lt;=$J493,1,0)))</f>
        <v/>
      </c>
      <c r="T493" s="31" t="str">
        <f aca="false">IF($E493="","",IF(OR($K493="",$R493=""),0,IF($K493&lt;=$R493,1,0)))</f>
        <v/>
      </c>
      <c r="U493" s="38" t="str">
        <f aca="false">IF(OR($K493="",$J493=""),"",MAX(0,$K493-$J493))</f>
        <v/>
      </c>
      <c r="V493" s="31" t="str">
        <f aca="false">IF($E493="","",IF(AND($M493&lt;&gt;"",$J493&lt;&gt;"",$M493&lt;&gt;$J493),1,0))</f>
        <v/>
      </c>
      <c r="W493" s="39" t="str">
        <f aca="false">IF($E493="","",IF($L493="Cancelada",0,IF(OR($K493&lt;&gt;"",$L493="Concluída"),1,0)))</f>
        <v/>
      </c>
    </row>
    <row r="494" customFormat="false" ht="15" hidden="false" customHeight="true" outlineLevel="0" collapsed="false">
      <c r="A494" s="31" t="str">
        <f aca="false">IF($E494="","",COUNTA($E$5:$E494))</f>
        <v/>
      </c>
      <c r="B494" s="32"/>
      <c r="C494" s="32"/>
      <c r="D494" s="32"/>
      <c r="E494" s="32"/>
      <c r="F494" s="33"/>
      <c r="G494" s="32"/>
      <c r="H494" s="34"/>
      <c r="I494" s="35"/>
      <c r="J494" s="36" t="str">
        <f aca="false">IF(OR($H494="",$I494=""),"",$H494+MATCH($I494,Listas!$F$5:$F$11,0)-1)</f>
        <v/>
      </c>
      <c r="K494" s="37"/>
      <c r="L494" s="33"/>
      <c r="M494" s="37"/>
      <c r="N494" s="32"/>
      <c r="O494" s="32"/>
      <c r="P494" s="38" t="str">
        <f aca="true">IF($E494="","",IF($L494="Cancelada","Cancelada",IF(OR($K494&lt;&gt;"",$L494="Concluída"),IF(OR($J494="",$K494="",$K494&lt;=$J494),"Concluída","Concluída com atraso"),IF($J494="","Na carteira",IF($J494&lt;TODAY(),"VENCIDA",IF($L494="Em execução","Em execução",IF($J494=TODAY(),"Hoje","Programada")))))))</f>
        <v/>
      </c>
      <c r="Q494" s="31" t="str">
        <f aca="false">IF($E494="","",IF(ISNUMBER(SEARCH("(externo)",$G494)),"Terceirizada","Interna"))</f>
        <v/>
      </c>
      <c r="R494" s="36" t="str">
        <f aca="false">IF($J494="","",IF($M494="",$J494,$M494))</f>
        <v/>
      </c>
      <c r="S494" s="31" t="str">
        <f aca="false">IF($E494="","",IF(OR($K494="",$J494=""),0,IF($K494&lt;=$J494,1,0)))</f>
        <v/>
      </c>
      <c r="T494" s="31" t="str">
        <f aca="false">IF($E494="","",IF(OR($K494="",$R494=""),0,IF($K494&lt;=$R494,1,0)))</f>
        <v/>
      </c>
      <c r="U494" s="38" t="str">
        <f aca="false">IF(OR($K494="",$J494=""),"",MAX(0,$K494-$J494))</f>
        <v/>
      </c>
      <c r="V494" s="31" t="str">
        <f aca="false">IF($E494="","",IF(AND($M494&lt;&gt;"",$J494&lt;&gt;"",$M494&lt;&gt;$J494),1,0))</f>
        <v/>
      </c>
      <c r="W494" s="39" t="str">
        <f aca="false">IF($E494="","",IF($L494="Cancelada",0,IF(OR($K494&lt;&gt;"",$L494="Concluída"),1,0)))</f>
        <v/>
      </c>
    </row>
    <row r="495" customFormat="false" ht="15" hidden="false" customHeight="true" outlineLevel="0" collapsed="false">
      <c r="A495" s="31" t="str">
        <f aca="false">IF($E495="","",COUNTA($E$5:$E495))</f>
        <v/>
      </c>
      <c r="B495" s="32"/>
      <c r="C495" s="32"/>
      <c r="D495" s="32"/>
      <c r="E495" s="32"/>
      <c r="F495" s="33"/>
      <c r="G495" s="32"/>
      <c r="H495" s="34"/>
      <c r="I495" s="35"/>
      <c r="J495" s="36" t="str">
        <f aca="false">IF(OR($H495="",$I495=""),"",$H495+MATCH($I495,Listas!$F$5:$F$11,0)-1)</f>
        <v/>
      </c>
      <c r="K495" s="37"/>
      <c r="L495" s="33"/>
      <c r="M495" s="37"/>
      <c r="N495" s="32"/>
      <c r="O495" s="32"/>
      <c r="P495" s="38" t="str">
        <f aca="true">IF($E495="","",IF($L495="Cancelada","Cancelada",IF(OR($K495&lt;&gt;"",$L495="Concluída"),IF(OR($J495="",$K495="",$K495&lt;=$J495),"Concluída","Concluída com atraso"),IF($J495="","Na carteira",IF($J495&lt;TODAY(),"VENCIDA",IF($L495="Em execução","Em execução",IF($J495=TODAY(),"Hoje","Programada")))))))</f>
        <v/>
      </c>
      <c r="Q495" s="31" t="str">
        <f aca="false">IF($E495="","",IF(ISNUMBER(SEARCH("(externo)",$G495)),"Terceirizada","Interna"))</f>
        <v/>
      </c>
      <c r="R495" s="36" t="str">
        <f aca="false">IF($J495="","",IF($M495="",$J495,$M495))</f>
        <v/>
      </c>
      <c r="S495" s="31" t="str">
        <f aca="false">IF($E495="","",IF(OR($K495="",$J495=""),0,IF($K495&lt;=$J495,1,0)))</f>
        <v/>
      </c>
      <c r="T495" s="31" t="str">
        <f aca="false">IF($E495="","",IF(OR($K495="",$R495=""),0,IF($K495&lt;=$R495,1,0)))</f>
        <v/>
      </c>
      <c r="U495" s="38" t="str">
        <f aca="false">IF(OR($K495="",$J495=""),"",MAX(0,$K495-$J495))</f>
        <v/>
      </c>
      <c r="V495" s="31" t="str">
        <f aca="false">IF($E495="","",IF(AND($M495&lt;&gt;"",$J495&lt;&gt;"",$M495&lt;&gt;$J495),1,0))</f>
        <v/>
      </c>
      <c r="W495" s="39" t="str">
        <f aca="false">IF($E495="","",IF($L495="Cancelada",0,IF(OR($K495&lt;&gt;"",$L495="Concluída"),1,0)))</f>
        <v/>
      </c>
    </row>
    <row r="496" customFormat="false" ht="15" hidden="false" customHeight="true" outlineLevel="0" collapsed="false">
      <c r="A496" s="31" t="str">
        <f aca="false">IF($E496="","",COUNTA($E$5:$E496))</f>
        <v/>
      </c>
      <c r="B496" s="32"/>
      <c r="C496" s="32"/>
      <c r="D496" s="32"/>
      <c r="E496" s="32"/>
      <c r="F496" s="33"/>
      <c r="G496" s="32"/>
      <c r="H496" s="34"/>
      <c r="I496" s="35"/>
      <c r="J496" s="36" t="str">
        <f aca="false">IF(OR($H496="",$I496=""),"",$H496+MATCH($I496,Listas!$F$5:$F$11,0)-1)</f>
        <v/>
      </c>
      <c r="K496" s="37"/>
      <c r="L496" s="33"/>
      <c r="M496" s="37"/>
      <c r="N496" s="32"/>
      <c r="O496" s="32"/>
      <c r="P496" s="38" t="str">
        <f aca="true">IF($E496="","",IF($L496="Cancelada","Cancelada",IF(OR($K496&lt;&gt;"",$L496="Concluída"),IF(OR($J496="",$K496="",$K496&lt;=$J496),"Concluída","Concluída com atraso"),IF($J496="","Na carteira",IF($J496&lt;TODAY(),"VENCIDA",IF($L496="Em execução","Em execução",IF($J496=TODAY(),"Hoje","Programada")))))))</f>
        <v/>
      </c>
      <c r="Q496" s="31" t="str">
        <f aca="false">IF($E496="","",IF(ISNUMBER(SEARCH("(externo)",$G496)),"Terceirizada","Interna"))</f>
        <v/>
      </c>
      <c r="R496" s="36" t="str">
        <f aca="false">IF($J496="","",IF($M496="",$J496,$M496))</f>
        <v/>
      </c>
      <c r="S496" s="31" t="str">
        <f aca="false">IF($E496="","",IF(OR($K496="",$J496=""),0,IF($K496&lt;=$J496,1,0)))</f>
        <v/>
      </c>
      <c r="T496" s="31" t="str">
        <f aca="false">IF($E496="","",IF(OR($K496="",$R496=""),0,IF($K496&lt;=$R496,1,0)))</f>
        <v/>
      </c>
      <c r="U496" s="38" t="str">
        <f aca="false">IF(OR($K496="",$J496=""),"",MAX(0,$K496-$J496))</f>
        <v/>
      </c>
      <c r="V496" s="31" t="str">
        <f aca="false">IF($E496="","",IF(AND($M496&lt;&gt;"",$J496&lt;&gt;"",$M496&lt;&gt;$J496),1,0))</f>
        <v/>
      </c>
      <c r="W496" s="39" t="str">
        <f aca="false">IF($E496="","",IF($L496="Cancelada",0,IF(OR($K496&lt;&gt;"",$L496="Concluída"),1,0)))</f>
        <v/>
      </c>
    </row>
    <row r="497" customFormat="false" ht="15" hidden="false" customHeight="true" outlineLevel="0" collapsed="false">
      <c r="A497" s="31" t="str">
        <f aca="false">IF($E497="","",COUNTA($E$5:$E497))</f>
        <v/>
      </c>
      <c r="B497" s="32"/>
      <c r="C497" s="32"/>
      <c r="D497" s="32"/>
      <c r="E497" s="32"/>
      <c r="F497" s="33"/>
      <c r="G497" s="32"/>
      <c r="H497" s="34"/>
      <c r="I497" s="35"/>
      <c r="J497" s="36" t="str">
        <f aca="false">IF(OR($H497="",$I497=""),"",$H497+MATCH($I497,Listas!$F$5:$F$11,0)-1)</f>
        <v/>
      </c>
      <c r="K497" s="37"/>
      <c r="L497" s="33"/>
      <c r="M497" s="37"/>
      <c r="N497" s="32"/>
      <c r="O497" s="32"/>
      <c r="P497" s="38" t="str">
        <f aca="true">IF($E497="","",IF($L497="Cancelada","Cancelada",IF(OR($K497&lt;&gt;"",$L497="Concluída"),IF(OR($J497="",$K497="",$K497&lt;=$J497),"Concluída","Concluída com atraso"),IF($J497="","Na carteira",IF($J497&lt;TODAY(),"VENCIDA",IF($L497="Em execução","Em execução",IF($J497=TODAY(),"Hoje","Programada")))))))</f>
        <v/>
      </c>
      <c r="Q497" s="31" t="str">
        <f aca="false">IF($E497="","",IF(ISNUMBER(SEARCH("(externo)",$G497)),"Terceirizada","Interna"))</f>
        <v/>
      </c>
      <c r="R497" s="36" t="str">
        <f aca="false">IF($J497="","",IF($M497="",$J497,$M497))</f>
        <v/>
      </c>
      <c r="S497" s="31" t="str">
        <f aca="false">IF($E497="","",IF(OR($K497="",$J497=""),0,IF($K497&lt;=$J497,1,0)))</f>
        <v/>
      </c>
      <c r="T497" s="31" t="str">
        <f aca="false">IF($E497="","",IF(OR($K497="",$R497=""),0,IF($K497&lt;=$R497,1,0)))</f>
        <v/>
      </c>
      <c r="U497" s="38" t="str">
        <f aca="false">IF(OR($K497="",$J497=""),"",MAX(0,$K497-$J497))</f>
        <v/>
      </c>
      <c r="V497" s="31" t="str">
        <f aca="false">IF($E497="","",IF(AND($M497&lt;&gt;"",$J497&lt;&gt;"",$M497&lt;&gt;$J497),1,0))</f>
        <v/>
      </c>
      <c r="W497" s="39" t="str">
        <f aca="false">IF($E497="","",IF($L497="Cancelada",0,IF(OR($K497&lt;&gt;"",$L497="Concluída"),1,0)))</f>
        <v/>
      </c>
    </row>
    <row r="498" customFormat="false" ht="15" hidden="false" customHeight="true" outlineLevel="0" collapsed="false">
      <c r="A498" s="31" t="str">
        <f aca="false">IF($E498="","",COUNTA($E$5:$E498))</f>
        <v/>
      </c>
      <c r="B498" s="32"/>
      <c r="C498" s="32"/>
      <c r="D498" s="32"/>
      <c r="E498" s="32"/>
      <c r="F498" s="33"/>
      <c r="G498" s="32"/>
      <c r="H498" s="34"/>
      <c r="I498" s="35"/>
      <c r="J498" s="36" t="str">
        <f aca="false">IF(OR($H498="",$I498=""),"",$H498+MATCH($I498,Listas!$F$5:$F$11,0)-1)</f>
        <v/>
      </c>
      <c r="K498" s="37"/>
      <c r="L498" s="33"/>
      <c r="M498" s="37"/>
      <c r="N498" s="32"/>
      <c r="O498" s="32"/>
      <c r="P498" s="38" t="str">
        <f aca="true">IF($E498="","",IF($L498="Cancelada","Cancelada",IF(OR($K498&lt;&gt;"",$L498="Concluída"),IF(OR($J498="",$K498="",$K498&lt;=$J498),"Concluída","Concluída com atraso"),IF($J498="","Na carteira",IF($J498&lt;TODAY(),"VENCIDA",IF($L498="Em execução","Em execução",IF($J498=TODAY(),"Hoje","Programada")))))))</f>
        <v/>
      </c>
      <c r="Q498" s="31" t="str">
        <f aca="false">IF($E498="","",IF(ISNUMBER(SEARCH("(externo)",$G498)),"Terceirizada","Interna"))</f>
        <v/>
      </c>
      <c r="R498" s="36" t="str">
        <f aca="false">IF($J498="","",IF($M498="",$J498,$M498))</f>
        <v/>
      </c>
      <c r="S498" s="31" t="str">
        <f aca="false">IF($E498="","",IF(OR($K498="",$J498=""),0,IF($K498&lt;=$J498,1,0)))</f>
        <v/>
      </c>
      <c r="T498" s="31" t="str">
        <f aca="false">IF($E498="","",IF(OR($K498="",$R498=""),0,IF($K498&lt;=$R498,1,0)))</f>
        <v/>
      </c>
      <c r="U498" s="38" t="str">
        <f aca="false">IF(OR($K498="",$J498=""),"",MAX(0,$K498-$J498))</f>
        <v/>
      </c>
      <c r="V498" s="31" t="str">
        <f aca="false">IF($E498="","",IF(AND($M498&lt;&gt;"",$J498&lt;&gt;"",$M498&lt;&gt;$J498),1,0))</f>
        <v/>
      </c>
      <c r="W498" s="39" t="str">
        <f aca="false">IF($E498="","",IF($L498="Cancelada",0,IF(OR($K498&lt;&gt;"",$L498="Concluída"),1,0)))</f>
        <v/>
      </c>
    </row>
    <row r="499" customFormat="false" ht="15" hidden="false" customHeight="true" outlineLevel="0" collapsed="false">
      <c r="A499" s="31" t="str">
        <f aca="false">IF($E499="","",COUNTA($E$5:$E499))</f>
        <v/>
      </c>
      <c r="B499" s="32"/>
      <c r="C499" s="32"/>
      <c r="D499" s="32"/>
      <c r="E499" s="32"/>
      <c r="F499" s="33"/>
      <c r="G499" s="32"/>
      <c r="H499" s="34"/>
      <c r="I499" s="35"/>
      <c r="J499" s="36" t="str">
        <f aca="false">IF(OR($H499="",$I499=""),"",$H499+MATCH($I499,Listas!$F$5:$F$11,0)-1)</f>
        <v/>
      </c>
      <c r="K499" s="37"/>
      <c r="L499" s="33"/>
      <c r="M499" s="37"/>
      <c r="N499" s="32"/>
      <c r="O499" s="32"/>
      <c r="P499" s="38" t="str">
        <f aca="true">IF($E499="","",IF($L499="Cancelada","Cancelada",IF(OR($K499&lt;&gt;"",$L499="Concluída"),IF(OR($J499="",$K499="",$K499&lt;=$J499),"Concluída","Concluída com atraso"),IF($J499="","Na carteira",IF($J499&lt;TODAY(),"VENCIDA",IF($L499="Em execução","Em execução",IF($J499=TODAY(),"Hoje","Programada")))))))</f>
        <v/>
      </c>
      <c r="Q499" s="31" t="str">
        <f aca="false">IF($E499="","",IF(ISNUMBER(SEARCH("(externo)",$G499)),"Terceirizada","Interna"))</f>
        <v/>
      </c>
      <c r="R499" s="36" t="str">
        <f aca="false">IF($J499="","",IF($M499="",$J499,$M499))</f>
        <v/>
      </c>
      <c r="S499" s="31" t="str">
        <f aca="false">IF($E499="","",IF(OR($K499="",$J499=""),0,IF($K499&lt;=$J499,1,0)))</f>
        <v/>
      </c>
      <c r="T499" s="31" t="str">
        <f aca="false">IF($E499="","",IF(OR($K499="",$R499=""),0,IF($K499&lt;=$R499,1,0)))</f>
        <v/>
      </c>
      <c r="U499" s="38" t="str">
        <f aca="false">IF(OR($K499="",$J499=""),"",MAX(0,$K499-$J499))</f>
        <v/>
      </c>
      <c r="V499" s="31" t="str">
        <f aca="false">IF($E499="","",IF(AND($M499&lt;&gt;"",$J499&lt;&gt;"",$M499&lt;&gt;$J499),1,0))</f>
        <v/>
      </c>
      <c r="W499" s="39" t="str">
        <f aca="false">IF($E499="","",IF($L499="Cancelada",0,IF(OR($K499&lt;&gt;"",$L499="Concluída"),1,0)))</f>
        <v/>
      </c>
    </row>
    <row r="500" customFormat="false" ht="15" hidden="false" customHeight="true" outlineLevel="0" collapsed="false">
      <c r="A500" s="31" t="str">
        <f aca="false">IF($E500="","",COUNTA($E$5:$E500))</f>
        <v/>
      </c>
      <c r="B500" s="32"/>
      <c r="C500" s="32"/>
      <c r="D500" s="32"/>
      <c r="E500" s="32"/>
      <c r="F500" s="33"/>
      <c r="G500" s="32"/>
      <c r="H500" s="34"/>
      <c r="I500" s="35"/>
      <c r="J500" s="36" t="str">
        <f aca="false">IF(OR($H500="",$I500=""),"",$H500+MATCH($I500,Listas!$F$5:$F$11,0)-1)</f>
        <v/>
      </c>
      <c r="K500" s="37"/>
      <c r="L500" s="33"/>
      <c r="M500" s="37"/>
      <c r="N500" s="32"/>
      <c r="O500" s="32"/>
      <c r="P500" s="38" t="str">
        <f aca="true">IF($E500="","",IF($L500="Cancelada","Cancelada",IF(OR($K500&lt;&gt;"",$L500="Concluída"),IF(OR($J500="",$K500="",$K500&lt;=$J500),"Concluída","Concluída com atraso"),IF($J500="","Na carteira",IF($J500&lt;TODAY(),"VENCIDA",IF($L500="Em execução","Em execução",IF($J500=TODAY(),"Hoje","Programada")))))))</f>
        <v/>
      </c>
      <c r="Q500" s="31" t="str">
        <f aca="false">IF($E500="","",IF(ISNUMBER(SEARCH("(externo)",$G500)),"Terceirizada","Interna"))</f>
        <v/>
      </c>
      <c r="R500" s="36" t="str">
        <f aca="false">IF($J500="","",IF($M500="",$J500,$M500))</f>
        <v/>
      </c>
      <c r="S500" s="31" t="str">
        <f aca="false">IF($E500="","",IF(OR($K500="",$J500=""),0,IF($K500&lt;=$J500,1,0)))</f>
        <v/>
      </c>
      <c r="T500" s="31" t="str">
        <f aca="false">IF($E500="","",IF(OR($K500="",$R500=""),0,IF($K500&lt;=$R500,1,0)))</f>
        <v/>
      </c>
      <c r="U500" s="38" t="str">
        <f aca="false">IF(OR($K500="",$J500=""),"",MAX(0,$K500-$J500))</f>
        <v/>
      </c>
      <c r="V500" s="31" t="str">
        <f aca="false">IF($E500="","",IF(AND($M500&lt;&gt;"",$J500&lt;&gt;"",$M500&lt;&gt;$J500),1,0))</f>
        <v/>
      </c>
      <c r="W500" s="39" t="str">
        <f aca="false">IF($E500="","",IF($L500="Cancelada",0,IF(OR($K500&lt;&gt;"",$L500="Concluída"),1,0)))</f>
        <v/>
      </c>
    </row>
    <row r="501" customFormat="false" ht="15" hidden="false" customHeight="true" outlineLevel="0" collapsed="false">
      <c r="A501" s="31" t="str">
        <f aca="false">IF($E501="","",COUNTA($E$5:$E501))</f>
        <v/>
      </c>
      <c r="B501" s="32"/>
      <c r="C501" s="32"/>
      <c r="D501" s="32"/>
      <c r="E501" s="32"/>
      <c r="F501" s="33"/>
      <c r="G501" s="32"/>
      <c r="H501" s="34"/>
      <c r="I501" s="35"/>
      <c r="J501" s="36" t="str">
        <f aca="false">IF(OR($H501="",$I501=""),"",$H501+MATCH($I501,Listas!$F$5:$F$11,0)-1)</f>
        <v/>
      </c>
      <c r="K501" s="37"/>
      <c r="L501" s="33"/>
      <c r="M501" s="37"/>
      <c r="N501" s="32"/>
      <c r="O501" s="32"/>
      <c r="P501" s="38" t="str">
        <f aca="true">IF($E501="","",IF($L501="Cancelada","Cancelada",IF(OR($K501&lt;&gt;"",$L501="Concluída"),IF(OR($J501="",$K501="",$K501&lt;=$J501),"Concluída","Concluída com atraso"),IF($J501="","Na carteira",IF($J501&lt;TODAY(),"VENCIDA",IF($L501="Em execução","Em execução",IF($J501=TODAY(),"Hoje","Programada")))))))</f>
        <v/>
      </c>
      <c r="Q501" s="31" t="str">
        <f aca="false">IF($E501="","",IF(ISNUMBER(SEARCH("(externo)",$G501)),"Terceirizada","Interna"))</f>
        <v/>
      </c>
      <c r="R501" s="36" t="str">
        <f aca="false">IF($J501="","",IF($M501="",$J501,$M501))</f>
        <v/>
      </c>
      <c r="S501" s="31" t="str">
        <f aca="false">IF($E501="","",IF(OR($K501="",$J501=""),0,IF($K501&lt;=$J501,1,0)))</f>
        <v/>
      </c>
      <c r="T501" s="31" t="str">
        <f aca="false">IF($E501="","",IF(OR($K501="",$R501=""),0,IF($K501&lt;=$R501,1,0)))</f>
        <v/>
      </c>
      <c r="U501" s="38" t="str">
        <f aca="false">IF(OR($K501="",$J501=""),"",MAX(0,$K501-$J501))</f>
        <v/>
      </c>
      <c r="V501" s="31" t="str">
        <f aca="false">IF($E501="","",IF(AND($M501&lt;&gt;"",$J501&lt;&gt;"",$M501&lt;&gt;$J501),1,0))</f>
        <v/>
      </c>
      <c r="W501" s="39" t="str">
        <f aca="false">IF($E501="","",IF($L501="Cancelada",0,IF(OR($K501&lt;&gt;"",$L501="Concluída"),1,0)))</f>
        <v/>
      </c>
    </row>
    <row r="502" customFormat="false" ht="15" hidden="false" customHeight="true" outlineLevel="0" collapsed="false">
      <c r="A502" s="31" t="str">
        <f aca="false">IF($E502="","",COUNTA($E$5:$E502))</f>
        <v/>
      </c>
      <c r="B502" s="32"/>
      <c r="C502" s="32"/>
      <c r="D502" s="32"/>
      <c r="E502" s="32"/>
      <c r="F502" s="33"/>
      <c r="G502" s="32"/>
      <c r="H502" s="34"/>
      <c r="I502" s="35"/>
      <c r="J502" s="36" t="str">
        <f aca="false">IF(OR($H502="",$I502=""),"",$H502+MATCH($I502,Listas!$F$5:$F$11,0)-1)</f>
        <v/>
      </c>
      <c r="K502" s="37"/>
      <c r="L502" s="33"/>
      <c r="M502" s="37"/>
      <c r="N502" s="32"/>
      <c r="O502" s="32"/>
      <c r="P502" s="38" t="str">
        <f aca="true">IF($E502="","",IF($L502="Cancelada","Cancelada",IF(OR($K502&lt;&gt;"",$L502="Concluída"),IF(OR($J502="",$K502="",$K502&lt;=$J502),"Concluída","Concluída com atraso"),IF($J502="","Na carteira",IF($J502&lt;TODAY(),"VENCIDA",IF($L502="Em execução","Em execução",IF($J502=TODAY(),"Hoje","Programada")))))))</f>
        <v/>
      </c>
      <c r="Q502" s="31" t="str">
        <f aca="false">IF($E502="","",IF(ISNUMBER(SEARCH("(externo)",$G502)),"Terceirizada","Interna"))</f>
        <v/>
      </c>
      <c r="R502" s="36" t="str">
        <f aca="false">IF($J502="","",IF($M502="",$J502,$M502))</f>
        <v/>
      </c>
      <c r="S502" s="31" t="str">
        <f aca="false">IF($E502="","",IF(OR($K502="",$J502=""),0,IF($K502&lt;=$J502,1,0)))</f>
        <v/>
      </c>
      <c r="T502" s="31" t="str">
        <f aca="false">IF($E502="","",IF(OR($K502="",$R502=""),0,IF($K502&lt;=$R502,1,0)))</f>
        <v/>
      </c>
      <c r="U502" s="38" t="str">
        <f aca="false">IF(OR($K502="",$J502=""),"",MAX(0,$K502-$J502))</f>
        <v/>
      </c>
      <c r="V502" s="31" t="str">
        <f aca="false">IF($E502="","",IF(AND($M502&lt;&gt;"",$J502&lt;&gt;"",$M502&lt;&gt;$J502),1,0))</f>
        <v/>
      </c>
      <c r="W502" s="39" t="str">
        <f aca="false">IF($E502="","",IF($L502="Cancelada",0,IF(OR($K502&lt;&gt;"",$L502="Concluída"),1,0)))</f>
        <v/>
      </c>
    </row>
    <row r="503" customFormat="false" ht="15" hidden="false" customHeight="true" outlineLevel="0" collapsed="false">
      <c r="A503" s="31" t="str">
        <f aca="false">IF($E503="","",COUNTA($E$5:$E503))</f>
        <v/>
      </c>
      <c r="B503" s="32"/>
      <c r="C503" s="32"/>
      <c r="D503" s="32"/>
      <c r="E503" s="32"/>
      <c r="F503" s="33"/>
      <c r="G503" s="32"/>
      <c r="H503" s="34"/>
      <c r="I503" s="35"/>
      <c r="J503" s="36" t="str">
        <f aca="false">IF(OR($H503="",$I503=""),"",$H503+MATCH($I503,Listas!$F$5:$F$11,0)-1)</f>
        <v/>
      </c>
      <c r="K503" s="37"/>
      <c r="L503" s="33"/>
      <c r="M503" s="37"/>
      <c r="N503" s="32"/>
      <c r="O503" s="32"/>
      <c r="P503" s="38" t="str">
        <f aca="true">IF($E503="","",IF($L503="Cancelada","Cancelada",IF(OR($K503&lt;&gt;"",$L503="Concluída"),IF(OR($J503="",$K503="",$K503&lt;=$J503),"Concluída","Concluída com atraso"),IF($J503="","Na carteira",IF($J503&lt;TODAY(),"VENCIDA",IF($L503="Em execução","Em execução",IF($J503=TODAY(),"Hoje","Programada")))))))</f>
        <v/>
      </c>
      <c r="Q503" s="31" t="str">
        <f aca="false">IF($E503="","",IF(ISNUMBER(SEARCH("(externo)",$G503)),"Terceirizada","Interna"))</f>
        <v/>
      </c>
      <c r="R503" s="36" t="str">
        <f aca="false">IF($J503="","",IF($M503="",$J503,$M503))</f>
        <v/>
      </c>
      <c r="S503" s="31" t="str">
        <f aca="false">IF($E503="","",IF(OR($K503="",$J503=""),0,IF($K503&lt;=$J503,1,0)))</f>
        <v/>
      </c>
      <c r="T503" s="31" t="str">
        <f aca="false">IF($E503="","",IF(OR($K503="",$R503=""),0,IF($K503&lt;=$R503,1,0)))</f>
        <v/>
      </c>
      <c r="U503" s="38" t="str">
        <f aca="false">IF(OR($K503="",$J503=""),"",MAX(0,$K503-$J503))</f>
        <v/>
      </c>
      <c r="V503" s="31" t="str">
        <f aca="false">IF($E503="","",IF(AND($M503&lt;&gt;"",$J503&lt;&gt;"",$M503&lt;&gt;$J503),1,0))</f>
        <v/>
      </c>
      <c r="W503" s="39" t="str">
        <f aca="false">IF($E503="","",IF($L503="Cancelada",0,IF(OR($K503&lt;&gt;"",$L503="Concluída"),1,0)))</f>
        <v/>
      </c>
    </row>
    <row r="504" customFormat="false" ht="15" hidden="false" customHeight="true" outlineLevel="0" collapsed="false">
      <c r="A504" s="31" t="str">
        <f aca="false">IF($E504="","",COUNTA($E$5:$E504))</f>
        <v/>
      </c>
      <c r="B504" s="32"/>
      <c r="C504" s="32"/>
      <c r="D504" s="32"/>
      <c r="E504" s="32"/>
      <c r="F504" s="33"/>
      <c r="G504" s="32"/>
      <c r="H504" s="34"/>
      <c r="I504" s="35"/>
      <c r="J504" s="36" t="str">
        <f aca="false">IF(OR($H504="",$I504=""),"",$H504+MATCH($I504,Listas!$F$5:$F$11,0)-1)</f>
        <v/>
      </c>
      <c r="K504" s="37"/>
      <c r="L504" s="33"/>
      <c r="M504" s="37"/>
      <c r="N504" s="32"/>
      <c r="O504" s="32"/>
      <c r="P504" s="38" t="str">
        <f aca="true">IF($E504="","",IF($L504="Cancelada","Cancelada",IF(OR($K504&lt;&gt;"",$L504="Concluída"),IF(OR($J504="",$K504="",$K504&lt;=$J504),"Concluída","Concluída com atraso"),IF($J504="","Na carteira",IF($J504&lt;TODAY(),"VENCIDA",IF($L504="Em execução","Em execução",IF($J504=TODAY(),"Hoje","Programada")))))))</f>
        <v/>
      </c>
      <c r="Q504" s="31" t="str">
        <f aca="false">IF($E504="","",IF(ISNUMBER(SEARCH("(externo)",$G504)),"Terceirizada","Interna"))</f>
        <v/>
      </c>
      <c r="R504" s="36" t="str">
        <f aca="false">IF($J504="","",IF($M504="",$J504,$M504))</f>
        <v/>
      </c>
      <c r="S504" s="31" t="str">
        <f aca="false">IF($E504="","",IF(OR($K504="",$J504=""),0,IF($K504&lt;=$J504,1,0)))</f>
        <v/>
      </c>
      <c r="T504" s="31" t="str">
        <f aca="false">IF($E504="","",IF(OR($K504="",$R504=""),0,IF($K504&lt;=$R504,1,0)))</f>
        <v/>
      </c>
      <c r="U504" s="38" t="str">
        <f aca="false">IF(OR($K504="",$J504=""),"",MAX(0,$K504-$J504))</f>
        <v/>
      </c>
      <c r="V504" s="31" t="str">
        <f aca="false">IF($E504="","",IF(AND($M504&lt;&gt;"",$J504&lt;&gt;"",$M504&lt;&gt;$J504),1,0))</f>
        <v/>
      </c>
      <c r="W504" s="39" t="str">
        <f aca="false">IF($E504="","",IF($L504="Cancelada",0,IF(OR($K504&lt;&gt;"",$L504="Concluída"),1,0)))</f>
        <v/>
      </c>
    </row>
    <row r="505" customFormat="false" ht="15" hidden="false" customHeight="true" outlineLevel="0" collapsed="false">
      <c r="A505" s="31" t="str">
        <f aca="false">IF($E505="","",COUNTA($E$5:$E505))</f>
        <v/>
      </c>
      <c r="B505" s="32"/>
      <c r="C505" s="32"/>
      <c r="D505" s="32"/>
      <c r="E505" s="32"/>
      <c r="F505" s="33"/>
      <c r="G505" s="32"/>
      <c r="H505" s="34"/>
      <c r="I505" s="35"/>
      <c r="J505" s="36" t="str">
        <f aca="false">IF(OR($H505="",$I505=""),"",$H505+MATCH($I505,Listas!$F$5:$F$11,0)-1)</f>
        <v/>
      </c>
      <c r="K505" s="37"/>
      <c r="L505" s="33"/>
      <c r="M505" s="37"/>
      <c r="N505" s="32"/>
      <c r="O505" s="32"/>
      <c r="P505" s="38" t="str">
        <f aca="true">IF($E505="","",IF($L505="Cancelada","Cancelada",IF(OR($K505&lt;&gt;"",$L505="Concluída"),IF(OR($J505="",$K505="",$K505&lt;=$J505),"Concluída","Concluída com atraso"),IF($J505="","Na carteira",IF($J505&lt;TODAY(),"VENCIDA",IF($L505="Em execução","Em execução",IF($J505=TODAY(),"Hoje","Programada")))))))</f>
        <v/>
      </c>
      <c r="Q505" s="31" t="str">
        <f aca="false">IF($E505="","",IF(ISNUMBER(SEARCH("(externo)",$G505)),"Terceirizada","Interna"))</f>
        <v/>
      </c>
      <c r="R505" s="36" t="str">
        <f aca="false">IF($J505="","",IF($M505="",$J505,$M505))</f>
        <v/>
      </c>
      <c r="S505" s="31" t="str">
        <f aca="false">IF($E505="","",IF(OR($K505="",$J505=""),0,IF($K505&lt;=$J505,1,0)))</f>
        <v/>
      </c>
      <c r="T505" s="31" t="str">
        <f aca="false">IF($E505="","",IF(OR($K505="",$R505=""),0,IF($K505&lt;=$R505,1,0)))</f>
        <v/>
      </c>
      <c r="U505" s="38" t="str">
        <f aca="false">IF(OR($K505="",$J505=""),"",MAX(0,$K505-$J505))</f>
        <v/>
      </c>
      <c r="V505" s="31" t="str">
        <f aca="false">IF($E505="","",IF(AND($M505&lt;&gt;"",$J505&lt;&gt;"",$M505&lt;&gt;$J505),1,0))</f>
        <v/>
      </c>
      <c r="W505" s="39" t="str">
        <f aca="false">IF($E505="","",IF($L505="Cancelada",0,IF(OR($K505&lt;&gt;"",$L505="Concluída"),1,0)))</f>
        <v/>
      </c>
    </row>
    <row r="506" customFormat="false" ht="15" hidden="false" customHeight="true" outlineLevel="0" collapsed="false">
      <c r="A506" s="31" t="str">
        <f aca="false">IF($E506="","",COUNTA($E$5:$E506))</f>
        <v/>
      </c>
      <c r="B506" s="32"/>
      <c r="C506" s="32"/>
      <c r="D506" s="32"/>
      <c r="E506" s="32"/>
      <c r="F506" s="33"/>
      <c r="G506" s="32"/>
      <c r="H506" s="34"/>
      <c r="I506" s="35"/>
      <c r="J506" s="36" t="str">
        <f aca="false">IF(OR($H506="",$I506=""),"",$H506+MATCH($I506,Listas!$F$5:$F$11,0)-1)</f>
        <v/>
      </c>
      <c r="K506" s="37"/>
      <c r="L506" s="33"/>
      <c r="M506" s="37"/>
      <c r="N506" s="32"/>
      <c r="O506" s="32"/>
      <c r="P506" s="38" t="str">
        <f aca="true">IF($E506="","",IF($L506="Cancelada","Cancelada",IF(OR($K506&lt;&gt;"",$L506="Concluída"),IF(OR($J506="",$K506="",$K506&lt;=$J506),"Concluída","Concluída com atraso"),IF($J506="","Na carteira",IF($J506&lt;TODAY(),"VENCIDA",IF($L506="Em execução","Em execução",IF($J506=TODAY(),"Hoje","Programada")))))))</f>
        <v/>
      </c>
      <c r="Q506" s="31" t="str">
        <f aca="false">IF($E506="","",IF(ISNUMBER(SEARCH("(externo)",$G506)),"Terceirizada","Interna"))</f>
        <v/>
      </c>
      <c r="R506" s="36" t="str">
        <f aca="false">IF($J506="","",IF($M506="",$J506,$M506))</f>
        <v/>
      </c>
      <c r="S506" s="31" t="str">
        <f aca="false">IF($E506="","",IF(OR($K506="",$J506=""),0,IF($K506&lt;=$J506,1,0)))</f>
        <v/>
      </c>
      <c r="T506" s="31" t="str">
        <f aca="false">IF($E506="","",IF(OR($K506="",$R506=""),0,IF($K506&lt;=$R506,1,0)))</f>
        <v/>
      </c>
      <c r="U506" s="38" t="str">
        <f aca="false">IF(OR($K506="",$J506=""),"",MAX(0,$K506-$J506))</f>
        <v/>
      </c>
      <c r="V506" s="31" t="str">
        <f aca="false">IF($E506="","",IF(AND($M506&lt;&gt;"",$J506&lt;&gt;"",$M506&lt;&gt;$J506),1,0))</f>
        <v/>
      </c>
      <c r="W506" s="39" t="str">
        <f aca="false">IF($E506="","",IF($L506="Cancelada",0,IF(OR($K506&lt;&gt;"",$L506="Concluída"),1,0)))</f>
        <v/>
      </c>
    </row>
    <row r="507" customFormat="false" ht="15" hidden="false" customHeight="true" outlineLevel="0" collapsed="false">
      <c r="A507" s="31" t="str">
        <f aca="false">IF($E507="","",COUNTA($E$5:$E507))</f>
        <v/>
      </c>
      <c r="B507" s="32"/>
      <c r="C507" s="32"/>
      <c r="D507" s="32"/>
      <c r="E507" s="32"/>
      <c r="F507" s="33"/>
      <c r="G507" s="32"/>
      <c r="H507" s="34"/>
      <c r="I507" s="35"/>
      <c r="J507" s="36" t="str">
        <f aca="false">IF(OR($H507="",$I507=""),"",$H507+MATCH($I507,Listas!$F$5:$F$11,0)-1)</f>
        <v/>
      </c>
      <c r="K507" s="37"/>
      <c r="L507" s="33"/>
      <c r="M507" s="37"/>
      <c r="N507" s="32"/>
      <c r="O507" s="32"/>
      <c r="P507" s="38" t="str">
        <f aca="true">IF($E507="","",IF($L507="Cancelada","Cancelada",IF(OR($K507&lt;&gt;"",$L507="Concluída"),IF(OR($J507="",$K507="",$K507&lt;=$J507),"Concluída","Concluída com atraso"),IF($J507="","Na carteira",IF($J507&lt;TODAY(),"VENCIDA",IF($L507="Em execução","Em execução",IF($J507=TODAY(),"Hoje","Programada")))))))</f>
        <v/>
      </c>
      <c r="Q507" s="31" t="str">
        <f aca="false">IF($E507="","",IF(ISNUMBER(SEARCH("(externo)",$G507)),"Terceirizada","Interna"))</f>
        <v/>
      </c>
      <c r="R507" s="36" t="str">
        <f aca="false">IF($J507="","",IF($M507="",$J507,$M507))</f>
        <v/>
      </c>
      <c r="S507" s="31" t="str">
        <f aca="false">IF($E507="","",IF(OR($K507="",$J507=""),0,IF($K507&lt;=$J507,1,0)))</f>
        <v/>
      </c>
      <c r="T507" s="31" t="str">
        <f aca="false">IF($E507="","",IF(OR($K507="",$R507=""),0,IF($K507&lt;=$R507,1,0)))</f>
        <v/>
      </c>
      <c r="U507" s="38" t="str">
        <f aca="false">IF(OR($K507="",$J507=""),"",MAX(0,$K507-$J507))</f>
        <v/>
      </c>
      <c r="V507" s="31" t="str">
        <f aca="false">IF($E507="","",IF(AND($M507&lt;&gt;"",$J507&lt;&gt;"",$M507&lt;&gt;$J507),1,0))</f>
        <v/>
      </c>
      <c r="W507" s="39" t="str">
        <f aca="false">IF($E507="","",IF($L507="Cancelada",0,IF(OR($K507&lt;&gt;"",$L507="Concluída"),1,0)))</f>
        <v/>
      </c>
    </row>
    <row r="508" customFormat="false" ht="15" hidden="false" customHeight="true" outlineLevel="0" collapsed="false">
      <c r="A508" s="31" t="str">
        <f aca="false">IF($E508="","",COUNTA($E$5:$E508))</f>
        <v/>
      </c>
      <c r="B508" s="32"/>
      <c r="C508" s="32"/>
      <c r="D508" s="32"/>
      <c r="E508" s="32"/>
      <c r="F508" s="33"/>
      <c r="G508" s="32"/>
      <c r="H508" s="34"/>
      <c r="I508" s="35"/>
      <c r="J508" s="36" t="str">
        <f aca="false">IF(OR($H508="",$I508=""),"",$H508+MATCH($I508,Listas!$F$5:$F$11,0)-1)</f>
        <v/>
      </c>
      <c r="K508" s="37"/>
      <c r="L508" s="33"/>
      <c r="M508" s="37"/>
      <c r="N508" s="32"/>
      <c r="O508" s="32"/>
      <c r="P508" s="38" t="str">
        <f aca="true">IF($E508="","",IF($L508="Cancelada","Cancelada",IF(OR($K508&lt;&gt;"",$L508="Concluída"),IF(OR($J508="",$K508="",$K508&lt;=$J508),"Concluída","Concluída com atraso"),IF($J508="","Na carteira",IF($J508&lt;TODAY(),"VENCIDA",IF($L508="Em execução","Em execução",IF($J508=TODAY(),"Hoje","Programada")))))))</f>
        <v/>
      </c>
      <c r="Q508" s="31" t="str">
        <f aca="false">IF($E508="","",IF(ISNUMBER(SEARCH("(externo)",$G508)),"Terceirizada","Interna"))</f>
        <v/>
      </c>
      <c r="R508" s="36" t="str">
        <f aca="false">IF($J508="","",IF($M508="",$J508,$M508))</f>
        <v/>
      </c>
      <c r="S508" s="31" t="str">
        <f aca="false">IF($E508="","",IF(OR($K508="",$J508=""),0,IF($K508&lt;=$J508,1,0)))</f>
        <v/>
      </c>
      <c r="T508" s="31" t="str">
        <f aca="false">IF($E508="","",IF(OR($K508="",$R508=""),0,IF($K508&lt;=$R508,1,0)))</f>
        <v/>
      </c>
      <c r="U508" s="38" t="str">
        <f aca="false">IF(OR($K508="",$J508=""),"",MAX(0,$K508-$J508))</f>
        <v/>
      </c>
      <c r="V508" s="31" t="str">
        <f aca="false">IF($E508="","",IF(AND($M508&lt;&gt;"",$J508&lt;&gt;"",$M508&lt;&gt;$J508),1,0))</f>
        <v/>
      </c>
      <c r="W508" s="39" t="str">
        <f aca="false">IF($E508="","",IF($L508="Cancelada",0,IF(OR($K508&lt;&gt;"",$L508="Concluída"),1,0)))</f>
        <v/>
      </c>
    </row>
    <row r="509" customFormat="false" ht="15" hidden="false" customHeight="true" outlineLevel="0" collapsed="false">
      <c r="A509" s="31" t="str">
        <f aca="false">IF($E509="","",COUNTA($E$5:$E509))</f>
        <v/>
      </c>
      <c r="B509" s="32"/>
      <c r="C509" s="32"/>
      <c r="D509" s="32"/>
      <c r="E509" s="32"/>
      <c r="F509" s="33"/>
      <c r="G509" s="32"/>
      <c r="H509" s="34"/>
      <c r="I509" s="35"/>
      <c r="J509" s="36" t="str">
        <f aca="false">IF(OR($H509="",$I509=""),"",$H509+MATCH($I509,Listas!$F$5:$F$11,0)-1)</f>
        <v/>
      </c>
      <c r="K509" s="37"/>
      <c r="L509" s="33"/>
      <c r="M509" s="37"/>
      <c r="N509" s="32"/>
      <c r="O509" s="32"/>
      <c r="P509" s="38" t="str">
        <f aca="true">IF($E509="","",IF($L509="Cancelada","Cancelada",IF(OR($K509&lt;&gt;"",$L509="Concluída"),IF(OR($J509="",$K509="",$K509&lt;=$J509),"Concluída","Concluída com atraso"),IF($J509="","Na carteira",IF($J509&lt;TODAY(),"VENCIDA",IF($L509="Em execução","Em execução",IF($J509=TODAY(),"Hoje","Programada")))))))</f>
        <v/>
      </c>
      <c r="Q509" s="31" t="str">
        <f aca="false">IF($E509="","",IF(ISNUMBER(SEARCH("(externo)",$G509)),"Terceirizada","Interna"))</f>
        <v/>
      </c>
      <c r="R509" s="36" t="str">
        <f aca="false">IF($J509="","",IF($M509="",$J509,$M509))</f>
        <v/>
      </c>
      <c r="S509" s="31" t="str">
        <f aca="false">IF($E509="","",IF(OR($K509="",$J509=""),0,IF($K509&lt;=$J509,1,0)))</f>
        <v/>
      </c>
      <c r="T509" s="31" t="str">
        <f aca="false">IF($E509="","",IF(OR($K509="",$R509=""),0,IF($K509&lt;=$R509,1,0)))</f>
        <v/>
      </c>
      <c r="U509" s="38" t="str">
        <f aca="false">IF(OR($K509="",$J509=""),"",MAX(0,$K509-$J509))</f>
        <v/>
      </c>
      <c r="V509" s="31" t="str">
        <f aca="false">IF($E509="","",IF(AND($M509&lt;&gt;"",$J509&lt;&gt;"",$M509&lt;&gt;$J509),1,0))</f>
        <v/>
      </c>
      <c r="W509" s="39" t="str">
        <f aca="false">IF($E509="","",IF($L509="Cancelada",0,IF(OR($K509&lt;&gt;"",$L509="Concluída"),1,0)))</f>
        <v/>
      </c>
    </row>
    <row r="510" customFormat="false" ht="15" hidden="false" customHeight="true" outlineLevel="0" collapsed="false">
      <c r="A510" s="31" t="str">
        <f aca="false">IF($E510="","",COUNTA($E$5:$E510))</f>
        <v/>
      </c>
      <c r="B510" s="32"/>
      <c r="C510" s="32"/>
      <c r="D510" s="32"/>
      <c r="E510" s="32"/>
      <c r="F510" s="33"/>
      <c r="G510" s="32"/>
      <c r="H510" s="34"/>
      <c r="I510" s="35"/>
      <c r="J510" s="36" t="str">
        <f aca="false">IF(OR($H510="",$I510=""),"",$H510+MATCH($I510,Listas!$F$5:$F$11,0)-1)</f>
        <v/>
      </c>
      <c r="K510" s="37"/>
      <c r="L510" s="33"/>
      <c r="M510" s="37"/>
      <c r="N510" s="32"/>
      <c r="O510" s="32"/>
      <c r="P510" s="38" t="str">
        <f aca="true">IF($E510="","",IF($L510="Cancelada","Cancelada",IF(OR($K510&lt;&gt;"",$L510="Concluída"),IF(OR($J510="",$K510="",$K510&lt;=$J510),"Concluída","Concluída com atraso"),IF($J510="","Na carteira",IF($J510&lt;TODAY(),"VENCIDA",IF($L510="Em execução","Em execução",IF($J510=TODAY(),"Hoje","Programada")))))))</f>
        <v/>
      </c>
      <c r="Q510" s="31" t="str">
        <f aca="false">IF($E510="","",IF(ISNUMBER(SEARCH("(externo)",$G510)),"Terceirizada","Interna"))</f>
        <v/>
      </c>
      <c r="R510" s="36" t="str">
        <f aca="false">IF($J510="","",IF($M510="",$J510,$M510))</f>
        <v/>
      </c>
      <c r="S510" s="31" t="str">
        <f aca="false">IF($E510="","",IF(OR($K510="",$J510=""),0,IF($K510&lt;=$J510,1,0)))</f>
        <v/>
      </c>
      <c r="T510" s="31" t="str">
        <f aca="false">IF($E510="","",IF(OR($K510="",$R510=""),0,IF($K510&lt;=$R510,1,0)))</f>
        <v/>
      </c>
      <c r="U510" s="38" t="str">
        <f aca="false">IF(OR($K510="",$J510=""),"",MAX(0,$K510-$J510))</f>
        <v/>
      </c>
      <c r="V510" s="31" t="str">
        <f aca="false">IF($E510="","",IF(AND($M510&lt;&gt;"",$J510&lt;&gt;"",$M510&lt;&gt;$J510),1,0))</f>
        <v/>
      </c>
      <c r="W510" s="39" t="str">
        <f aca="false">IF($E510="","",IF($L510="Cancelada",0,IF(OR($K510&lt;&gt;"",$L510="Concluída"),1,0)))</f>
        <v/>
      </c>
    </row>
    <row r="511" customFormat="false" ht="15" hidden="false" customHeight="true" outlineLevel="0" collapsed="false">
      <c r="A511" s="31" t="str">
        <f aca="false">IF($E511="","",COUNTA($E$5:$E511))</f>
        <v/>
      </c>
      <c r="B511" s="32"/>
      <c r="C511" s="32"/>
      <c r="D511" s="32"/>
      <c r="E511" s="32"/>
      <c r="F511" s="33"/>
      <c r="G511" s="32"/>
      <c r="H511" s="34"/>
      <c r="I511" s="35"/>
      <c r="J511" s="36" t="str">
        <f aca="false">IF(OR($H511="",$I511=""),"",$H511+MATCH($I511,Listas!$F$5:$F$11,0)-1)</f>
        <v/>
      </c>
      <c r="K511" s="37"/>
      <c r="L511" s="33"/>
      <c r="M511" s="37"/>
      <c r="N511" s="32"/>
      <c r="O511" s="32"/>
      <c r="P511" s="38" t="str">
        <f aca="true">IF($E511="","",IF($L511="Cancelada","Cancelada",IF(OR($K511&lt;&gt;"",$L511="Concluída"),IF(OR($J511="",$K511="",$K511&lt;=$J511),"Concluída","Concluída com atraso"),IF($J511="","Na carteira",IF($J511&lt;TODAY(),"VENCIDA",IF($L511="Em execução","Em execução",IF($J511=TODAY(),"Hoje","Programada")))))))</f>
        <v/>
      </c>
      <c r="Q511" s="31" t="str">
        <f aca="false">IF($E511="","",IF(ISNUMBER(SEARCH("(externo)",$G511)),"Terceirizada","Interna"))</f>
        <v/>
      </c>
      <c r="R511" s="36" t="str">
        <f aca="false">IF($J511="","",IF($M511="",$J511,$M511))</f>
        <v/>
      </c>
      <c r="S511" s="31" t="str">
        <f aca="false">IF($E511="","",IF(OR($K511="",$J511=""),0,IF($K511&lt;=$J511,1,0)))</f>
        <v/>
      </c>
      <c r="T511" s="31" t="str">
        <f aca="false">IF($E511="","",IF(OR($K511="",$R511=""),0,IF($K511&lt;=$R511,1,0)))</f>
        <v/>
      </c>
      <c r="U511" s="38" t="str">
        <f aca="false">IF(OR($K511="",$J511=""),"",MAX(0,$K511-$J511))</f>
        <v/>
      </c>
      <c r="V511" s="31" t="str">
        <f aca="false">IF($E511="","",IF(AND($M511&lt;&gt;"",$J511&lt;&gt;"",$M511&lt;&gt;$J511),1,0))</f>
        <v/>
      </c>
      <c r="W511" s="39" t="str">
        <f aca="false">IF($E511="","",IF($L511="Cancelada",0,IF(OR($K511&lt;&gt;"",$L511="Concluída"),1,0)))</f>
        <v/>
      </c>
    </row>
    <row r="512" customFormat="false" ht="15" hidden="false" customHeight="true" outlineLevel="0" collapsed="false">
      <c r="A512" s="31" t="str">
        <f aca="false">IF($E512="","",COUNTA($E$5:$E512))</f>
        <v/>
      </c>
      <c r="B512" s="32"/>
      <c r="C512" s="32"/>
      <c r="D512" s="32"/>
      <c r="E512" s="32"/>
      <c r="F512" s="33"/>
      <c r="G512" s="32"/>
      <c r="H512" s="34"/>
      <c r="I512" s="35"/>
      <c r="J512" s="36" t="str">
        <f aca="false">IF(OR($H512="",$I512=""),"",$H512+MATCH($I512,Listas!$F$5:$F$11,0)-1)</f>
        <v/>
      </c>
      <c r="K512" s="37"/>
      <c r="L512" s="33"/>
      <c r="M512" s="37"/>
      <c r="N512" s="32"/>
      <c r="O512" s="32"/>
      <c r="P512" s="38" t="str">
        <f aca="true">IF($E512="","",IF($L512="Cancelada","Cancelada",IF(OR($K512&lt;&gt;"",$L512="Concluída"),IF(OR($J512="",$K512="",$K512&lt;=$J512),"Concluída","Concluída com atraso"),IF($J512="","Na carteira",IF($J512&lt;TODAY(),"VENCIDA",IF($L512="Em execução","Em execução",IF($J512=TODAY(),"Hoje","Programada")))))))</f>
        <v/>
      </c>
      <c r="Q512" s="31" t="str">
        <f aca="false">IF($E512="","",IF(ISNUMBER(SEARCH("(externo)",$G512)),"Terceirizada","Interna"))</f>
        <v/>
      </c>
      <c r="R512" s="36" t="str">
        <f aca="false">IF($J512="","",IF($M512="",$J512,$M512))</f>
        <v/>
      </c>
      <c r="S512" s="31" t="str">
        <f aca="false">IF($E512="","",IF(OR($K512="",$J512=""),0,IF($K512&lt;=$J512,1,0)))</f>
        <v/>
      </c>
      <c r="T512" s="31" t="str">
        <f aca="false">IF($E512="","",IF(OR($K512="",$R512=""),0,IF($K512&lt;=$R512,1,0)))</f>
        <v/>
      </c>
      <c r="U512" s="38" t="str">
        <f aca="false">IF(OR($K512="",$J512=""),"",MAX(0,$K512-$J512))</f>
        <v/>
      </c>
      <c r="V512" s="31" t="str">
        <f aca="false">IF($E512="","",IF(AND($M512&lt;&gt;"",$J512&lt;&gt;"",$M512&lt;&gt;$J512),1,0))</f>
        <v/>
      </c>
      <c r="W512" s="39" t="str">
        <f aca="false">IF($E512="","",IF($L512="Cancelada",0,IF(OR($K512&lt;&gt;"",$L512="Concluída"),1,0)))</f>
        <v/>
      </c>
    </row>
    <row r="513" customFormat="false" ht="15" hidden="false" customHeight="true" outlineLevel="0" collapsed="false">
      <c r="A513" s="31" t="str">
        <f aca="false">IF($E513="","",COUNTA($E$5:$E513))</f>
        <v/>
      </c>
      <c r="B513" s="32"/>
      <c r="C513" s="32"/>
      <c r="D513" s="32"/>
      <c r="E513" s="32"/>
      <c r="F513" s="33"/>
      <c r="G513" s="32"/>
      <c r="H513" s="34"/>
      <c r="I513" s="35"/>
      <c r="J513" s="36" t="str">
        <f aca="false">IF(OR($H513="",$I513=""),"",$H513+MATCH($I513,Listas!$F$5:$F$11,0)-1)</f>
        <v/>
      </c>
      <c r="K513" s="37"/>
      <c r="L513" s="33"/>
      <c r="M513" s="37"/>
      <c r="N513" s="32"/>
      <c r="O513" s="32"/>
      <c r="P513" s="38" t="str">
        <f aca="true">IF($E513="","",IF($L513="Cancelada","Cancelada",IF(OR($K513&lt;&gt;"",$L513="Concluída"),IF(OR($J513="",$K513="",$K513&lt;=$J513),"Concluída","Concluída com atraso"),IF($J513="","Na carteira",IF($J513&lt;TODAY(),"VENCIDA",IF($L513="Em execução","Em execução",IF($J513=TODAY(),"Hoje","Programada")))))))</f>
        <v/>
      </c>
      <c r="Q513" s="31" t="str">
        <f aca="false">IF($E513="","",IF(ISNUMBER(SEARCH("(externo)",$G513)),"Terceirizada","Interna"))</f>
        <v/>
      </c>
      <c r="R513" s="36" t="str">
        <f aca="false">IF($J513="","",IF($M513="",$J513,$M513))</f>
        <v/>
      </c>
      <c r="S513" s="31" t="str">
        <f aca="false">IF($E513="","",IF(OR($K513="",$J513=""),0,IF($K513&lt;=$J513,1,0)))</f>
        <v/>
      </c>
      <c r="T513" s="31" t="str">
        <f aca="false">IF($E513="","",IF(OR($K513="",$R513=""),0,IF($K513&lt;=$R513,1,0)))</f>
        <v/>
      </c>
      <c r="U513" s="38" t="str">
        <f aca="false">IF(OR($K513="",$J513=""),"",MAX(0,$K513-$J513))</f>
        <v/>
      </c>
      <c r="V513" s="31" t="str">
        <f aca="false">IF($E513="","",IF(AND($M513&lt;&gt;"",$J513&lt;&gt;"",$M513&lt;&gt;$J513),1,0))</f>
        <v/>
      </c>
      <c r="W513" s="39" t="str">
        <f aca="false">IF($E513="","",IF($L513="Cancelada",0,IF(OR($K513&lt;&gt;"",$L513="Concluída"),1,0)))</f>
        <v/>
      </c>
    </row>
    <row r="514" customFormat="false" ht="15" hidden="false" customHeight="true" outlineLevel="0" collapsed="false">
      <c r="A514" s="31" t="str">
        <f aca="false">IF($E514="","",COUNTA($E$5:$E514))</f>
        <v/>
      </c>
      <c r="B514" s="32"/>
      <c r="C514" s="32"/>
      <c r="D514" s="32"/>
      <c r="E514" s="32"/>
      <c r="F514" s="33"/>
      <c r="G514" s="32"/>
      <c r="H514" s="34"/>
      <c r="I514" s="35"/>
      <c r="J514" s="36" t="str">
        <f aca="false">IF(OR($H514="",$I514=""),"",$H514+MATCH($I514,Listas!$F$5:$F$11,0)-1)</f>
        <v/>
      </c>
      <c r="K514" s="37"/>
      <c r="L514" s="33"/>
      <c r="M514" s="37"/>
      <c r="N514" s="32"/>
      <c r="O514" s="32"/>
      <c r="P514" s="38" t="str">
        <f aca="true">IF($E514="","",IF($L514="Cancelada","Cancelada",IF(OR($K514&lt;&gt;"",$L514="Concluída"),IF(OR($J514="",$K514="",$K514&lt;=$J514),"Concluída","Concluída com atraso"),IF($J514="","Na carteira",IF($J514&lt;TODAY(),"VENCIDA",IF($L514="Em execução","Em execução",IF($J514=TODAY(),"Hoje","Programada")))))))</f>
        <v/>
      </c>
      <c r="Q514" s="31" t="str">
        <f aca="false">IF($E514="","",IF(ISNUMBER(SEARCH("(externo)",$G514)),"Terceirizada","Interna"))</f>
        <v/>
      </c>
      <c r="R514" s="36" t="str">
        <f aca="false">IF($J514="","",IF($M514="",$J514,$M514))</f>
        <v/>
      </c>
      <c r="S514" s="31" t="str">
        <f aca="false">IF($E514="","",IF(OR($K514="",$J514=""),0,IF($K514&lt;=$J514,1,0)))</f>
        <v/>
      </c>
      <c r="T514" s="31" t="str">
        <f aca="false">IF($E514="","",IF(OR($K514="",$R514=""),0,IF($K514&lt;=$R514,1,0)))</f>
        <v/>
      </c>
      <c r="U514" s="38" t="str">
        <f aca="false">IF(OR($K514="",$J514=""),"",MAX(0,$K514-$J514))</f>
        <v/>
      </c>
      <c r="V514" s="31" t="str">
        <f aca="false">IF($E514="","",IF(AND($M514&lt;&gt;"",$J514&lt;&gt;"",$M514&lt;&gt;$J514),1,0))</f>
        <v/>
      </c>
      <c r="W514" s="39" t="str">
        <f aca="false">IF($E514="","",IF($L514="Cancelada",0,IF(OR($K514&lt;&gt;"",$L514="Concluída"),1,0)))</f>
        <v/>
      </c>
    </row>
    <row r="515" customFormat="false" ht="15" hidden="false" customHeight="true" outlineLevel="0" collapsed="false">
      <c r="A515" s="31" t="str">
        <f aca="false">IF($E515="","",COUNTA($E$5:$E515))</f>
        <v/>
      </c>
      <c r="B515" s="32"/>
      <c r="C515" s="32"/>
      <c r="D515" s="32"/>
      <c r="E515" s="32"/>
      <c r="F515" s="33"/>
      <c r="G515" s="32"/>
      <c r="H515" s="34"/>
      <c r="I515" s="35"/>
      <c r="J515" s="36" t="str">
        <f aca="false">IF(OR($H515="",$I515=""),"",$H515+MATCH($I515,Listas!$F$5:$F$11,0)-1)</f>
        <v/>
      </c>
      <c r="K515" s="37"/>
      <c r="L515" s="33"/>
      <c r="M515" s="37"/>
      <c r="N515" s="32"/>
      <c r="O515" s="32"/>
      <c r="P515" s="38" t="str">
        <f aca="true">IF($E515="","",IF($L515="Cancelada","Cancelada",IF(OR($K515&lt;&gt;"",$L515="Concluída"),IF(OR($J515="",$K515="",$K515&lt;=$J515),"Concluída","Concluída com atraso"),IF($J515="","Na carteira",IF($J515&lt;TODAY(),"VENCIDA",IF($L515="Em execução","Em execução",IF($J515=TODAY(),"Hoje","Programada")))))))</f>
        <v/>
      </c>
      <c r="Q515" s="31" t="str">
        <f aca="false">IF($E515="","",IF(ISNUMBER(SEARCH("(externo)",$G515)),"Terceirizada","Interna"))</f>
        <v/>
      </c>
      <c r="R515" s="36" t="str">
        <f aca="false">IF($J515="","",IF($M515="",$J515,$M515))</f>
        <v/>
      </c>
      <c r="S515" s="31" t="str">
        <f aca="false">IF($E515="","",IF(OR($K515="",$J515=""),0,IF($K515&lt;=$J515,1,0)))</f>
        <v/>
      </c>
      <c r="T515" s="31" t="str">
        <f aca="false">IF($E515="","",IF(OR($K515="",$R515=""),0,IF($K515&lt;=$R515,1,0)))</f>
        <v/>
      </c>
      <c r="U515" s="38" t="str">
        <f aca="false">IF(OR($K515="",$J515=""),"",MAX(0,$K515-$J515))</f>
        <v/>
      </c>
      <c r="V515" s="31" t="str">
        <f aca="false">IF($E515="","",IF(AND($M515&lt;&gt;"",$J515&lt;&gt;"",$M515&lt;&gt;$J515),1,0))</f>
        <v/>
      </c>
      <c r="W515" s="39" t="str">
        <f aca="false">IF($E515="","",IF($L515="Cancelada",0,IF(OR($K515&lt;&gt;"",$L515="Concluída"),1,0)))</f>
        <v/>
      </c>
    </row>
    <row r="516" customFormat="false" ht="15" hidden="false" customHeight="true" outlineLevel="0" collapsed="false">
      <c r="A516" s="31" t="str">
        <f aca="false">IF($E516="","",COUNTA($E$5:$E516))</f>
        <v/>
      </c>
      <c r="B516" s="32"/>
      <c r="C516" s="32"/>
      <c r="D516" s="32"/>
      <c r="E516" s="32"/>
      <c r="F516" s="33"/>
      <c r="G516" s="32"/>
      <c r="H516" s="34"/>
      <c r="I516" s="35"/>
      <c r="J516" s="36" t="str">
        <f aca="false">IF(OR($H516="",$I516=""),"",$H516+MATCH($I516,Listas!$F$5:$F$11,0)-1)</f>
        <v/>
      </c>
      <c r="K516" s="37"/>
      <c r="L516" s="33"/>
      <c r="M516" s="37"/>
      <c r="N516" s="32"/>
      <c r="O516" s="32"/>
      <c r="P516" s="38" t="str">
        <f aca="true">IF($E516="","",IF($L516="Cancelada","Cancelada",IF(OR($K516&lt;&gt;"",$L516="Concluída"),IF(OR($J516="",$K516="",$K516&lt;=$J516),"Concluída","Concluída com atraso"),IF($J516="","Na carteira",IF($J516&lt;TODAY(),"VENCIDA",IF($L516="Em execução","Em execução",IF($J516=TODAY(),"Hoje","Programada")))))))</f>
        <v/>
      </c>
      <c r="Q516" s="31" t="str">
        <f aca="false">IF($E516="","",IF(ISNUMBER(SEARCH("(externo)",$G516)),"Terceirizada","Interna"))</f>
        <v/>
      </c>
      <c r="R516" s="36" t="str">
        <f aca="false">IF($J516="","",IF($M516="",$J516,$M516))</f>
        <v/>
      </c>
      <c r="S516" s="31" t="str">
        <f aca="false">IF($E516="","",IF(OR($K516="",$J516=""),0,IF($K516&lt;=$J516,1,0)))</f>
        <v/>
      </c>
      <c r="T516" s="31" t="str">
        <f aca="false">IF($E516="","",IF(OR($K516="",$R516=""),0,IF($K516&lt;=$R516,1,0)))</f>
        <v/>
      </c>
      <c r="U516" s="38" t="str">
        <f aca="false">IF(OR($K516="",$J516=""),"",MAX(0,$K516-$J516))</f>
        <v/>
      </c>
      <c r="V516" s="31" t="str">
        <f aca="false">IF($E516="","",IF(AND($M516&lt;&gt;"",$J516&lt;&gt;"",$M516&lt;&gt;$J516),1,0))</f>
        <v/>
      </c>
      <c r="W516" s="39" t="str">
        <f aca="false">IF($E516="","",IF($L516="Cancelada",0,IF(OR($K516&lt;&gt;"",$L516="Concluída"),1,0)))</f>
        <v/>
      </c>
    </row>
    <row r="517" customFormat="false" ht="15" hidden="false" customHeight="true" outlineLevel="0" collapsed="false">
      <c r="A517" s="31" t="str">
        <f aca="false">IF($E517="","",COUNTA($E$5:$E517))</f>
        <v/>
      </c>
      <c r="B517" s="32"/>
      <c r="C517" s="32"/>
      <c r="D517" s="32"/>
      <c r="E517" s="32"/>
      <c r="F517" s="33"/>
      <c r="G517" s="32"/>
      <c r="H517" s="34"/>
      <c r="I517" s="35"/>
      <c r="J517" s="36" t="str">
        <f aca="false">IF(OR($H517="",$I517=""),"",$H517+MATCH($I517,Listas!$F$5:$F$11,0)-1)</f>
        <v/>
      </c>
      <c r="K517" s="37"/>
      <c r="L517" s="33"/>
      <c r="M517" s="37"/>
      <c r="N517" s="32"/>
      <c r="O517" s="32"/>
      <c r="P517" s="38" t="str">
        <f aca="true">IF($E517="","",IF($L517="Cancelada","Cancelada",IF(OR($K517&lt;&gt;"",$L517="Concluída"),IF(OR($J517="",$K517="",$K517&lt;=$J517),"Concluída","Concluída com atraso"),IF($J517="","Na carteira",IF($J517&lt;TODAY(),"VENCIDA",IF($L517="Em execução","Em execução",IF($J517=TODAY(),"Hoje","Programada")))))))</f>
        <v/>
      </c>
      <c r="Q517" s="31" t="str">
        <f aca="false">IF($E517="","",IF(ISNUMBER(SEARCH("(externo)",$G517)),"Terceirizada","Interna"))</f>
        <v/>
      </c>
      <c r="R517" s="36" t="str">
        <f aca="false">IF($J517="","",IF($M517="",$J517,$M517))</f>
        <v/>
      </c>
      <c r="S517" s="31" t="str">
        <f aca="false">IF($E517="","",IF(OR($K517="",$J517=""),0,IF($K517&lt;=$J517,1,0)))</f>
        <v/>
      </c>
      <c r="T517" s="31" t="str">
        <f aca="false">IF($E517="","",IF(OR($K517="",$R517=""),0,IF($K517&lt;=$R517,1,0)))</f>
        <v/>
      </c>
      <c r="U517" s="38" t="str">
        <f aca="false">IF(OR($K517="",$J517=""),"",MAX(0,$K517-$J517))</f>
        <v/>
      </c>
      <c r="V517" s="31" t="str">
        <f aca="false">IF($E517="","",IF(AND($M517&lt;&gt;"",$J517&lt;&gt;"",$M517&lt;&gt;$J517),1,0))</f>
        <v/>
      </c>
      <c r="W517" s="39" t="str">
        <f aca="false">IF($E517="","",IF($L517="Cancelada",0,IF(OR($K517&lt;&gt;"",$L517="Concluída"),1,0)))</f>
        <v/>
      </c>
    </row>
    <row r="518" customFormat="false" ht="15" hidden="false" customHeight="true" outlineLevel="0" collapsed="false">
      <c r="A518" s="31" t="str">
        <f aca="false">IF($E518="","",COUNTA($E$5:$E518))</f>
        <v/>
      </c>
      <c r="B518" s="32"/>
      <c r="C518" s="32"/>
      <c r="D518" s="32"/>
      <c r="E518" s="32"/>
      <c r="F518" s="33"/>
      <c r="G518" s="32"/>
      <c r="H518" s="34"/>
      <c r="I518" s="35"/>
      <c r="J518" s="36" t="str">
        <f aca="false">IF(OR($H518="",$I518=""),"",$H518+MATCH($I518,Listas!$F$5:$F$11,0)-1)</f>
        <v/>
      </c>
      <c r="K518" s="37"/>
      <c r="L518" s="33"/>
      <c r="M518" s="37"/>
      <c r="N518" s="32"/>
      <c r="O518" s="32"/>
      <c r="P518" s="38" t="str">
        <f aca="true">IF($E518="","",IF($L518="Cancelada","Cancelada",IF(OR($K518&lt;&gt;"",$L518="Concluída"),IF(OR($J518="",$K518="",$K518&lt;=$J518),"Concluída","Concluída com atraso"),IF($J518="","Na carteira",IF($J518&lt;TODAY(),"VENCIDA",IF($L518="Em execução","Em execução",IF($J518=TODAY(),"Hoje","Programada")))))))</f>
        <v/>
      </c>
      <c r="Q518" s="31" t="str">
        <f aca="false">IF($E518="","",IF(ISNUMBER(SEARCH("(externo)",$G518)),"Terceirizada","Interna"))</f>
        <v/>
      </c>
      <c r="R518" s="36" t="str">
        <f aca="false">IF($J518="","",IF($M518="",$J518,$M518))</f>
        <v/>
      </c>
      <c r="S518" s="31" t="str">
        <f aca="false">IF($E518="","",IF(OR($K518="",$J518=""),0,IF($K518&lt;=$J518,1,0)))</f>
        <v/>
      </c>
      <c r="T518" s="31" t="str">
        <f aca="false">IF($E518="","",IF(OR($K518="",$R518=""),0,IF($K518&lt;=$R518,1,0)))</f>
        <v/>
      </c>
      <c r="U518" s="38" t="str">
        <f aca="false">IF(OR($K518="",$J518=""),"",MAX(0,$K518-$J518))</f>
        <v/>
      </c>
      <c r="V518" s="31" t="str">
        <f aca="false">IF($E518="","",IF(AND($M518&lt;&gt;"",$J518&lt;&gt;"",$M518&lt;&gt;$J518),1,0))</f>
        <v/>
      </c>
      <c r="W518" s="39" t="str">
        <f aca="false">IF($E518="","",IF($L518="Cancelada",0,IF(OR($K518&lt;&gt;"",$L518="Concluída"),1,0)))</f>
        <v/>
      </c>
    </row>
    <row r="519" customFormat="false" ht="15" hidden="false" customHeight="true" outlineLevel="0" collapsed="false">
      <c r="A519" s="31" t="str">
        <f aca="false">IF($E519="","",COUNTA($E$5:$E519))</f>
        <v/>
      </c>
      <c r="B519" s="32"/>
      <c r="C519" s="32"/>
      <c r="D519" s="32"/>
      <c r="E519" s="32"/>
      <c r="F519" s="33"/>
      <c r="G519" s="32"/>
      <c r="H519" s="34"/>
      <c r="I519" s="35"/>
      <c r="J519" s="36" t="str">
        <f aca="false">IF(OR($H519="",$I519=""),"",$H519+MATCH($I519,Listas!$F$5:$F$11,0)-1)</f>
        <v/>
      </c>
      <c r="K519" s="37"/>
      <c r="L519" s="33"/>
      <c r="M519" s="37"/>
      <c r="N519" s="32"/>
      <c r="O519" s="32"/>
      <c r="P519" s="38" t="str">
        <f aca="true">IF($E519="","",IF($L519="Cancelada","Cancelada",IF(OR($K519&lt;&gt;"",$L519="Concluída"),IF(OR($J519="",$K519="",$K519&lt;=$J519),"Concluída","Concluída com atraso"),IF($J519="","Na carteira",IF($J519&lt;TODAY(),"VENCIDA",IF($L519="Em execução","Em execução",IF($J519=TODAY(),"Hoje","Programada")))))))</f>
        <v/>
      </c>
      <c r="Q519" s="31" t="str">
        <f aca="false">IF($E519="","",IF(ISNUMBER(SEARCH("(externo)",$G519)),"Terceirizada","Interna"))</f>
        <v/>
      </c>
      <c r="R519" s="36" t="str">
        <f aca="false">IF($J519="","",IF($M519="",$J519,$M519))</f>
        <v/>
      </c>
      <c r="S519" s="31" t="str">
        <f aca="false">IF($E519="","",IF(OR($K519="",$J519=""),0,IF($K519&lt;=$J519,1,0)))</f>
        <v/>
      </c>
      <c r="T519" s="31" t="str">
        <f aca="false">IF($E519="","",IF(OR($K519="",$R519=""),0,IF($K519&lt;=$R519,1,0)))</f>
        <v/>
      </c>
      <c r="U519" s="38" t="str">
        <f aca="false">IF(OR($K519="",$J519=""),"",MAX(0,$K519-$J519))</f>
        <v/>
      </c>
      <c r="V519" s="31" t="str">
        <f aca="false">IF($E519="","",IF(AND($M519&lt;&gt;"",$J519&lt;&gt;"",$M519&lt;&gt;$J519),1,0))</f>
        <v/>
      </c>
      <c r="W519" s="39" t="str">
        <f aca="false">IF($E519="","",IF($L519="Cancelada",0,IF(OR($K519&lt;&gt;"",$L519="Concluída"),1,0)))</f>
        <v/>
      </c>
    </row>
    <row r="520" customFormat="false" ht="15" hidden="false" customHeight="true" outlineLevel="0" collapsed="false">
      <c r="A520" s="31" t="str">
        <f aca="false">IF($E520="","",COUNTA($E$5:$E520))</f>
        <v/>
      </c>
      <c r="B520" s="32"/>
      <c r="C520" s="32"/>
      <c r="D520" s="32"/>
      <c r="E520" s="32"/>
      <c r="F520" s="33"/>
      <c r="G520" s="32"/>
      <c r="H520" s="34"/>
      <c r="I520" s="35"/>
      <c r="J520" s="36" t="str">
        <f aca="false">IF(OR($H520="",$I520=""),"",$H520+MATCH($I520,Listas!$F$5:$F$11,0)-1)</f>
        <v/>
      </c>
      <c r="K520" s="37"/>
      <c r="L520" s="33"/>
      <c r="M520" s="37"/>
      <c r="N520" s="32"/>
      <c r="O520" s="32"/>
      <c r="P520" s="38" t="str">
        <f aca="true">IF($E520="","",IF($L520="Cancelada","Cancelada",IF(OR($K520&lt;&gt;"",$L520="Concluída"),IF(OR($J520="",$K520="",$K520&lt;=$J520),"Concluída","Concluída com atraso"),IF($J520="","Na carteira",IF($J520&lt;TODAY(),"VENCIDA",IF($L520="Em execução","Em execução",IF($J520=TODAY(),"Hoje","Programada")))))))</f>
        <v/>
      </c>
      <c r="Q520" s="31" t="str">
        <f aca="false">IF($E520="","",IF(ISNUMBER(SEARCH("(externo)",$G520)),"Terceirizada","Interna"))</f>
        <v/>
      </c>
      <c r="R520" s="36" t="str">
        <f aca="false">IF($J520="","",IF($M520="",$J520,$M520))</f>
        <v/>
      </c>
      <c r="S520" s="31" t="str">
        <f aca="false">IF($E520="","",IF(OR($K520="",$J520=""),0,IF($K520&lt;=$J520,1,0)))</f>
        <v/>
      </c>
      <c r="T520" s="31" t="str">
        <f aca="false">IF($E520="","",IF(OR($K520="",$R520=""),0,IF($K520&lt;=$R520,1,0)))</f>
        <v/>
      </c>
      <c r="U520" s="38" t="str">
        <f aca="false">IF(OR($K520="",$J520=""),"",MAX(0,$K520-$J520))</f>
        <v/>
      </c>
      <c r="V520" s="31" t="str">
        <f aca="false">IF($E520="","",IF(AND($M520&lt;&gt;"",$J520&lt;&gt;"",$M520&lt;&gt;$J520),1,0))</f>
        <v/>
      </c>
      <c r="W520" s="39" t="str">
        <f aca="false">IF($E520="","",IF($L520="Cancelada",0,IF(OR($K520&lt;&gt;"",$L520="Concluída"),1,0)))</f>
        <v/>
      </c>
    </row>
    <row r="521" customFormat="false" ht="15" hidden="false" customHeight="true" outlineLevel="0" collapsed="false">
      <c r="A521" s="31" t="str">
        <f aca="false">IF($E521="","",COUNTA($E$5:$E521))</f>
        <v/>
      </c>
      <c r="B521" s="32"/>
      <c r="C521" s="32"/>
      <c r="D521" s="32"/>
      <c r="E521" s="32"/>
      <c r="F521" s="33"/>
      <c r="G521" s="32"/>
      <c r="H521" s="34"/>
      <c r="I521" s="35"/>
      <c r="J521" s="36" t="str">
        <f aca="false">IF(OR($H521="",$I521=""),"",$H521+MATCH($I521,Listas!$F$5:$F$11,0)-1)</f>
        <v/>
      </c>
      <c r="K521" s="37"/>
      <c r="L521" s="33"/>
      <c r="M521" s="37"/>
      <c r="N521" s="32"/>
      <c r="O521" s="32"/>
      <c r="P521" s="38" t="str">
        <f aca="true">IF($E521="","",IF($L521="Cancelada","Cancelada",IF(OR($K521&lt;&gt;"",$L521="Concluída"),IF(OR($J521="",$K521="",$K521&lt;=$J521),"Concluída","Concluída com atraso"),IF($J521="","Na carteira",IF($J521&lt;TODAY(),"VENCIDA",IF($L521="Em execução","Em execução",IF($J521=TODAY(),"Hoje","Programada")))))))</f>
        <v/>
      </c>
      <c r="Q521" s="31" t="str">
        <f aca="false">IF($E521="","",IF(ISNUMBER(SEARCH("(externo)",$G521)),"Terceirizada","Interna"))</f>
        <v/>
      </c>
      <c r="R521" s="36" t="str">
        <f aca="false">IF($J521="","",IF($M521="",$J521,$M521))</f>
        <v/>
      </c>
      <c r="S521" s="31" t="str">
        <f aca="false">IF($E521="","",IF(OR($K521="",$J521=""),0,IF($K521&lt;=$J521,1,0)))</f>
        <v/>
      </c>
      <c r="T521" s="31" t="str">
        <f aca="false">IF($E521="","",IF(OR($K521="",$R521=""),0,IF($K521&lt;=$R521,1,0)))</f>
        <v/>
      </c>
      <c r="U521" s="38" t="str">
        <f aca="false">IF(OR($K521="",$J521=""),"",MAX(0,$K521-$J521))</f>
        <v/>
      </c>
      <c r="V521" s="31" t="str">
        <f aca="false">IF($E521="","",IF(AND($M521&lt;&gt;"",$J521&lt;&gt;"",$M521&lt;&gt;$J521),1,0))</f>
        <v/>
      </c>
      <c r="W521" s="39" t="str">
        <f aca="false">IF($E521="","",IF($L521="Cancelada",0,IF(OR($K521&lt;&gt;"",$L521="Concluída"),1,0)))</f>
        <v/>
      </c>
    </row>
    <row r="522" customFormat="false" ht="15" hidden="false" customHeight="true" outlineLevel="0" collapsed="false">
      <c r="A522" s="31" t="str">
        <f aca="false">IF($E522="","",COUNTA($E$5:$E522))</f>
        <v/>
      </c>
      <c r="B522" s="32"/>
      <c r="C522" s="32"/>
      <c r="D522" s="32"/>
      <c r="E522" s="32"/>
      <c r="F522" s="33"/>
      <c r="G522" s="32"/>
      <c r="H522" s="34"/>
      <c r="I522" s="35"/>
      <c r="J522" s="36" t="str">
        <f aca="false">IF(OR($H522="",$I522=""),"",$H522+MATCH($I522,Listas!$F$5:$F$11,0)-1)</f>
        <v/>
      </c>
      <c r="K522" s="37"/>
      <c r="L522" s="33"/>
      <c r="M522" s="37"/>
      <c r="N522" s="32"/>
      <c r="O522" s="32"/>
      <c r="P522" s="38" t="str">
        <f aca="true">IF($E522="","",IF($L522="Cancelada","Cancelada",IF(OR($K522&lt;&gt;"",$L522="Concluída"),IF(OR($J522="",$K522="",$K522&lt;=$J522),"Concluída","Concluída com atraso"),IF($J522="","Na carteira",IF($J522&lt;TODAY(),"VENCIDA",IF($L522="Em execução","Em execução",IF($J522=TODAY(),"Hoje","Programada")))))))</f>
        <v/>
      </c>
      <c r="Q522" s="31" t="str">
        <f aca="false">IF($E522="","",IF(ISNUMBER(SEARCH("(externo)",$G522)),"Terceirizada","Interna"))</f>
        <v/>
      </c>
      <c r="R522" s="36" t="str">
        <f aca="false">IF($J522="","",IF($M522="",$J522,$M522))</f>
        <v/>
      </c>
      <c r="S522" s="31" t="str">
        <f aca="false">IF($E522="","",IF(OR($K522="",$J522=""),0,IF($K522&lt;=$J522,1,0)))</f>
        <v/>
      </c>
      <c r="T522" s="31" t="str">
        <f aca="false">IF($E522="","",IF(OR($K522="",$R522=""),0,IF($K522&lt;=$R522,1,0)))</f>
        <v/>
      </c>
      <c r="U522" s="38" t="str">
        <f aca="false">IF(OR($K522="",$J522=""),"",MAX(0,$K522-$J522))</f>
        <v/>
      </c>
      <c r="V522" s="31" t="str">
        <f aca="false">IF($E522="","",IF(AND($M522&lt;&gt;"",$J522&lt;&gt;"",$M522&lt;&gt;$J522),1,0))</f>
        <v/>
      </c>
      <c r="W522" s="39" t="str">
        <f aca="false">IF($E522="","",IF($L522="Cancelada",0,IF(OR($K522&lt;&gt;"",$L522="Concluída"),1,0)))</f>
        <v/>
      </c>
    </row>
    <row r="523" customFormat="false" ht="15" hidden="false" customHeight="true" outlineLevel="0" collapsed="false">
      <c r="A523" s="31" t="str">
        <f aca="false">IF($E523="","",COUNTA($E$5:$E523))</f>
        <v/>
      </c>
      <c r="B523" s="32"/>
      <c r="C523" s="32"/>
      <c r="D523" s="32"/>
      <c r="E523" s="32"/>
      <c r="F523" s="33"/>
      <c r="G523" s="32"/>
      <c r="H523" s="34"/>
      <c r="I523" s="35"/>
      <c r="J523" s="36" t="str">
        <f aca="false">IF(OR($H523="",$I523=""),"",$H523+MATCH($I523,Listas!$F$5:$F$11,0)-1)</f>
        <v/>
      </c>
      <c r="K523" s="37"/>
      <c r="L523" s="33"/>
      <c r="M523" s="37"/>
      <c r="N523" s="32"/>
      <c r="O523" s="32"/>
      <c r="P523" s="38" t="str">
        <f aca="true">IF($E523="","",IF($L523="Cancelada","Cancelada",IF(OR($K523&lt;&gt;"",$L523="Concluída"),IF(OR($J523="",$K523="",$K523&lt;=$J523),"Concluída","Concluída com atraso"),IF($J523="","Na carteira",IF($J523&lt;TODAY(),"VENCIDA",IF($L523="Em execução","Em execução",IF($J523=TODAY(),"Hoje","Programada")))))))</f>
        <v/>
      </c>
      <c r="Q523" s="31" t="str">
        <f aca="false">IF($E523="","",IF(ISNUMBER(SEARCH("(externo)",$G523)),"Terceirizada","Interna"))</f>
        <v/>
      </c>
      <c r="R523" s="36" t="str">
        <f aca="false">IF($J523="","",IF($M523="",$J523,$M523))</f>
        <v/>
      </c>
      <c r="S523" s="31" t="str">
        <f aca="false">IF($E523="","",IF(OR($K523="",$J523=""),0,IF($K523&lt;=$J523,1,0)))</f>
        <v/>
      </c>
      <c r="T523" s="31" t="str">
        <f aca="false">IF($E523="","",IF(OR($K523="",$R523=""),0,IF($K523&lt;=$R523,1,0)))</f>
        <v/>
      </c>
      <c r="U523" s="38" t="str">
        <f aca="false">IF(OR($K523="",$J523=""),"",MAX(0,$K523-$J523))</f>
        <v/>
      </c>
      <c r="V523" s="31" t="str">
        <f aca="false">IF($E523="","",IF(AND($M523&lt;&gt;"",$J523&lt;&gt;"",$M523&lt;&gt;$J523),1,0))</f>
        <v/>
      </c>
      <c r="W523" s="39" t="str">
        <f aca="false">IF($E523="","",IF($L523="Cancelada",0,IF(OR($K523&lt;&gt;"",$L523="Concluída"),1,0)))</f>
        <v/>
      </c>
    </row>
    <row r="524" customFormat="false" ht="15" hidden="false" customHeight="true" outlineLevel="0" collapsed="false">
      <c r="A524" s="31" t="str">
        <f aca="false">IF($E524="","",COUNTA($E$5:$E524))</f>
        <v/>
      </c>
      <c r="B524" s="32"/>
      <c r="C524" s="32"/>
      <c r="D524" s="32"/>
      <c r="E524" s="32"/>
      <c r="F524" s="33"/>
      <c r="G524" s="32"/>
      <c r="H524" s="34"/>
      <c r="I524" s="35"/>
      <c r="J524" s="36" t="str">
        <f aca="false">IF(OR($H524="",$I524=""),"",$H524+MATCH($I524,Listas!$F$5:$F$11,0)-1)</f>
        <v/>
      </c>
      <c r="K524" s="37"/>
      <c r="L524" s="33"/>
      <c r="M524" s="37"/>
      <c r="N524" s="32"/>
      <c r="O524" s="32"/>
      <c r="P524" s="38" t="str">
        <f aca="true">IF($E524="","",IF($L524="Cancelada","Cancelada",IF(OR($K524&lt;&gt;"",$L524="Concluída"),IF(OR($J524="",$K524="",$K524&lt;=$J524),"Concluída","Concluída com atraso"),IF($J524="","Na carteira",IF($J524&lt;TODAY(),"VENCIDA",IF($L524="Em execução","Em execução",IF($J524=TODAY(),"Hoje","Programada")))))))</f>
        <v/>
      </c>
      <c r="Q524" s="31" t="str">
        <f aca="false">IF($E524="","",IF(ISNUMBER(SEARCH("(externo)",$G524)),"Terceirizada","Interna"))</f>
        <v/>
      </c>
      <c r="R524" s="36" t="str">
        <f aca="false">IF($J524="","",IF($M524="",$J524,$M524))</f>
        <v/>
      </c>
      <c r="S524" s="31" t="str">
        <f aca="false">IF($E524="","",IF(OR($K524="",$J524=""),0,IF($K524&lt;=$J524,1,0)))</f>
        <v/>
      </c>
      <c r="T524" s="31" t="str">
        <f aca="false">IF($E524="","",IF(OR($K524="",$R524=""),0,IF($K524&lt;=$R524,1,0)))</f>
        <v/>
      </c>
      <c r="U524" s="38" t="str">
        <f aca="false">IF(OR($K524="",$J524=""),"",MAX(0,$K524-$J524))</f>
        <v/>
      </c>
      <c r="V524" s="31" t="str">
        <f aca="false">IF($E524="","",IF(AND($M524&lt;&gt;"",$J524&lt;&gt;"",$M524&lt;&gt;$J524),1,0))</f>
        <v/>
      </c>
      <c r="W524" s="39" t="str">
        <f aca="false">IF($E524="","",IF($L524="Cancelada",0,IF(OR($K524&lt;&gt;"",$L524="Concluída"),1,0)))</f>
        <v/>
      </c>
    </row>
    <row r="525" customFormat="false" ht="15" hidden="false" customHeight="true" outlineLevel="0" collapsed="false">
      <c r="A525" s="31" t="str">
        <f aca="false">IF($E525="","",COUNTA($E$5:$E525))</f>
        <v/>
      </c>
      <c r="B525" s="32"/>
      <c r="C525" s="32"/>
      <c r="D525" s="32"/>
      <c r="E525" s="32"/>
      <c r="F525" s="33"/>
      <c r="G525" s="32"/>
      <c r="H525" s="34"/>
      <c r="I525" s="35"/>
      <c r="J525" s="36" t="str">
        <f aca="false">IF(OR($H525="",$I525=""),"",$H525+MATCH($I525,Listas!$F$5:$F$11,0)-1)</f>
        <v/>
      </c>
      <c r="K525" s="37"/>
      <c r="L525" s="33"/>
      <c r="M525" s="37"/>
      <c r="N525" s="32"/>
      <c r="O525" s="32"/>
      <c r="P525" s="38" t="str">
        <f aca="true">IF($E525="","",IF($L525="Cancelada","Cancelada",IF(OR($K525&lt;&gt;"",$L525="Concluída"),IF(OR($J525="",$K525="",$K525&lt;=$J525),"Concluída","Concluída com atraso"),IF($J525="","Na carteira",IF($J525&lt;TODAY(),"VENCIDA",IF($L525="Em execução","Em execução",IF($J525=TODAY(),"Hoje","Programada")))))))</f>
        <v/>
      </c>
      <c r="Q525" s="31" t="str">
        <f aca="false">IF($E525="","",IF(ISNUMBER(SEARCH("(externo)",$G525)),"Terceirizada","Interna"))</f>
        <v/>
      </c>
      <c r="R525" s="36" t="str">
        <f aca="false">IF($J525="","",IF($M525="",$J525,$M525))</f>
        <v/>
      </c>
      <c r="S525" s="31" t="str">
        <f aca="false">IF($E525="","",IF(OR($K525="",$J525=""),0,IF($K525&lt;=$J525,1,0)))</f>
        <v/>
      </c>
      <c r="T525" s="31" t="str">
        <f aca="false">IF($E525="","",IF(OR($K525="",$R525=""),0,IF($K525&lt;=$R525,1,0)))</f>
        <v/>
      </c>
      <c r="U525" s="38" t="str">
        <f aca="false">IF(OR($K525="",$J525=""),"",MAX(0,$K525-$J525))</f>
        <v/>
      </c>
      <c r="V525" s="31" t="str">
        <f aca="false">IF($E525="","",IF(AND($M525&lt;&gt;"",$J525&lt;&gt;"",$M525&lt;&gt;$J525),1,0))</f>
        <v/>
      </c>
      <c r="W525" s="39" t="str">
        <f aca="false">IF($E525="","",IF($L525="Cancelada",0,IF(OR($K525&lt;&gt;"",$L525="Concluída"),1,0)))</f>
        <v/>
      </c>
    </row>
    <row r="526" customFormat="false" ht="15" hidden="false" customHeight="true" outlineLevel="0" collapsed="false">
      <c r="A526" s="31" t="str">
        <f aca="false">IF($E526="","",COUNTA($E$5:$E526))</f>
        <v/>
      </c>
      <c r="B526" s="32"/>
      <c r="C526" s="32"/>
      <c r="D526" s="32"/>
      <c r="E526" s="32"/>
      <c r="F526" s="33"/>
      <c r="G526" s="32"/>
      <c r="H526" s="34"/>
      <c r="I526" s="35"/>
      <c r="J526" s="36" t="str">
        <f aca="false">IF(OR($H526="",$I526=""),"",$H526+MATCH($I526,Listas!$F$5:$F$11,0)-1)</f>
        <v/>
      </c>
      <c r="K526" s="37"/>
      <c r="L526" s="33"/>
      <c r="M526" s="37"/>
      <c r="N526" s="32"/>
      <c r="O526" s="32"/>
      <c r="P526" s="38" t="str">
        <f aca="true">IF($E526="","",IF($L526="Cancelada","Cancelada",IF(OR($K526&lt;&gt;"",$L526="Concluída"),IF(OR($J526="",$K526="",$K526&lt;=$J526),"Concluída","Concluída com atraso"),IF($J526="","Na carteira",IF($J526&lt;TODAY(),"VENCIDA",IF($L526="Em execução","Em execução",IF($J526=TODAY(),"Hoje","Programada")))))))</f>
        <v/>
      </c>
      <c r="Q526" s="31" t="str">
        <f aca="false">IF($E526="","",IF(ISNUMBER(SEARCH("(externo)",$G526)),"Terceirizada","Interna"))</f>
        <v/>
      </c>
      <c r="R526" s="36" t="str">
        <f aca="false">IF($J526="","",IF($M526="",$J526,$M526))</f>
        <v/>
      </c>
      <c r="S526" s="31" t="str">
        <f aca="false">IF($E526="","",IF(OR($K526="",$J526=""),0,IF($K526&lt;=$J526,1,0)))</f>
        <v/>
      </c>
      <c r="T526" s="31" t="str">
        <f aca="false">IF($E526="","",IF(OR($K526="",$R526=""),0,IF($K526&lt;=$R526,1,0)))</f>
        <v/>
      </c>
      <c r="U526" s="38" t="str">
        <f aca="false">IF(OR($K526="",$J526=""),"",MAX(0,$K526-$J526))</f>
        <v/>
      </c>
      <c r="V526" s="31" t="str">
        <f aca="false">IF($E526="","",IF(AND($M526&lt;&gt;"",$J526&lt;&gt;"",$M526&lt;&gt;$J526),1,0))</f>
        <v/>
      </c>
      <c r="W526" s="39" t="str">
        <f aca="false">IF($E526="","",IF($L526="Cancelada",0,IF(OR($K526&lt;&gt;"",$L526="Concluída"),1,0)))</f>
        <v/>
      </c>
    </row>
    <row r="527" customFormat="false" ht="15" hidden="false" customHeight="true" outlineLevel="0" collapsed="false">
      <c r="A527" s="31" t="str">
        <f aca="false">IF($E527="","",COUNTA($E$5:$E527))</f>
        <v/>
      </c>
      <c r="B527" s="32"/>
      <c r="C527" s="32"/>
      <c r="D527" s="32"/>
      <c r="E527" s="32"/>
      <c r="F527" s="33"/>
      <c r="G527" s="32"/>
      <c r="H527" s="34"/>
      <c r="I527" s="35"/>
      <c r="J527" s="36" t="str">
        <f aca="false">IF(OR($H527="",$I527=""),"",$H527+MATCH($I527,Listas!$F$5:$F$11,0)-1)</f>
        <v/>
      </c>
      <c r="K527" s="37"/>
      <c r="L527" s="33"/>
      <c r="M527" s="37"/>
      <c r="N527" s="32"/>
      <c r="O527" s="32"/>
      <c r="P527" s="38" t="str">
        <f aca="true">IF($E527="","",IF($L527="Cancelada","Cancelada",IF(OR($K527&lt;&gt;"",$L527="Concluída"),IF(OR($J527="",$K527="",$K527&lt;=$J527),"Concluída","Concluída com atraso"),IF($J527="","Na carteira",IF($J527&lt;TODAY(),"VENCIDA",IF($L527="Em execução","Em execução",IF($J527=TODAY(),"Hoje","Programada")))))))</f>
        <v/>
      </c>
      <c r="Q527" s="31" t="str">
        <f aca="false">IF($E527="","",IF(ISNUMBER(SEARCH("(externo)",$G527)),"Terceirizada","Interna"))</f>
        <v/>
      </c>
      <c r="R527" s="36" t="str">
        <f aca="false">IF($J527="","",IF($M527="",$J527,$M527))</f>
        <v/>
      </c>
      <c r="S527" s="31" t="str">
        <f aca="false">IF($E527="","",IF(OR($K527="",$J527=""),0,IF($K527&lt;=$J527,1,0)))</f>
        <v/>
      </c>
      <c r="T527" s="31" t="str">
        <f aca="false">IF($E527="","",IF(OR($K527="",$R527=""),0,IF($K527&lt;=$R527,1,0)))</f>
        <v/>
      </c>
      <c r="U527" s="38" t="str">
        <f aca="false">IF(OR($K527="",$J527=""),"",MAX(0,$K527-$J527))</f>
        <v/>
      </c>
      <c r="V527" s="31" t="str">
        <f aca="false">IF($E527="","",IF(AND($M527&lt;&gt;"",$J527&lt;&gt;"",$M527&lt;&gt;$J527),1,0))</f>
        <v/>
      </c>
      <c r="W527" s="39" t="str">
        <f aca="false">IF($E527="","",IF($L527="Cancelada",0,IF(OR($K527&lt;&gt;"",$L527="Concluída"),1,0)))</f>
        <v/>
      </c>
    </row>
    <row r="528" customFormat="false" ht="15" hidden="false" customHeight="true" outlineLevel="0" collapsed="false">
      <c r="A528" s="31" t="str">
        <f aca="false">IF($E528="","",COUNTA($E$5:$E528))</f>
        <v/>
      </c>
      <c r="B528" s="32"/>
      <c r="C528" s="32"/>
      <c r="D528" s="32"/>
      <c r="E528" s="32"/>
      <c r="F528" s="33"/>
      <c r="G528" s="32"/>
      <c r="H528" s="34"/>
      <c r="I528" s="35"/>
      <c r="J528" s="36" t="str">
        <f aca="false">IF(OR($H528="",$I528=""),"",$H528+MATCH($I528,Listas!$F$5:$F$11,0)-1)</f>
        <v/>
      </c>
      <c r="K528" s="37"/>
      <c r="L528" s="33"/>
      <c r="M528" s="37"/>
      <c r="N528" s="32"/>
      <c r="O528" s="32"/>
      <c r="P528" s="38" t="str">
        <f aca="true">IF($E528="","",IF($L528="Cancelada","Cancelada",IF(OR($K528&lt;&gt;"",$L528="Concluída"),IF(OR($J528="",$K528="",$K528&lt;=$J528),"Concluída","Concluída com atraso"),IF($J528="","Na carteira",IF($J528&lt;TODAY(),"VENCIDA",IF($L528="Em execução","Em execução",IF($J528=TODAY(),"Hoje","Programada")))))))</f>
        <v/>
      </c>
      <c r="Q528" s="31" t="str">
        <f aca="false">IF($E528="","",IF(ISNUMBER(SEARCH("(externo)",$G528)),"Terceirizada","Interna"))</f>
        <v/>
      </c>
      <c r="R528" s="36" t="str">
        <f aca="false">IF($J528="","",IF($M528="",$J528,$M528))</f>
        <v/>
      </c>
      <c r="S528" s="31" t="str">
        <f aca="false">IF($E528="","",IF(OR($K528="",$J528=""),0,IF($K528&lt;=$J528,1,0)))</f>
        <v/>
      </c>
      <c r="T528" s="31" t="str">
        <f aca="false">IF($E528="","",IF(OR($K528="",$R528=""),0,IF($K528&lt;=$R528,1,0)))</f>
        <v/>
      </c>
      <c r="U528" s="38" t="str">
        <f aca="false">IF(OR($K528="",$J528=""),"",MAX(0,$K528-$J528))</f>
        <v/>
      </c>
      <c r="V528" s="31" t="str">
        <f aca="false">IF($E528="","",IF(AND($M528&lt;&gt;"",$J528&lt;&gt;"",$M528&lt;&gt;$J528),1,0))</f>
        <v/>
      </c>
      <c r="W528" s="39" t="str">
        <f aca="false">IF($E528="","",IF($L528="Cancelada",0,IF(OR($K528&lt;&gt;"",$L528="Concluída"),1,0)))</f>
        <v/>
      </c>
    </row>
    <row r="529" customFormat="false" ht="15" hidden="false" customHeight="true" outlineLevel="0" collapsed="false">
      <c r="A529" s="31" t="str">
        <f aca="false">IF($E529="","",COUNTA($E$5:$E529))</f>
        <v/>
      </c>
      <c r="B529" s="32"/>
      <c r="C529" s="32"/>
      <c r="D529" s="32"/>
      <c r="E529" s="32"/>
      <c r="F529" s="33"/>
      <c r="G529" s="32"/>
      <c r="H529" s="34"/>
      <c r="I529" s="35"/>
      <c r="J529" s="36" t="str">
        <f aca="false">IF(OR($H529="",$I529=""),"",$H529+MATCH($I529,Listas!$F$5:$F$11,0)-1)</f>
        <v/>
      </c>
      <c r="K529" s="37"/>
      <c r="L529" s="33"/>
      <c r="M529" s="37"/>
      <c r="N529" s="32"/>
      <c r="O529" s="32"/>
      <c r="P529" s="38" t="str">
        <f aca="true">IF($E529="","",IF($L529="Cancelada","Cancelada",IF(OR($K529&lt;&gt;"",$L529="Concluída"),IF(OR($J529="",$K529="",$K529&lt;=$J529),"Concluída","Concluída com atraso"),IF($J529="","Na carteira",IF($J529&lt;TODAY(),"VENCIDA",IF($L529="Em execução","Em execução",IF($J529=TODAY(),"Hoje","Programada")))))))</f>
        <v/>
      </c>
      <c r="Q529" s="31" t="str">
        <f aca="false">IF($E529="","",IF(ISNUMBER(SEARCH("(externo)",$G529)),"Terceirizada","Interna"))</f>
        <v/>
      </c>
      <c r="R529" s="36" t="str">
        <f aca="false">IF($J529="","",IF($M529="",$J529,$M529))</f>
        <v/>
      </c>
      <c r="S529" s="31" t="str">
        <f aca="false">IF($E529="","",IF(OR($K529="",$J529=""),0,IF($K529&lt;=$J529,1,0)))</f>
        <v/>
      </c>
      <c r="T529" s="31" t="str">
        <f aca="false">IF($E529="","",IF(OR($K529="",$R529=""),0,IF($K529&lt;=$R529,1,0)))</f>
        <v/>
      </c>
      <c r="U529" s="38" t="str">
        <f aca="false">IF(OR($K529="",$J529=""),"",MAX(0,$K529-$J529))</f>
        <v/>
      </c>
      <c r="V529" s="31" t="str">
        <f aca="false">IF($E529="","",IF(AND($M529&lt;&gt;"",$J529&lt;&gt;"",$M529&lt;&gt;$J529),1,0))</f>
        <v/>
      </c>
      <c r="W529" s="39" t="str">
        <f aca="false">IF($E529="","",IF($L529="Cancelada",0,IF(OR($K529&lt;&gt;"",$L529="Concluída"),1,0)))</f>
        <v/>
      </c>
    </row>
    <row r="530" customFormat="false" ht="15" hidden="false" customHeight="true" outlineLevel="0" collapsed="false">
      <c r="A530" s="31" t="str">
        <f aca="false">IF($E530="","",COUNTA($E$5:$E530))</f>
        <v/>
      </c>
      <c r="B530" s="32"/>
      <c r="C530" s="32"/>
      <c r="D530" s="32"/>
      <c r="E530" s="32"/>
      <c r="F530" s="33"/>
      <c r="G530" s="32"/>
      <c r="H530" s="34"/>
      <c r="I530" s="35"/>
      <c r="J530" s="36" t="str">
        <f aca="false">IF(OR($H530="",$I530=""),"",$H530+MATCH($I530,Listas!$F$5:$F$11,0)-1)</f>
        <v/>
      </c>
      <c r="K530" s="37"/>
      <c r="L530" s="33"/>
      <c r="M530" s="37"/>
      <c r="N530" s="32"/>
      <c r="O530" s="32"/>
      <c r="P530" s="38" t="str">
        <f aca="true">IF($E530="","",IF($L530="Cancelada","Cancelada",IF(OR($K530&lt;&gt;"",$L530="Concluída"),IF(OR($J530="",$K530="",$K530&lt;=$J530),"Concluída","Concluída com atraso"),IF($J530="","Na carteira",IF($J530&lt;TODAY(),"VENCIDA",IF($L530="Em execução","Em execução",IF($J530=TODAY(),"Hoje","Programada")))))))</f>
        <v/>
      </c>
      <c r="Q530" s="31" t="str">
        <f aca="false">IF($E530="","",IF(ISNUMBER(SEARCH("(externo)",$G530)),"Terceirizada","Interna"))</f>
        <v/>
      </c>
      <c r="R530" s="36" t="str">
        <f aca="false">IF($J530="","",IF($M530="",$J530,$M530))</f>
        <v/>
      </c>
      <c r="S530" s="31" t="str">
        <f aca="false">IF($E530="","",IF(OR($K530="",$J530=""),0,IF($K530&lt;=$J530,1,0)))</f>
        <v/>
      </c>
      <c r="T530" s="31" t="str">
        <f aca="false">IF($E530="","",IF(OR($K530="",$R530=""),0,IF($K530&lt;=$R530,1,0)))</f>
        <v/>
      </c>
      <c r="U530" s="38" t="str">
        <f aca="false">IF(OR($K530="",$J530=""),"",MAX(0,$K530-$J530))</f>
        <v/>
      </c>
      <c r="V530" s="31" t="str">
        <f aca="false">IF($E530="","",IF(AND($M530&lt;&gt;"",$J530&lt;&gt;"",$M530&lt;&gt;$J530),1,0))</f>
        <v/>
      </c>
      <c r="W530" s="39" t="str">
        <f aca="false">IF($E530="","",IF($L530="Cancelada",0,IF(OR($K530&lt;&gt;"",$L530="Concluída"),1,0)))</f>
        <v/>
      </c>
    </row>
    <row r="531" customFormat="false" ht="15" hidden="false" customHeight="true" outlineLevel="0" collapsed="false">
      <c r="A531" s="31" t="str">
        <f aca="false">IF($E531="","",COUNTA($E$5:$E531))</f>
        <v/>
      </c>
      <c r="B531" s="32"/>
      <c r="C531" s="32"/>
      <c r="D531" s="32"/>
      <c r="E531" s="32"/>
      <c r="F531" s="33"/>
      <c r="G531" s="32"/>
      <c r="H531" s="34"/>
      <c r="I531" s="35"/>
      <c r="J531" s="36" t="str">
        <f aca="false">IF(OR($H531="",$I531=""),"",$H531+MATCH($I531,Listas!$F$5:$F$11,0)-1)</f>
        <v/>
      </c>
      <c r="K531" s="37"/>
      <c r="L531" s="33"/>
      <c r="M531" s="37"/>
      <c r="N531" s="32"/>
      <c r="O531" s="32"/>
      <c r="P531" s="38" t="str">
        <f aca="true">IF($E531="","",IF($L531="Cancelada","Cancelada",IF(OR($K531&lt;&gt;"",$L531="Concluída"),IF(OR($J531="",$K531="",$K531&lt;=$J531),"Concluída","Concluída com atraso"),IF($J531="","Na carteira",IF($J531&lt;TODAY(),"VENCIDA",IF($L531="Em execução","Em execução",IF($J531=TODAY(),"Hoje","Programada")))))))</f>
        <v/>
      </c>
      <c r="Q531" s="31" t="str">
        <f aca="false">IF($E531="","",IF(ISNUMBER(SEARCH("(externo)",$G531)),"Terceirizada","Interna"))</f>
        <v/>
      </c>
      <c r="R531" s="36" t="str">
        <f aca="false">IF($J531="","",IF($M531="",$J531,$M531))</f>
        <v/>
      </c>
      <c r="S531" s="31" t="str">
        <f aca="false">IF($E531="","",IF(OR($K531="",$J531=""),0,IF($K531&lt;=$J531,1,0)))</f>
        <v/>
      </c>
      <c r="T531" s="31" t="str">
        <f aca="false">IF($E531="","",IF(OR($K531="",$R531=""),0,IF($K531&lt;=$R531,1,0)))</f>
        <v/>
      </c>
      <c r="U531" s="38" t="str">
        <f aca="false">IF(OR($K531="",$J531=""),"",MAX(0,$K531-$J531))</f>
        <v/>
      </c>
      <c r="V531" s="31" t="str">
        <f aca="false">IF($E531="","",IF(AND($M531&lt;&gt;"",$J531&lt;&gt;"",$M531&lt;&gt;$J531),1,0))</f>
        <v/>
      </c>
      <c r="W531" s="39" t="str">
        <f aca="false">IF($E531="","",IF($L531="Cancelada",0,IF(OR($K531&lt;&gt;"",$L531="Concluída"),1,0)))</f>
        <v/>
      </c>
    </row>
    <row r="532" customFormat="false" ht="15" hidden="false" customHeight="true" outlineLevel="0" collapsed="false">
      <c r="A532" s="31" t="str">
        <f aca="false">IF($E532="","",COUNTA($E$5:$E532))</f>
        <v/>
      </c>
      <c r="B532" s="32"/>
      <c r="C532" s="32"/>
      <c r="D532" s="32"/>
      <c r="E532" s="32"/>
      <c r="F532" s="33"/>
      <c r="G532" s="32"/>
      <c r="H532" s="34"/>
      <c r="I532" s="35"/>
      <c r="J532" s="36" t="str">
        <f aca="false">IF(OR($H532="",$I532=""),"",$H532+MATCH($I532,Listas!$F$5:$F$11,0)-1)</f>
        <v/>
      </c>
      <c r="K532" s="37"/>
      <c r="L532" s="33"/>
      <c r="M532" s="37"/>
      <c r="N532" s="32"/>
      <c r="O532" s="32"/>
      <c r="P532" s="38" t="str">
        <f aca="true">IF($E532="","",IF($L532="Cancelada","Cancelada",IF(OR($K532&lt;&gt;"",$L532="Concluída"),IF(OR($J532="",$K532="",$K532&lt;=$J532),"Concluída","Concluída com atraso"),IF($J532="","Na carteira",IF($J532&lt;TODAY(),"VENCIDA",IF($L532="Em execução","Em execução",IF($J532=TODAY(),"Hoje","Programada")))))))</f>
        <v/>
      </c>
      <c r="Q532" s="31" t="str">
        <f aca="false">IF($E532="","",IF(ISNUMBER(SEARCH("(externo)",$G532)),"Terceirizada","Interna"))</f>
        <v/>
      </c>
      <c r="R532" s="36" t="str">
        <f aca="false">IF($J532="","",IF($M532="",$J532,$M532))</f>
        <v/>
      </c>
      <c r="S532" s="31" t="str">
        <f aca="false">IF($E532="","",IF(OR($K532="",$J532=""),0,IF($K532&lt;=$J532,1,0)))</f>
        <v/>
      </c>
      <c r="T532" s="31" t="str">
        <f aca="false">IF($E532="","",IF(OR($K532="",$R532=""),0,IF($K532&lt;=$R532,1,0)))</f>
        <v/>
      </c>
      <c r="U532" s="38" t="str">
        <f aca="false">IF(OR($K532="",$J532=""),"",MAX(0,$K532-$J532))</f>
        <v/>
      </c>
      <c r="V532" s="31" t="str">
        <f aca="false">IF($E532="","",IF(AND($M532&lt;&gt;"",$J532&lt;&gt;"",$M532&lt;&gt;$J532),1,0))</f>
        <v/>
      </c>
      <c r="W532" s="39" t="str">
        <f aca="false">IF($E532="","",IF($L532="Cancelada",0,IF(OR($K532&lt;&gt;"",$L532="Concluída"),1,0)))</f>
        <v/>
      </c>
    </row>
    <row r="533" customFormat="false" ht="15" hidden="false" customHeight="true" outlineLevel="0" collapsed="false">
      <c r="A533" s="31" t="str">
        <f aca="false">IF($E533="","",COUNTA($E$5:$E533))</f>
        <v/>
      </c>
      <c r="B533" s="32"/>
      <c r="C533" s="32"/>
      <c r="D533" s="32"/>
      <c r="E533" s="32"/>
      <c r="F533" s="33"/>
      <c r="G533" s="32"/>
      <c r="H533" s="34"/>
      <c r="I533" s="35"/>
      <c r="J533" s="36" t="str">
        <f aca="false">IF(OR($H533="",$I533=""),"",$H533+MATCH($I533,Listas!$F$5:$F$11,0)-1)</f>
        <v/>
      </c>
      <c r="K533" s="37"/>
      <c r="L533" s="33"/>
      <c r="M533" s="37"/>
      <c r="N533" s="32"/>
      <c r="O533" s="32"/>
      <c r="P533" s="38" t="str">
        <f aca="true">IF($E533="","",IF($L533="Cancelada","Cancelada",IF(OR($K533&lt;&gt;"",$L533="Concluída"),IF(OR($J533="",$K533="",$K533&lt;=$J533),"Concluída","Concluída com atraso"),IF($J533="","Na carteira",IF($J533&lt;TODAY(),"VENCIDA",IF($L533="Em execução","Em execução",IF($J533=TODAY(),"Hoje","Programada")))))))</f>
        <v/>
      </c>
      <c r="Q533" s="31" t="str">
        <f aca="false">IF($E533="","",IF(ISNUMBER(SEARCH("(externo)",$G533)),"Terceirizada","Interna"))</f>
        <v/>
      </c>
      <c r="R533" s="36" t="str">
        <f aca="false">IF($J533="","",IF($M533="",$J533,$M533))</f>
        <v/>
      </c>
      <c r="S533" s="31" t="str">
        <f aca="false">IF($E533="","",IF(OR($K533="",$J533=""),0,IF($K533&lt;=$J533,1,0)))</f>
        <v/>
      </c>
      <c r="T533" s="31" t="str">
        <f aca="false">IF($E533="","",IF(OR($K533="",$R533=""),0,IF($K533&lt;=$R533,1,0)))</f>
        <v/>
      </c>
      <c r="U533" s="38" t="str">
        <f aca="false">IF(OR($K533="",$J533=""),"",MAX(0,$K533-$J533))</f>
        <v/>
      </c>
      <c r="V533" s="31" t="str">
        <f aca="false">IF($E533="","",IF(AND($M533&lt;&gt;"",$J533&lt;&gt;"",$M533&lt;&gt;$J533),1,0))</f>
        <v/>
      </c>
      <c r="W533" s="39" t="str">
        <f aca="false">IF($E533="","",IF($L533="Cancelada",0,IF(OR($K533&lt;&gt;"",$L533="Concluída"),1,0)))</f>
        <v/>
      </c>
    </row>
    <row r="534" customFormat="false" ht="15" hidden="false" customHeight="true" outlineLevel="0" collapsed="false">
      <c r="A534" s="31" t="str">
        <f aca="false">IF($E534="","",COUNTA($E$5:$E534))</f>
        <v/>
      </c>
      <c r="B534" s="32"/>
      <c r="C534" s="32"/>
      <c r="D534" s="32"/>
      <c r="E534" s="32"/>
      <c r="F534" s="33"/>
      <c r="G534" s="32"/>
      <c r="H534" s="34"/>
      <c r="I534" s="35"/>
      <c r="J534" s="36" t="str">
        <f aca="false">IF(OR($H534="",$I534=""),"",$H534+MATCH($I534,Listas!$F$5:$F$11,0)-1)</f>
        <v/>
      </c>
      <c r="K534" s="37"/>
      <c r="L534" s="33"/>
      <c r="M534" s="37"/>
      <c r="N534" s="32"/>
      <c r="O534" s="32"/>
      <c r="P534" s="38" t="str">
        <f aca="true">IF($E534="","",IF($L534="Cancelada","Cancelada",IF(OR($K534&lt;&gt;"",$L534="Concluída"),IF(OR($J534="",$K534="",$K534&lt;=$J534),"Concluída","Concluída com atraso"),IF($J534="","Na carteira",IF($J534&lt;TODAY(),"VENCIDA",IF($L534="Em execução","Em execução",IF($J534=TODAY(),"Hoje","Programada")))))))</f>
        <v/>
      </c>
      <c r="Q534" s="31" t="str">
        <f aca="false">IF($E534="","",IF(ISNUMBER(SEARCH("(externo)",$G534)),"Terceirizada","Interna"))</f>
        <v/>
      </c>
      <c r="R534" s="36" t="str">
        <f aca="false">IF($J534="","",IF($M534="",$J534,$M534))</f>
        <v/>
      </c>
      <c r="S534" s="31" t="str">
        <f aca="false">IF($E534="","",IF(OR($K534="",$J534=""),0,IF($K534&lt;=$J534,1,0)))</f>
        <v/>
      </c>
      <c r="T534" s="31" t="str">
        <f aca="false">IF($E534="","",IF(OR($K534="",$R534=""),0,IF($K534&lt;=$R534,1,0)))</f>
        <v/>
      </c>
      <c r="U534" s="38" t="str">
        <f aca="false">IF(OR($K534="",$J534=""),"",MAX(0,$K534-$J534))</f>
        <v/>
      </c>
      <c r="V534" s="31" t="str">
        <f aca="false">IF($E534="","",IF(AND($M534&lt;&gt;"",$J534&lt;&gt;"",$M534&lt;&gt;$J534),1,0))</f>
        <v/>
      </c>
      <c r="W534" s="39" t="str">
        <f aca="false">IF($E534="","",IF($L534="Cancelada",0,IF(OR($K534&lt;&gt;"",$L534="Concluída"),1,0)))</f>
        <v/>
      </c>
    </row>
    <row r="535" customFormat="false" ht="15" hidden="false" customHeight="true" outlineLevel="0" collapsed="false">
      <c r="A535" s="31" t="str">
        <f aca="false">IF($E535="","",COUNTA($E$5:$E535))</f>
        <v/>
      </c>
      <c r="B535" s="32"/>
      <c r="C535" s="32"/>
      <c r="D535" s="32"/>
      <c r="E535" s="32"/>
      <c r="F535" s="33"/>
      <c r="G535" s="32"/>
      <c r="H535" s="34"/>
      <c r="I535" s="35"/>
      <c r="J535" s="36" t="str">
        <f aca="false">IF(OR($H535="",$I535=""),"",$H535+MATCH($I535,Listas!$F$5:$F$11,0)-1)</f>
        <v/>
      </c>
      <c r="K535" s="37"/>
      <c r="L535" s="33"/>
      <c r="M535" s="37"/>
      <c r="N535" s="32"/>
      <c r="O535" s="32"/>
      <c r="P535" s="38" t="str">
        <f aca="true">IF($E535="","",IF($L535="Cancelada","Cancelada",IF(OR($K535&lt;&gt;"",$L535="Concluída"),IF(OR($J535="",$K535="",$K535&lt;=$J535),"Concluída","Concluída com atraso"),IF($J535="","Na carteira",IF($J535&lt;TODAY(),"VENCIDA",IF($L535="Em execução","Em execução",IF($J535=TODAY(),"Hoje","Programada")))))))</f>
        <v/>
      </c>
      <c r="Q535" s="31" t="str">
        <f aca="false">IF($E535="","",IF(ISNUMBER(SEARCH("(externo)",$G535)),"Terceirizada","Interna"))</f>
        <v/>
      </c>
      <c r="R535" s="36" t="str">
        <f aca="false">IF($J535="","",IF($M535="",$J535,$M535))</f>
        <v/>
      </c>
      <c r="S535" s="31" t="str">
        <f aca="false">IF($E535="","",IF(OR($K535="",$J535=""),0,IF($K535&lt;=$J535,1,0)))</f>
        <v/>
      </c>
      <c r="T535" s="31" t="str">
        <f aca="false">IF($E535="","",IF(OR($K535="",$R535=""),0,IF($K535&lt;=$R535,1,0)))</f>
        <v/>
      </c>
      <c r="U535" s="38" t="str">
        <f aca="false">IF(OR($K535="",$J535=""),"",MAX(0,$K535-$J535))</f>
        <v/>
      </c>
      <c r="V535" s="31" t="str">
        <f aca="false">IF($E535="","",IF(AND($M535&lt;&gt;"",$J535&lt;&gt;"",$M535&lt;&gt;$J535),1,0))</f>
        <v/>
      </c>
      <c r="W535" s="39" t="str">
        <f aca="false">IF($E535="","",IF($L535="Cancelada",0,IF(OR($K535&lt;&gt;"",$L535="Concluída"),1,0)))</f>
        <v/>
      </c>
    </row>
    <row r="536" customFormat="false" ht="15" hidden="false" customHeight="true" outlineLevel="0" collapsed="false">
      <c r="A536" s="31" t="str">
        <f aca="false">IF($E536="","",COUNTA($E$5:$E536))</f>
        <v/>
      </c>
      <c r="B536" s="32"/>
      <c r="C536" s="32"/>
      <c r="D536" s="32"/>
      <c r="E536" s="32"/>
      <c r="F536" s="33"/>
      <c r="G536" s="32"/>
      <c r="H536" s="34"/>
      <c r="I536" s="35"/>
      <c r="J536" s="36" t="str">
        <f aca="false">IF(OR($H536="",$I536=""),"",$H536+MATCH($I536,Listas!$F$5:$F$11,0)-1)</f>
        <v/>
      </c>
      <c r="K536" s="37"/>
      <c r="L536" s="33"/>
      <c r="M536" s="37"/>
      <c r="N536" s="32"/>
      <c r="O536" s="32"/>
      <c r="P536" s="38" t="str">
        <f aca="true">IF($E536="","",IF($L536="Cancelada","Cancelada",IF(OR($K536&lt;&gt;"",$L536="Concluída"),IF(OR($J536="",$K536="",$K536&lt;=$J536),"Concluída","Concluída com atraso"),IF($J536="","Na carteira",IF($J536&lt;TODAY(),"VENCIDA",IF($L536="Em execução","Em execução",IF($J536=TODAY(),"Hoje","Programada")))))))</f>
        <v/>
      </c>
      <c r="Q536" s="31" t="str">
        <f aca="false">IF($E536="","",IF(ISNUMBER(SEARCH("(externo)",$G536)),"Terceirizada","Interna"))</f>
        <v/>
      </c>
      <c r="R536" s="36" t="str">
        <f aca="false">IF($J536="","",IF($M536="",$J536,$M536))</f>
        <v/>
      </c>
      <c r="S536" s="31" t="str">
        <f aca="false">IF($E536="","",IF(OR($K536="",$J536=""),0,IF($K536&lt;=$J536,1,0)))</f>
        <v/>
      </c>
      <c r="T536" s="31" t="str">
        <f aca="false">IF($E536="","",IF(OR($K536="",$R536=""),0,IF($K536&lt;=$R536,1,0)))</f>
        <v/>
      </c>
      <c r="U536" s="38" t="str">
        <f aca="false">IF(OR($K536="",$J536=""),"",MAX(0,$K536-$J536))</f>
        <v/>
      </c>
      <c r="V536" s="31" t="str">
        <f aca="false">IF($E536="","",IF(AND($M536&lt;&gt;"",$J536&lt;&gt;"",$M536&lt;&gt;$J536),1,0))</f>
        <v/>
      </c>
      <c r="W536" s="39" t="str">
        <f aca="false">IF($E536="","",IF($L536="Cancelada",0,IF(OR($K536&lt;&gt;"",$L536="Concluída"),1,0)))</f>
        <v/>
      </c>
    </row>
    <row r="537" customFormat="false" ht="15" hidden="false" customHeight="true" outlineLevel="0" collapsed="false">
      <c r="A537" s="31" t="str">
        <f aca="false">IF($E537="","",COUNTA($E$5:$E537))</f>
        <v/>
      </c>
      <c r="B537" s="32"/>
      <c r="C537" s="32"/>
      <c r="D537" s="32"/>
      <c r="E537" s="32"/>
      <c r="F537" s="33"/>
      <c r="G537" s="32"/>
      <c r="H537" s="34"/>
      <c r="I537" s="35"/>
      <c r="J537" s="36" t="str">
        <f aca="false">IF(OR($H537="",$I537=""),"",$H537+MATCH($I537,Listas!$F$5:$F$11,0)-1)</f>
        <v/>
      </c>
      <c r="K537" s="37"/>
      <c r="L537" s="33"/>
      <c r="M537" s="37"/>
      <c r="N537" s="32"/>
      <c r="O537" s="32"/>
      <c r="P537" s="38" t="str">
        <f aca="true">IF($E537="","",IF($L537="Cancelada","Cancelada",IF(OR($K537&lt;&gt;"",$L537="Concluída"),IF(OR($J537="",$K537="",$K537&lt;=$J537),"Concluída","Concluída com atraso"),IF($J537="","Na carteira",IF($J537&lt;TODAY(),"VENCIDA",IF($L537="Em execução","Em execução",IF($J537=TODAY(),"Hoje","Programada")))))))</f>
        <v/>
      </c>
      <c r="Q537" s="31" t="str">
        <f aca="false">IF($E537="","",IF(ISNUMBER(SEARCH("(externo)",$G537)),"Terceirizada","Interna"))</f>
        <v/>
      </c>
      <c r="R537" s="36" t="str">
        <f aca="false">IF($J537="","",IF($M537="",$J537,$M537))</f>
        <v/>
      </c>
      <c r="S537" s="31" t="str">
        <f aca="false">IF($E537="","",IF(OR($K537="",$J537=""),0,IF($K537&lt;=$J537,1,0)))</f>
        <v/>
      </c>
      <c r="T537" s="31" t="str">
        <f aca="false">IF($E537="","",IF(OR($K537="",$R537=""),0,IF($K537&lt;=$R537,1,0)))</f>
        <v/>
      </c>
      <c r="U537" s="38" t="str">
        <f aca="false">IF(OR($K537="",$J537=""),"",MAX(0,$K537-$J537))</f>
        <v/>
      </c>
      <c r="V537" s="31" t="str">
        <f aca="false">IF($E537="","",IF(AND($M537&lt;&gt;"",$J537&lt;&gt;"",$M537&lt;&gt;$J537),1,0))</f>
        <v/>
      </c>
      <c r="W537" s="39" t="str">
        <f aca="false">IF($E537="","",IF($L537="Cancelada",0,IF(OR($K537&lt;&gt;"",$L537="Concluída"),1,0)))</f>
        <v/>
      </c>
    </row>
    <row r="538" customFormat="false" ht="15" hidden="false" customHeight="true" outlineLevel="0" collapsed="false">
      <c r="A538" s="31" t="str">
        <f aca="false">IF($E538="","",COUNTA($E$5:$E538))</f>
        <v/>
      </c>
      <c r="B538" s="32"/>
      <c r="C538" s="32"/>
      <c r="D538" s="32"/>
      <c r="E538" s="32"/>
      <c r="F538" s="33"/>
      <c r="G538" s="32"/>
      <c r="H538" s="34"/>
      <c r="I538" s="35"/>
      <c r="J538" s="36" t="str">
        <f aca="false">IF(OR($H538="",$I538=""),"",$H538+MATCH($I538,Listas!$F$5:$F$11,0)-1)</f>
        <v/>
      </c>
      <c r="K538" s="37"/>
      <c r="L538" s="33"/>
      <c r="M538" s="37"/>
      <c r="N538" s="32"/>
      <c r="O538" s="32"/>
      <c r="P538" s="38" t="str">
        <f aca="true">IF($E538="","",IF($L538="Cancelada","Cancelada",IF(OR($K538&lt;&gt;"",$L538="Concluída"),IF(OR($J538="",$K538="",$K538&lt;=$J538),"Concluída","Concluída com atraso"),IF($J538="","Na carteira",IF($J538&lt;TODAY(),"VENCIDA",IF($L538="Em execução","Em execução",IF($J538=TODAY(),"Hoje","Programada")))))))</f>
        <v/>
      </c>
      <c r="Q538" s="31" t="str">
        <f aca="false">IF($E538="","",IF(ISNUMBER(SEARCH("(externo)",$G538)),"Terceirizada","Interna"))</f>
        <v/>
      </c>
      <c r="R538" s="36" t="str">
        <f aca="false">IF($J538="","",IF($M538="",$J538,$M538))</f>
        <v/>
      </c>
      <c r="S538" s="31" t="str">
        <f aca="false">IF($E538="","",IF(OR($K538="",$J538=""),0,IF($K538&lt;=$J538,1,0)))</f>
        <v/>
      </c>
      <c r="T538" s="31" t="str">
        <f aca="false">IF($E538="","",IF(OR($K538="",$R538=""),0,IF($K538&lt;=$R538,1,0)))</f>
        <v/>
      </c>
      <c r="U538" s="38" t="str">
        <f aca="false">IF(OR($K538="",$J538=""),"",MAX(0,$K538-$J538))</f>
        <v/>
      </c>
      <c r="V538" s="31" t="str">
        <f aca="false">IF($E538="","",IF(AND($M538&lt;&gt;"",$J538&lt;&gt;"",$M538&lt;&gt;$J538),1,0))</f>
        <v/>
      </c>
      <c r="W538" s="39" t="str">
        <f aca="false">IF($E538="","",IF($L538="Cancelada",0,IF(OR($K538&lt;&gt;"",$L538="Concluída"),1,0)))</f>
        <v/>
      </c>
    </row>
    <row r="539" customFormat="false" ht="15" hidden="false" customHeight="true" outlineLevel="0" collapsed="false">
      <c r="A539" s="31" t="str">
        <f aca="false">IF($E539="","",COUNTA($E$5:$E539))</f>
        <v/>
      </c>
      <c r="B539" s="32"/>
      <c r="C539" s="32"/>
      <c r="D539" s="32"/>
      <c r="E539" s="32"/>
      <c r="F539" s="33"/>
      <c r="G539" s="32"/>
      <c r="H539" s="34"/>
      <c r="I539" s="35"/>
      <c r="J539" s="36" t="str">
        <f aca="false">IF(OR($H539="",$I539=""),"",$H539+MATCH($I539,Listas!$F$5:$F$11,0)-1)</f>
        <v/>
      </c>
      <c r="K539" s="37"/>
      <c r="L539" s="33"/>
      <c r="M539" s="37"/>
      <c r="N539" s="32"/>
      <c r="O539" s="32"/>
      <c r="P539" s="38" t="str">
        <f aca="true">IF($E539="","",IF($L539="Cancelada","Cancelada",IF(OR($K539&lt;&gt;"",$L539="Concluída"),IF(OR($J539="",$K539="",$K539&lt;=$J539),"Concluída","Concluída com atraso"),IF($J539="","Na carteira",IF($J539&lt;TODAY(),"VENCIDA",IF($L539="Em execução","Em execução",IF($J539=TODAY(),"Hoje","Programada")))))))</f>
        <v/>
      </c>
      <c r="Q539" s="31" t="str">
        <f aca="false">IF($E539="","",IF(ISNUMBER(SEARCH("(externo)",$G539)),"Terceirizada","Interna"))</f>
        <v/>
      </c>
      <c r="R539" s="36" t="str">
        <f aca="false">IF($J539="","",IF($M539="",$J539,$M539))</f>
        <v/>
      </c>
      <c r="S539" s="31" t="str">
        <f aca="false">IF($E539="","",IF(OR($K539="",$J539=""),0,IF($K539&lt;=$J539,1,0)))</f>
        <v/>
      </c>
      <c r="T539" s="31" t="str">
        <f aca="false">IF($E539="","",IF(OR($K539="",$R539=""),0,IF($K539&lt;=$R539,1,0)))</f>
        <v/>
      </c>
      <c r="U539" s="38" t="str">
        <f aca="false">IF(OR($K539="",$J539=""),"",MAX(0,$K539-$J539))</f>
        <v/>
      </c>
      <c r="V539" s="31" t="str">
        <f aca="false">IF($E539="","",IF(AND($M539&lt;&gt;"",$J539&lt;&gt;"",$M539&lt;&gt;$J539),1,0))</f>
        <v/>
      </c>
      <c r="W539" s="39" t="str">
        <f aca="false">IF($E539="","",IF($L539="Cancelada",0,IF(OR($K539&lt;&gt;"",$L539="Concluída"),1,0)))</f>
        <v/>
      </c>
    </row>
    <row r="540" customFormat="false" ht="15" hidden="false" customHeight="true" outlineLevel="0" collapsed="false">
      <c r="A540" s="31" t="str">
        <f aca="false">IF($E540="","",COUNTA($E$5:$E540))</f>
        <v/>
      </c>
      <c r="B540" s="32"/>
      <c r="C540" s="32"/>
      <c r="D540" s="32"/>
      <c r="E540" s="32"/>
      <c r="F540" s="33"/>
      <c r="G540" s="32"/>
      <c r="H540" s="34"/>
      <c r="I540" s="35"/>
      <c r="J540" s="36" t="str">
        <f aca="false">IF(OR($H540="",$I540=""),"",$H540+MATCH($I540,Listas!$F$5:$F$11,0)-1)</f>
        <v/>
      </c>
      <c r="K540" s="37"/>
      <c r="L540" s="33"/>
      <c r="M540" s="37"/>
      <c r="N540" s="32"/>
      <c r="O540" s="32"/>
      <c r="P540" s="38" t="str">
        <f aca="true">IF($E540="","",IF($L540="Cancelada","Cancelada",IF(OR($K540&lt;&gt;"",$L540="Concluída"),IF(OR($J540="",$K540="",$K540&lt;=$J540),"Concluída","Concluída com atraso"),IF($J540="","Na carteira",IF($J540&lt;TODAY(),"VENCIDA",IF($L540="Em execução","Em execução",IF($J540=TODAY(),"Hoje","Programada")))))))</f>
        <v/>
      </c>
      <c r="Q540" s="31" t="str">
        <f aca="false">IF($E540="","",IF(ISNUMBER(SEARCH("(externo)",$G540)),"Terceirizada","Interna"))</f>
        <v/>
      </c>
      <c r="R540" s="36" t="str">
        <f aca="false">IF($J540="","",IF($M540="",$J540,$M540))</f>
        <v/>
      </c>
      <c r="S540" s="31" t="str">
        <f aca="false">IF($E540="","",IF(OR($K540="",$J540=""),0,IF($K540&lt;=$J540,1,0)))</f>
        <v/>
      </c>
      <c r="T540" s="31" t="str">
        <f aca="false">IF($E540="","",IF(OR($K540="",$R540=""),0,IF($K540&lt;=$R540,1,0)))</f>
        <v/>
      </c>
      <c r="U540" s="38" t="str">
        <f aca="false">IF(OR($K540="",$J540=""),"",MAX(0,$K540-$J540))</f>
        <v/>
      </c>
      <c r="V540" s="31" t="str">
        <f aca="false">IF($E540="","",IF(AND($M540&lt;&gt;"",$J540&lt;&gt;"",$M540&lt;&gt;$J540),1,0))</f>
        <v/>
      </c>
      <c r="W540" s="39" t="str">
        <f aca="false">IF($E540="","",IF($L540="Cancelada",0,IF(OR($K540&lt;&gt;"",$L540="Concluída"),1,0)))</f>
        <v/>
      </c>
    </row>
    <row r="541" customFormat="false" ht="15" hidden="false" customHeight="true" outlineLevel="0" collapsed="false">
      <c r="A541" s="31" t="str">
        <f aca="false">IF($E541="","",COUNTA($E$5:$E541))</f>
        <v/>
      </c>
      <c r="B541" s="32"/>
      <c r="C541" s="32"/>
      <c r="D541" s="32"/>
      <c r="E541" s="32"/>
      <c r="F541" s="33"/>
      <c r="G541" s="32"/>
      <c r="H541" s="34"/>
      <c r="I541" s="35"/>
      <c r="J541" s="36" t="str">
        <f aca="false">IF(OR($H541="",$I541=""),"",$H541+MATCH($I541,Listas!$F$5:$F$11,0)-1)</f>
        <v/>
      </c>
      <c r="K541" s="37"/>
      <c r="L541" s="33"/>
      <c r="M541" s="37"/>
      <c r="N541" s="32"/>
      <c r="O541" s="32"/>
      <c r="P541" s="38" t="str">
        <f aca="true">IF($E541="","",IF($L541="Cancelada","Cancelada",IF(OR($K541&lt;&gt;"",$L541="Concluída"),IF(OR($J541="",$K541="",$K541&lt;=$J541),"Concluída","Concluída com atraso"),IF($J541="","Na carteira",IF($J541&lt;TODAY(),"VENCIDA",IF($L541="Em execução","Em execução",IF($J541=TODAY(),"Hoje","Programada")))))))</f>
        <v/>
      </c>
      <c r="Q541" s="31" t="str">
        <f aca="false">IF($E541="","",IF(ISNUMBER(SEARCH("(externo)",$G541)),"Terceirizada","Interna"))</f>
        <v/>
      </c>
      <c r="R541" s="36" t="str">
        <f aca="false">IF($J541="","",IF($M541="",$J541,$M541))</f>
        <v/>
      </c>
      <c r="S541" s="31" t="str">
        <f aca="false">IF($E541="","",IF(OR($K541="",$J541=""),0,IF($K541&lt;=$J541,1,0)))</f>
        <v/>
      </c>
      <c r="T541" s="31" t="str">
        <f aca="false">IF($E541="","",IF(OR($K541="",$R541=""),0,IF($K541&lt;=$R541,1,0)))</f>
        <v/>
      </c>
      <c r="U541" s="38" t="str">
        <f aca="false">IF(OR($K541="",$J541=""),"",MAX(0,$K541-$J541))</f>
        <v/>
      </c>
      <c r="V541" s="31" t="str">
        <f aca="false">IF($E541="","",IF(AND($M541&lt;&gt;"",$J541&lt;&gt;"",$M541&lt;&gt;$J541),1,0))</f>
        <v/>
      </c>
      <c r="W541" s="39" t="str">
        <f aca="false">IF($E541="","",IF($L541="Cancelada",0,IF(OR($K541&lt;&gt;"",$L541="Concluída"),1,0)))</f>
        <v/>
      </c>
    </row>
    <row r="542" customFormat="false" ht="15" hidden="false" customHeight="true" outlineLevel="0" collapsed="false">
      <c r="A542" s="31" t="str">
        <f aca="false">IF($E542="","",COUNTA($E$5:$E542))</f>
        <v/>
      </c>
      <c r="B542" s="32"/>
      <c r="C542" s="32"/>
      <c r="D542" s="32"/>
      <c r="E542" s="32"/>
      <c r="F542" s="33"/>
      <c r="G542" s="32"/>
      <c r="H542" s="34"/>
      <c r="I542" s="35"/>
      <c r="J542" s="36" t="str">
        <f aca="false">IF(OR($H542="",$I542=""),"",$H542+MATCH($I542,Listas!$F$5:$F$11,0)-1)</f>
        <v/>
      </c>
      <c r="K542" s="37"/>
      <c r="L542" s="33"/>
      <c r="M542" s="37"/>
      <c r="N542" s="32"/>
      <c r="O542" s="32"/>
      <c r="P542" s="38" t="str">
        <f aca="true">IF($E542="","",IF($L542="Cancelada","Cancelada",IF(OR($K542&lt;&gt;"",$L542="Concluída"),IF(OR($J542="",$K542="",$K542&lt;=$J542),"Concluída","Concluída com atraso"),IF($J542="","Na carteira",IF($J542&lt;TODAY(),"VENCIDA",IF($L542="Em execução","Em execução",IF($J542=TODAY(),"Hoje","Programada")))))))</f>
        <v/>
      </c>
      <c r="Q542" s="31" t="str">
        <f aca="false">IF($E542="","",IF(ISNUMBER(SEARCH("(externo)",$G542)),"Terceirizada","Interna"))</f>
        <v/>
      </c>
      <c r="R542" s="36" t="str">
        <f aca="false">IF($J542="","",IF($M542="",$J542,$M542))</f>
        <v/>
      </c>
      <c r="S542" s="31" t="str">
        <f aca="false">IF($E542="","",IF(OR($K542="",$J542=""),0,IF($K542&lt;=$J542,1,0)))</f>
        <v/>
      </c>
      <c r="T542" s="31" t="str">
        <f aca="false">IF($E542="","",IF(OR($K542="",$R542=""),0,IF($K542&lt;=$R542,1,0)))</f>
        <v/>
      </c>
      <c r="U542" s="38" t="str">
        <f aca="false">IF(OR($K542="",$J542=""),"",MAX(0,$K542-$J542))</f>
        <v/>
      </c>
      <c r="V542" s="31" t="str">
        <f aca="false">IF($E542="","",IF(AND($M542&lt;&gt;"",$J542&lt;&gt;"",$M542&lt;&gt;$J542),1,0))</f>
        <v/>
      </c>
      <c r="W542" s="39" t="str">
        <f aca="false">IF($E542="","",IF($L542="Cancelada",0,IF(OR($K542&lt;&gt;"",$L542="Concluída"),1,0)))</f>
        <v/>
      </c>
    </row>
    <row r="543" customFormat="false" ht="15" hidden="false" customHeight="true" outlineLevel="0" collapsed="false">
      <c r="A543" s="31" t="str">
        <f aca="false">IF($E543="","",COUNTA($E$5:$E543))</f>
        <v/>
      </c>
      <c r="B543" s="32"/>
      <c r="C543" s="32"/>
      <c r="D543" s="32"/>
      <c r="E543" s="32"/>
      <c r="F543" s="33"/>
      <c r="G543" s="32"/>
      <c r="H543" s="34"/>
      <c r="I543" s="35"/>
      <c r="J543" s="36" t="str">
        <f aca="false">IF(OR($H543="",$I543=""),"",$H543+MATCH($I543,Listas!$F$5:$F$11,0)-1)</f>
        <v/>
      </c>
      <c r="K543" s="37"/>
      <c r="L543" s="33"/>
      <c r="M543" s="37"/>
      <c r="N543" s="32"/>
      <c r="O543" s="32"/>
      <c r="P543" s="38" t="str">
        <f aca="true">IF($E543="","",IF($L543="Cancelada","Cancelada",IF(OR($K543&lt;&gt;"",$L543="Concluída"),IF(OR($J543="",$K543="",$K543&lt;=$J543),"Concluída","Concluída com atraso"),IF($J543="","Na carteira",IF($J543&lt;TODAY(),"VENCIDA",IF($L543="Em execução","Em execução",IF($J543=TODAY(),"Hoje","Programada")))))))</f>
        <v/>
      </c>
      <c r="Q543" s="31" t="str">
        <f aca="false">IF($E543="","",IF(ISNUMBER(SEARCH("(externo)",$G543)),"Terceirizada","Interna"))</f>
        <v/>
      </c>
      <c r="R543" s="36" t="str">
        <f aca="false">IF($J543="","",IF($M543="",$J543,$M543))</f>
        <v/>
      </c>
      <c r="S543" s="31" t="str">
        <f aca="false">IF($E543="","",IF(OR($K543="",$J543=""),0,IF($K543&lt;=$J543,1,0)))</f>
        <v/>
      </c>
      <c r="T543" s="31" t="str">
        <f aca="false">IF($E543="","",IF(OR($K543="",$R543=""),0,IF($K543&lt;=$R543,1,0)))</f>
        <v/>
      </c>
      <c r="U543" s="38" t="str">
        <f aca="false">IF(OR($K543="",$J543=""),"",MAX(0,$K543-$J543))</f>
        <v/>
      </c>
      <c r="V543" s="31" t="str">
        <f aca="false">IF($E543="","",IF(AND($M543&lt;&gt;"",$J543&lt;&gt;"",$M543&lt;&gt;$J543),1,0))</f>
        <v/>
      </c>
      <c r="W543" s="39" t="str">
        <f aca="false">IF($E543="","",IF($L543="Cancelada",0,IF(OR($K543&lt;&gt;"",$L543="Concluída"),1,0)))</f>
        <v/>
      </c>
    </row>
    <row r="544" customFormat="false" ht="15" hidden="false" customHeight="true" outlineLevel="0" collapsed="false">
      <c r="A544" s="31" t="str">
        <f aca="false">IF($E544="","",COUNTA($E$5:$E544))</f>
        <v/>
      </c>
      <c r="B544" s="32"/>
      <c r="C544" s="32"/>
      <c r="D544" s="32"/>
      <c r="E544" s="32"/>
      <c r="F544" s="33"/>
      <c r="G544" s="32"/>
      <c r="H544" s="34"/>
      <c r="I544" s="35"/>
      <c r="J544" s="36" t="str">
        <f aca="false">IF(OR($H544="",$I544=""),"",$H544+MATCH($I544,Listas!$F$5:$F$11,0)-1)</f>
        <v/>
      </c>
      <c r="K544" s="37"/>
      <c r="L544" s="33"/>
      <c r="M544" s="37"/>
      <c r="N544" s="32"/>
      <c r="O544" s="32"/>
      <c r="P544" s="38" t="str">
        <f aca="true">IF($E544="","",IF($L544="Cancelada","Cancelada",IF(OR($K544&lt;&gt;"",$L544="Concluída"),IF(OR($J544="",$K544="",$K544&lt;=$J544),"Concluída","Concluída com atraso"),IF($J544="","Na carteira",IF($J544&lt;TODAY(),"VENCIDA",IF($L544="Em execução","Em execução",IF($J544=TODAY(),"Hoje","Programada")))))))</f>
        <v/>
      </c>
      <c r="Q544" s="31" t="str">
        <f aca="false">IF($E544="","",IF(ISNUMBER(SEARCH("(externo)",$G544)),"Terceirizada","Interna"))</f>
        <v/>
      </c>
      <c r="R544" s="36" t="str">
        <f aca="false">IF($J544="","",IF($M544="",$J544,$M544))</f>
        <v/>
      </c>
      <c r="S544" s="31" t="str">
        <f aca="false">IF($E544="","",IF(OR($K544="",$J544=""),0,IF($K544&lt;=$J544,1,0)))</f>
        <v/>
      </c>
      <c r="T544" s="31" t="str">
        <f aca="false">IF($E544="","",IF(OR($K544="",$R544=""),0,IF($K544&lt;=$R544,1,0)))</f>
        <v/>
      </c>
      <c r="U544" s="38" t="str">
        <f aca="false">IF(OR($K544="",$J544=""),"",MAX(0,$K544-$J544))</f>
        <v/>
      </c>
      <c r="V544" s="31" t="str">
        <f aca="false">IF($E544="","",IF(AND($M544&lt;&gt;"",$J544&lt;&gt;"",$M544&lt;&gt;$J544),1,0))</f>
        <v/>
      </c>
      <c r="W544" s="39" t="str">
        <f aca="false">IF($E544="","",IF($L544="Cancelada",0,IF(OR($K544&lt;&gt;"",$L544="Concluída"),1,0)))</f>
        <v/>
      </c>
    </row>
    <row r="545" customFormat="false" ht="15" hidden="false" customHeight="true" outlineLevel="0" collapsed="false">
      <c r="A545" s="31" t="str">
        <f aca="false">IF($E545="","",COUNTA($E$5:$E545))</f>
        <v/>
      </c>
      <c r="B545" s="32"/>
      <c r="C545" s="32"/>
      <c r="D545" s="32"/>
      <c r="E545" s="32"/>
      <c r="F545" s="33"/>
      <c r="G545" s="32"/>
      <c r="H545" s="34"/>
      <c r="I545" s="35"/>
      <c r="J545" s="36" t="str">
        <f aca="false">IF(OR($H545="",$I545=""),"",$H545+MATCH($I545,Listas!$F$5:$F$11,0)-1)</f>
        <v/>
      </c>
      <c r="K545" s="37"/>
      <c r="L545" s="33"/>
      <c r="M545" s="37"/>
      <c r="N545" s="32"/>
      <c r="O545" s="32"/>
      <c r="P545" s="38" t="str">
        <f aca="true">IF($E545="","",IF($L545="Cancelada","Cancelada",IF(OR($K545&lt;&gt;"",$L545="Concluída"),IF(OR($J545="",$K545="",$K545&lt;=$J545),"Concluída","Concluída com atraso"),IF($J545="","Na carteira",IF($J545&lt;TODAY(),"VENCIDA",IF($L545="Em execução","Em execução",IF($J545=TODAY(),"Hoje","Programada")))))))</f>
        <v/>
      </c>
      <c r="Q545" s="31" t="str">
        <f aca="false">IF($E545="","",IF(ISNUMBER(SEARCH("(externo)",$G545)),"Terceirizada","Interna"))</f>
        <v/>
      </c>
      <c r="R545" s="36" t="str">
        <f aca="false">IF($J545="","",IF($M545="",$J545,$M545))</f>
        <v/>
      </c>
      <c r="S545" s="31" t="str">
        <f aca="false">IF($E545="","",IF(OR($K545="",$J545=""),0,IF($K545&lt;=$J545,1,0)))</f>
        <v/>
      </c>
      <c r="T545" s="31" t="str">
        <f aca="false">IF($E545="","",IF(OR($K545="",$R545=""),0,IF($K545&lt;=$R545,1,0)))</f>
        <v/>
      </c>
      <c r="U545" s="38" t="str">
        <f aca="false">IF(OR($K545="",$J545=""),"",MAX(0,$K545-$J545))</f>
        <v/>
      </c>
      <c r="V545" s="31" t="str">
        <f aca="false">IF($E545="","",IF(AND($M545&lt;&gt;"",$J545&lt;&gt;"",$M545&lt;&gt;$J545),1,0))</f>
        <v/>
      </c>
      <c r="W545" s="39" t="str">
        <f aca="false">IF($E545="","",IF($L545="Cancelada",0,IF(OR($K545&lt;&gt;"",$L545="Concluída"),1,0)))</f>
        <v/>
      </c>
    </row>
    <row r="546" customFormat="false" ht="15" hidden="false" customHeight="true" outlineLevel="0" collapsed="false">
      <c r="A546" s="31" t="str">
        <f aca="false">IF($E546="","",COUNTA($E$5:$E546))</f>
        <v/>
      </c>
      <c r="B546" s="32"/>
      <c r="C546" s="32"/>
      <c r="D546" s="32"/>
      <c r="E546" s="32"/>
      <c r="F546" s="33"/>
      <c r="G546" s="32"/>
      <c r="H546" s="34"/>
      <c r="I546" s="35"/>
      <c r="J546" s="36" t="str">
        <f aca="false">IF(OR($H546="",$I546=""),"",$H546+MATCH($I546,Listas!$F$5:$F$11,0)-1)</f>
        <v/>
      </c>
      <c r="K546" s="37"/>
      <c r="L546" s="33"/>
      <c r="M546" s="37"/>
      <c r="N546" s="32"/>
      <c r="O546" s="32"/>
      <c r="P546" s="38" t="str">
        <f aca="true">IF($E546="","",IF($L546="Cancelada","Cancelada",IF(OR($K546&lt;&gt;"",$L546="Concluída"),IF(OR($J546="",$K546="",$K546&lt;=$J546),"Concluída","Concluída com atraso"),IF($J546="","Na carteira",IF($J546&lt;TODAY(),"VENCIDA",IF($L546="Em execução","Em execução",IF($J546=TODAY(),"Hoje","Programada")))))))</f>
        <v/>
      </c>
      <c r="Q546" s="31" t="str">
        <f aca="false">IF($E546="","",IF(ISNUMBER(SEARCH("(externo)",$G546)),"Terceirizada","Interna"))</f>
        <v/>
      </c>
      <c r="R546" s="36" t="str">
        <f aca="false">IF($J546="","",IF($M546="",$J546,$M546))</f>
        <v/>
      </c>
      <c r="S546" s="31" t="str">
        <f aca="false">IF($E546="","",IF(OR($K546="",$J546=""),0,IF($K546&lt;=$J546,1,0)))</f>
        <v/>
      </c>
      <c r="T546" s="31" t="str">
        <f aca="false">IF($E546="","",IF(OR($K546="",$R546=""),0,IF($K546&lt;=$R546,1,0)))</f>
        <v/>
      </c>
      <c r="U546" s="38" t="str">
        <f aca="false">IF(OR($K546="",$J546=""),"",MAX(0,$K546-$J546))</f>
        <v/>
      </c>
      <c r="V546" s="31" t="str">
        <f aca="false">IF($E546="","",IF(AND($M546&lt;&gt;"",$J546&lt;&gt;"",$M546&lt;&gt;$J546),1,0))</f>
        <v/>
      </c>
      <c r="W546" s="39" t="str">
        <f aca="false">IF($E546="","",IF($L546="Cancelada",0,IF(OR($K546&lt;&gt;"",$L546="Concluída"),1,0)))</f>
        <v/>
      </c>
    </row>
    <row r="547" customFormat="false" ht="15" hidden="false" customHeight="true" outlineLevel="0" collapsed="false">
      <c r="A547" s="31" t="str">
        <f aca="false">IF($E547="","",COUNTA($E$5:$E547))</f>
        <v/>
      </c>
      <c r="B547" s="32"/>
      <c r="C547" s="32"/>
      <c r="D547" s="32"/>
      <c r="E547" s="32"/>
      <c r="F547" s="33"/>
      <c r="G547" s="32"/>
      <c r="H547" s="34"/>
      <c r="I547" s="35"/>
      <c r="J547" s="36" t="str">
        <f aca="false">IF(OR($H547="",$I547=""),"",$H547+MATCH($I547,Listas!$F$5:$F$11,0)-1)</f>
        <v/>
      </c>
      <c r="K547" s="37"/>
      <c r="L547" s="33"/>
      <c r="M547" s="37"/>
      <c r="N547" s="32"/>
      <c r="O547" s="32"/>
      <c r="P547" s="38" t="str">
        <f aca="true">IF($E547="","",IF($L547="Cancelada","Cancelada",IF(OR($K547&lt;&gt;"",$L547="Concluída"),IF(OR($J547="",$K547="",$K547&lt;=$J547),"Concluída","Concluída com atraso"),IF($J547="","Na carteira",IF($J547&lt;TODAY(),"VENCIDA",IF($L547="Em execução","Em execução",IF($J547=TODAY(),"Hoje","Programada")))))))</f>
        <v/>
      </c>
      <c r="Q547" s="31" t="str">
        <f aca="false">IF($E547="","",IF(ISNUMBER(SEARCH("(externo)",$G547)),"Terceirizada","Interna"))</f>
        <v/>
      </c>
      <c r="R547" s="36" t="str">
        <f aca="false">IF($J547="","",IF($M547="",$J547,$M547))</f>
        <v/>
      </c>
      <c r="S547" s="31" t="str">
        <f aca="false">IF($E547="","",IF(OR($K547="",$J547=""),0,IF($K547&lt;=$J547,1,0)))</f>
        <v/>
      </c>
      <c r="T547" s="31" t="str">
        <f aca="false">IF($E547="","",IF(OR($K547="",$R547=""),0,IF($K547&lt;=$R547,1,0)))</f>
        <v/>
      </c>
      <c r="U547" s="38" t="str">
        <f aca="false">IF(OR($K547="",$J547=""),"",MAX(0,$K547-$J547))</f>
        <v/>
      </c>
      <c r="V547" s="31" t="str">
        <f aca="false">IF($E547="","",IF(AND($M547&lt;&gt;"",$J547&lt;&gt;"",$M547&lt;&gt;$J547),1,0))</f>
        <v/>
      </c>
      <c r="W547" s="39" t="str">
        <f aca="false">IF($E547="","",IF($L547="Cancelada",0,IF(OR($K547&lt;&gt;"",$L547="Concluída"),1,0)))</f>
        <v/>
      </c>
    </row>
    <row r="548" customFormat="false" ht="15" hidden="false" customHeight="true" outlineLevel="0" collapsed="false">
      <c r="A548" s="31" t="str">
        <f aca="false">IF($E548="","",COUNTA($E$5:$E548))</f>
        <v/>
      </c>
      <c r="B548" s="32"/>
      <c r="C548" s="32"/>
      <c r="D548" s="32"/>
      <c r="E548" s="32"/>
      <c r="F548" s="33"/>
      <c r="G548" s="32"/>
      <c r="H548" s="34"/>
      <c r="I548" s="35"/>
      <c r="J548" s="36" t="str">
        <f aca="false">IF(OR($H548="",$I548=""),"",$H548+MATCH($I548,Listas!$F$5:$F$11,0)-1)</f>
        <v/>
      </c>
      <c r="K548" s="37"/>
      <c r="L548" s="33"/>
      <c r="M548" s="37"/>
      <c r="N548" s="32"/>
      <c r="O548" s="32"/>
      <c r="P548" s="38" t="str">
        <f aca="true">IF($E548="","",IF($L548="Cancelada","Cancelada",IF(OR($K548&lt;&gt;"",$L548="Concluída"),IF(OR($J548="",$K548="",$K548&lt;=$J548),"Concluída","Concluída com atraso"),IF($J548="","Na carteira",IF($J548&lt;TODAY(),"VENCIDA",IF($L548="Em execução","Em execução",IF($J548=TODAY(),"Hoje","Programada")))))))</f>
        <v/>
      </c>
      <c r="Q548" s="31" t="str">
        <f aca="false">IF($E548="","",IF(ISNUMBER(SEARCH("(externo)",$G548)),"Terceirizada","Interna"))</f>
        <v/>
      </c>
      <c r="R548" s="36" t="str">
        <f aca="false">IF($J548="","",IF($M548="",$J548,$M548))</f>
        <v/>
      </c>
      <c r="S548" s="31" t="str">
        <f aca="false">IF($E548="","",IF(OR($K548="",$J548=""),0,IF($K548&lt;=$J548,1,0)))</f>
        <v/>
      </c>
      <c r="T548" s="31" t="str">
        <f aca="false">IF($E548="","",IF(OR($K548="",$R548=""),0,IF($K548&lt;=$R548,1,0)))</f>
        <v/>
      </c>
      <c r="U548" s="38" t="str">
        <f aca="false">IF(OR($K548="",$J548=""),"",MAX(0,$K548-$J548))</f>
        <v/>
      </c>
      <c r="V548" s="31" t="str">
        <f aca="false">IF($E548="","",IF(AND($M548&lt;&gt;"",$J548&lt;&gt;"",$M548&lt;&gt;$J548),1,0))</f>
        <v/>
      </c>
      <c r="W548" s="39" t="str">
        <f aca="false">IF($E548="","",IF($L548="Cancelada",0,IF(OR($K548&lt;&gt;"",$L548="Concluída"),1,0)))</f>
        <v/>
      </c>
    </row>
    <row r="549" customFormat="false" ht="15" hidden="false" customHeight="true" outlineLevel="0" collapsed="false">
      <c r="A549" s="31" t="str">
        <f aca="false">IF($E549="","",COUNTA($E$5:$E549))</f>
        <v/>
      </c>
      <c r="B549" s="32"/>
      <c r="C549" s="32"/>
      <c r="D549" s="32"/>
      <c r="E549" s="32"/>
      <c r="F549" s="33"/>
      <c r="G549" s="32"/>
      <c r="H549" s="34"/>
      <c r="I549" s="35"/>
      <c r="J549" s="36" t="str">
        <f aca="false">IF(OR($H549="",$I549=""),"",$H549+MATCH($I549,Listas!$F$5:$F$11,0)-1)</f>
        <v/>
      </c>
      <c r="K549" s="37"/>
      <c r="L549" s="33"/>
      <c r="M549" s="37"/>
      <c r="N549" s="32"/>
      <c r="O549" s="32"/>
      <c r="P549" s="38" t="str">
        <f aca="true">IF($E549="","",IF($L549="Cancelada","Cancelada",IF(OR($K549&lt;&gt;"",$L549="Concluída"),IF(OR($J549="",$K549="",$K549&lt;=$J549),"Concluída","Concluída com atraso"),IF($J549="","Na carteira",IF($J549&lt;TODAY(),"VENCIDA",IF($L549="Em execução","Em execução",IF($J549=TODAY(),"Hoje","Programada")))))))</f>
        <v/>
      </c>
      <c r="Q549" s="31" t="str">
        <f aca="false">IF($E549="","",IF(ISNUMBER(SEARCH("(externo)",$G549)),"Terceirizada","Interna"))</f>
        <v/>
      </c>
      <c r="R549" s="36" t="str">
        <f aca="false">IF($J549="","",IF($M549="",$J549,$M549))</f>
        <v/>
      </c>
      <c r="S549" s="31" t="str">
        <f aca="false">IF($E549="","",IF(OR($K549="",$J549=""),0,IF($K549&lt;=$J549,1,0)))</f>
        <v/>
      </c>
      <c r="T549" s="31" t="str">
        <f aca="false">IF($E549="","",IF(OR($K549="",$R549=""),0,IF($K549&lt;=$R549,1,0)))</f>
        <v/>
      </c>
      <c r="U549" s="38" t="str">
        <f aca="false">IF(OR($K549="",$J549=""),"",MAX(0,$K549-$J549))</f>
        <v/>
      </c>
      <c r="V549" s="31" t="str">
        <f aca="false">IF($E549="","",IF(AND($M549&lt;&gt;"",$J549&lt;&gt;"",$M549&lt;&gt;$J549),1,0))</f>
        <v/>
      </c>
      <c r="W549" s="39" t="str">
        <f aca="false">IF($E549="","",IF($L549="Cancelada",0,IF(OR($K549&lt;&gt;"",$L549="Concluída"),1,0)))</f>
        <v/>
      </c>
    </row>
    <row r="550" customFormat="false" ht="15" hidden="false" customHeight="true" outlineLevel="0" collapsed="false">
      <c r="A550" s="31" t="str">
        <f aca="false">IF($E550="","",COUNTA($E$5:$E550))</f>
        <v/>
      </c>
      <c r="B550" s="32"/>
      <c r="C550" s="32"/>
      <c r="D550" s="32"/>
      <c r="E550" s="32"/>
      <c r="F550" s="33"/>
      <c r="G550" s="32"/>
      <c r="H550" s="34"/>
      <c r="I550" s="35"/>
      <c r="J550" s="36" t="str">
        <f aca="false">IF(OR($H550="",$I550=""),"",$H550+MATCH($I550,Listas!$F$5:$F$11,0)-1)</f>
        <v/>
      </c>
      <c r="K550" s="37"/>
      <c r="L550" s="33"/>
      <c r="M550" s="37"/>
      <c r="N550" s="32"/>
      <c r="O550" s="32"/>
      <c r="P550" s="38" t="str">
        <f aca="true">IF($E550="","",IF($L550="Cancelada","Cancelada",IF(OR($K550&lt;&gt;"",$L550="Concluída"),IF(OR($J550="",$K550="",$K550&lt;=$J550),"Concluída","Concluída com atraso"),IF($J550="","Na carteira",IF($J550&lt;TODAY(),"VENCIDA",IF($L550="Em execução","Em execução",IF($J550=TODAY(),"Hoje","Programada")))))))</f>
        <v/>
      </c>
      <c r="Q550" s="31" t="str">
        <f aca="false">IF($E550="","",IF(ISNUMBER(SEARCH("(externo)",$G550)),"Terceirizada","Interna"))</f>
        <v/>
      </c>
      <c r="R550" s="36" t="str">
        <f aca="false">IF($J550="","",IF($M550="",$J550,$M550))</f>
        <v/>
      </c>
      <c r="S550" s="31" t="str">
        <f aca="false">IF($E550="","",IF(OR($K550="",$J550=""),0,IF($K550&lt;=$J550,1,0)))</f>
        <v/>
      </c>
      <c r="T550" s="31" t="str">
        <f aca="false">IF($E550="","",IF(OR($K550="",$R550=""),0,IF($K550&lt;=$R550,1,0)))</f>
        <v/>
      </c>
      <c r="U550" s="38" t="str">
        <f aca="false">IF(OR($K550="",$J550=""),"",MAX(0,$K550-$J550))</f>
        <v/>
      </c>
      <c r="V550" s="31" t="str">
        <f aca="false">IF($E550="","",IF(AND($M550&lt;&gt;"",$J550&lt;&gt;"",$M550&lt;&gt;$J550),1,0))</f>
        <v/>
      </c>
      <c r="W550" s="39" t="str">
        <f aca="false">IF($E550="","",IF($L550="Cancelada",0,IF(OR($K550&lt;&gt;"",$L550="Concluída"),1,0)))</f>
        <v/>
      </c>
    </row>
    <row r="551" customFormat="false" ht="15" hidden="false" customHeight="true" outlineLevel="0" collapsed="false">
      <c r="A551" s="31" t="str">
        <f aca="false">IF($E551="","",COUNTA($E$5:$E551))</f>
        <v/>
      </c>
      <c r="B551" s="32"/>
      <c r="C551" s="32"/>
      <c r="D551" s="32"/>
      <c r="E551" s="32"/>
      <c r="F551" s="33"/>
      <c r="G551" s="32"/>
      <c r="H551" s="34"/>
      <c r="I551" s="35"/>
      <c r="J551" s="36" t="str">
        <f aca="false">IF(OR($H551="",$I551=""),"",$H551+MATCH($I551,Listas!$F$5:$F$11,0)-1)</f>
        <v/>
      </c>
      <c r="K551" s="37"/>
      <c r="L551" s="33"/>
      <c r="M551" s="37"/>
      <c r="N551" s="32"/>
      <c r="O551" s="32"/>
      <c r="P551" s="38" t="str">
        <f aca="true">IF($E551="","",IF($L551="Cancelada","Cancelada",IF(OR($K551&lt;&gt;"",$L551="Concluída"),IF(OR($J551="",$K551="",$K551&lt;=$J551),"Concluída","Concluída com atraso"),IF($J551="","Na carteira",IF($J551&lt;TODAY(),"VENCIDA",IF($L551="Em execução","Em execução",IF($J551=TODAY(),"Hoje","Programada")))))))</f>
        <v/>
      </c>
      <c r="Q551" s="31" t="str">
        <f aca="false">IF($E551="","",IF(ISNUMBER(SEARCH("(externo)",$G551)),"Terceirizada","Interna"))</f>
        <v/>
      </c>
      <c r="R551" s="36" t="str">
        <f aca="false">IF($J551="","",IF($M551="",$J551,$M551))</f>
        <v/>
      </c>
      <c r="S551" s="31" t="str">
        <f aca="false">IF($E551="","",IF(OR($K551="",$J551=""),0,IF($K551&lt;=$J551,1,0)))</f>
        <v/>
      </c>
      <c r="T551" s="31" t="str">
        <f aca="false">IF($E551="","",IF(OR($K551="",$R551=""),0,IF($K551&lt;=$R551,1,0)))</f>
        <v/>
      </c>
      <c r="U551" s="38" t="str">
        <f aca="false">IF(OR($K551="",$J551=""),"",MAX(0,$K551-$J551))</f>
        <v/>
      </c>
      <c r="V551" s="31" t="str">
        <f aca="false">IF($E551="","",IF(AND($M551&lt;&gt;"",$J551&lt;&gt;"",$M551&lt;&gt;$J551),1,0))</f>
        <v/>
      </c>
      <c r="W551" s="39" t="str">
        <f aca="false">IF($E551="","",IF($L551="Cancelada",0,IF(OR($K551&lt;&gt;"",$L551="Concluída"),1,0)))</f>
        <v/>
      </c>
    </row>
    <row r="552" customFormat="false" ht="15" hidden="false" customHeight="true" outlineLevel="0" collapsed="false">
      <c r="A552" s="31" t="str">
        <f aca="false">IF($E552="","",COUNTA($E$5:$E552))</f>
        <v/>
      </c>
      <c r="B552" s="32"/>
      <c r="C552" s="32"/>
      <c r="D552" s="32"/>
      <c r="E552" s="32"/>
      <c r="F552" s="33"/>
      <c r="G552" s="32"/>
      <c r="H552" s="34"/>
      <c r="I552" s="35"/>
      <c r="J552" s="36" t="str">
        <f aca="false">IF(OR($H552="",$I552=""),"",$H552+MATCH($I552,Listas!$F$5:$F$11,0)-1)</f>
        <v/>
      </c>
      <c r="K552" s="37"/>
      <c r="L552" s="33"/>
      <c r="M552" s="37"/>
      <c r="N552" s="32"/>
      <c r="O552" s="32"/>
      <c r="P552" s="38" t="str">
        <f aca="true">IF($E552="","",IF($L552="Cancelada","Cancelada",IF(OR($K552&lt;&gt;"",$L552="Concluída"),IF(OR($J552="",$K552="",$K552&lt;=$J552),"Concluída","Concluída com atraso"),IF($J552="","Na carteira",IF($J552&lt;TODAY(),"VENCIDA",IF($L552="Em execução","Em execução",IF($J552=TODAY(),"Hoje","Programada")))))))</f>
        <v/>
      </c>
      <c r="Q552" s="31" t="str">
        <f aca="false">IF($E552="","",IF(ISNUMBER(SEARCH("(externo)",$G552)),"Terceirizada","Interna"))</f>
        <v/>
      </c>
      <c r="R552" s="36" t="str">
        <f aca="false">IF($J552="","",IF($M552="",$J552,$M552))</f>
        <v/>
      </c>
      <c r="S552" s="31" t="str">
        <f aca="false">IF($E552="","",IF(OR($K552="",$J552=""),0,IF($K552&lt;=$J552,1,0)))</f>
        <v/>
      </c>
      <c r="T552" s="31" t="str">
        <f aca="false">IF($E552="","",IF(OR($K552="",$R552=""),0,IF($K552&lt;=$R552,1,0)))</f>
        <v/>
      </c>
      <c r="U552" s="38" t="str">
        <f aca="false">IF(OR($K552="",$J552=""),"",MAX(0,$K552-$J552))</f>
        <v/>
      </c>
      <c r="V552" s="31" t="str">
        <f aca="false">IF($E552="","",IF(AND($M552&lt;&gt;"",$J552&lt;&gt;"",$M552&lt;&gt;$J552),1,0))</f>
        <v/>
      </c>
      <c r="W552" s="39" t="str">
        <f aca="false">IF($E552="","",IF($L552="Cancelada",0,IF(OR($K552&lt;&gt;"",$L552="Concluída"),1,0)))</f>
        <v/>
      </c>
    </row>
    <row r="553" customFormat="false" ht="15" hidden="false" customHeight="true" outlineLevel="0" collapsed="false">
      <c r="A553" s="31" t="str">
        <f aca="false">IF($E553="","",COUNTA($E$5:$E553))</f>
        <v/>
      </c>
      <c r="B553" s="32"/>
      <c r="C553" s="32"/>
      <c r="D553" s="32"/>
      <c r="E553" s="32"/>
      <c r="F553" s="33"/>
      <c r="G553" s="32"/>
      <c r="H553" s="34"/>
      <c r="I553" s="35"/>
      <c r="J553" s="36" t="str">
        <f aca="false">IF(OR($H553="",$I553=""),"",$H553+MATCH($I553,Listas!$F$5:$F$11,0)-1)</f>
        <v/>
      </c>
      <c r="K553" s="37"/>
      <c r="L553" s="33"/>
      <c r="M553" s="37"/>
      <c r="N553" s="32"/>
      <c r="O553" s="32"/>
      <c r="P553" s="38" t="str">
        <f aca="true">IF($E553="","",IF($L553="Cancelada","Cancelada",IF(OR($K553&lt;&gt;"",$L553="Concluída"),IF(OR($J553="",$K553="",$K553&lt;=$J553),"Concluída","Concluída com atraso"),IF($J553="","Na carteira",IF($J553&lt;TODAY(),"VENCIDA",IF($L553="Em execução","Em execução",IF($J553=TODAY(),"Hoje","Programada")))))))</f>
        <v/>
      </c>
      <c r="Q553" s="31" t="str">
        <f aca="false">IF($E553="","",IF(ISNUMBER(SEARCH("(externo)",$G553)),"Terceirizada","Interna"))</f>
        <v/>
      </c>
      <c r="R553" s="36" t="str">
        <f aca="false">IF($J553="","",IF($M553="",$J553,$M553))</f>
        <v/>
      </c>
      <c r="S553" s="31" t="str">
        <f aca="false">IF($E553="","",IF(OR($K553="",$J553=""),0,IF($K553&lt;=$J553,1,0)))</f>
        <v/>
      </c>
      <c r="T553" s="31" t="str">
        <f aca="false">IF($E553="","",IF(OR($K553="",$R553=""),0,IF($K553&lt;=$R553,1,0)))</f>
        <v/>
      </c>
      <c r="U553" s="38" t="str">
        <f aca="false">IF(OR($K553="",$J553=""),"",MAX(0,$K553-$J553))</f>
        <v/>
      </c>
      <c r="V553" s="31" t="str">
        <f aca="false">IF($E553="","",IF(AND($M553&lt;&gt;"",$J553&lt;&gt;"",$M553&lt;&gt;$J553),1,0))</f>
        <v/>
      </c>
      <c r="W553" s="39" t="str">
        <f aca="false">IF($E553="","",IF($L553="Cancelada",0,IF(OR($K553&lt;&gt;"",$L553="Concluída"),1,0)))</f>
        <v/>
      </c>
    </row>
    <row r="554" customFormat="false" ht="15" hidden="false" customHeight="true" outlineLevel="0" collapsed="false">
      <c r="A554" s="31" t="str">
        <f aca="false">IF($E554="","",COUNTA($E$5:$E554))</f>
        <v/>
      </c>
      <c r="B554" s="32"/>
      <c r="C554" s="32"/>
      <c r="D554" s="32"/>
      <c r="E554" s="32"/>
      <c r="F554" s="33"/>
      <c r="G554" s="32"/>
      <c r="H554" s="34"/>
      <c r="I554" s="35"/>
      <c r="J554" s="36" t="str">
        <f aca="false">IF(OR($H554="",$I554=""),"",$H554+MATCH($I554,Listas!$F$5:$F$11,0)-1)</f>
        <v/>
      </c>
      <c r="K554" s="37"/>
      <c r="L554" s="33"/>
      <c r="M554" s="37"/>
      <c r="N554" s="32"/>
      <c r="O554" s="32"/>
      <c r="P554" s="38" t="str">
        <f aca="true">IF($E554="","",IF($L554="Cancelada","Cancelada",IF(OR($K554&lt;&gt;"",$L554="Concluída"),IF(OR($J554="",$K554="",$K554&lt;=$J554),"Concluída","Concluída com atraso"),IF($J554="","Na carteira",IF($J554&lt;TODAY(),"VENCIDA",IF($L554="Em execução","Em execução",IF($J554=TODAY(),"Hoje","Programada")))))))</f>
        <v/>
      </c>
      <c r="Q554" s="31" t="str">
        <f aca="false">IF($E554="","",IF(ISNUMBER(SEARCH("(externo)",$G554)),"Terceirizada","Interna"))</f>
        <v/>
      </c>
      <c r="R554" s="36" t="str">
        <f aca="false">IF($J554="","",IF($M554="",$J554,$M554))</f>
        <v/>
      </c>
      <c r="S554" s="31" t="str">
        <f aca="false">IF($E554="","",IF(OR($K554="",$J554=""),0,IF($K554&lt;=$J554,1,0)))</f>
        <v/>
      </c>
      <c r="T554" s="31" t="str">
        <f aca="false">IF($E554="","",IF(OR($K554="",$R554=""),0,IF($K554&lt;=$R554,1,0)))</f>
        <v/>
      </c>
      <c r="U554" s="38" t="str">
        <f aca="false">IF(OR($K554="",$J554=""),"",MAX(0,$K554-$J554))</f>
        <v/>
      </c>
      <c r="V554" s="31" t="str">
        <f aca="false">IF($E554="","",IF(AND($M554&lt;&gt;"",$J554&lt;&gt;"",$M554&lt;&gt;$J554),1,0))</f>
        <v/>
      </c>
      <c r="W554" s="39" t="str">
        <f aca="false">IF($E554="","",IF($L554="Cancelada",0,IF(OR($K554&lt;&gt;"",$L554="Concluída"),1,0)))</f>
        <v/>
      </c>
    </row>
    <row r="555" customFormat="false" ht="15" hidden="false" customHeight="true" outlineLevel="0" collapsed="false">
      <c r="A555" s="31" t="str">
        <f aca="false">IF($E555="","",COUNTA($E$5:$E555))</f>
        <v/>
      </c>
      <c r="B555" s="32"/>
      <c r="C555" s="32"/>
      <c r="D555" s="32"/>
      <c r="E555" s="32"/>
      <c r="F555" s="33"/>
      <c r="G555" s="32"/>
      <c r="H555" s="34"/>
      <c r="I555" s="35"/>
      <c r="J555" s="36" t="str">
        <f aca="false">IF(OR($H555="",$I555=""),"",$H555+MATCH($I555,Listas!$F$5:$F$11,0)-1)</f>
        <v/>
      </c>
      <c r="K555" s="37"/>
      <c r="L555" s="33"/>
      <c r="M555" s="37"/>
      <c r="N555" s="32"/>
      <c r="O555" s="32"/>
      <c r="P555" s="38" t="str">
        <f aca="true">IF($E555="","",IF($L555="Cancelada","Cancelada",IF(OR($K555&lt;&gt;"",$L555="Concluída"),IF(OR($J555="",$K555="",$K555&lt;=$J555),"Concluída","Concluída com atraso"),IF($J555="","Na carteira",IF($J555&lt;TODAY(),"VENCIDA",IF($L555="Em execução","Em execução",IF($J555=TODAY(),"Hoje","Programada")))))))</f>
        <v/>
      </c>
      <c r="Q555" s="31" t="str">
        <f aca="false">IF($E555="","",IF(ISNUMBER(SEARCH("(externo)",$G555)),"Terceirizada","Interna"))</f>
        <v/>
      </c>
      <c r="R555" s="36" t="str">
        <f aca="false">IF($J555="","",IF($M555="",$J555,$M555))</f>
        <v/>
      </c>
      <c r="S555" s="31" t="str">
        <f aca="false">IF($E555="","",IF(OR($K555="",$J555=""),0,IF($K555&lt;=$J555,1,0)))</f>
        <v/>
      </c>
      <c r="T555" s="31" t="str">
        <f aca="false">IF($E555="","",IF(OR($K555="",$R555=""),0,IF($K555&lt;=$R555,1,0)))</f>
        <v/>
      </c>
      <c r="U555" s="38" t="str">
        <f aca="false">IF(OR($K555="",$J555=""),"",MAX(0,$K555-$J555))</f>
        <v/>
      </c>
      <c r="V555" s="31" t="str">
        <f aca="false">IF($E555="","",IF(AND($M555&lt;&gt;"",$J555&lt;&gt;"",$M555&lt;&gt;$J555),1,0))</f>
        <v/>
      </c>
      <c r="W555" s="39" t="str">
        <f aca="false">IF($E555="","",IF($L555="Cancelada",0,IF(OR($K555&lt;&gt;"",$L555="Concluída"),1,0)))</f>
        <v/>
      </c>
    </row>
    <row r="556" customFormat="false" ht="15" hidden="false" customHeight="true" outlineLevel="0" collapsed="false">
      <c r="A556" s="31" t="str">
        <f aca="false">IF($E556="","",COUNTA($E$5:$E556))</f>
        <v/>
      </c>
      <c r="B556" s="32"/>
      <c r="C556" s="32"/>
      <c r="D556" s="32"/>
      <c r="E556" s="32"/>
      <c r="F556" s="33"/>
      <c r="G556" s="32"/>
      <c r="H556" s="34"/>
      <c r="I556" s="35"/>
      <c r="J556" s="36" t="str">
        <f aca="false">IF(OR($H556="",$I556=""),"",$H556+MATCH($I556,Listas!$F$5:$F$11,0)-1)</f>
        <v/>
      </c>
      <c r="K556" s="37"/>
      <c r="L556" s="33"/>
      <c r="M556" s="37"/>
      <c r="N556" s="32"/>
      <c r="O556" s="32"/>
      <c r="P556" s="38" t="str">
        <f aca="true">IF($E556="","",IF($L556="Cancelada","Cancelada",IF(OR($K556&lt;&gt;"",$L556="Concluída"),IF(OR($J556="",$K556="",$K556&lt;=$J556),"Concluída","Concluída com atraso"),IF($J556="","Na carteira",IF($J556&lt;TODAY(),"VENCIDA",IF($L556="Em execução","Em execução",IF($J556=TODAY(),"Hoje","Programada")))))))</f>
        <v/>
      </c>
      <c r="Q556" s="31" t="str">
        <f aca="false">IF($E556="","",IF(ISNUMBER(SEARCH("(externo)",$G556)),"Terceirizada","Interna"))</f>
        <v/>
      </c>
      <c r="R556" s="36" t="str">
        <f aca="false">IF($J556="","",IF($M556="",$J556,$M556))</f>
        <v/>
      </c>
      <c r="S556" s="31" t="str">
        <f aca="false">IF($E556="","",IF(OR($K556="",$J556=""),0,IF($K556&lt;=$J556,1,0)))</f>
        <v/>
      </c>
      <c r="T556" s="31" t="str">
        <f aca="false">IF($E556="","",IF(OR($K556="",$R556=""),0,IF($K556&lt;=$R556,1,0)))</f>
        <v/>
      </c>
      <c r="U556" s="38" t="str">
        <f aca="false">IF(OR($K556="",$J556=""),"",MAX(0,$K556-$J556))</f>
        <v/>
      </c>
      <c r="V556" s="31" t="str">
        <f aca="false">IF($E556="","",IF(AND($M556&lt;&gt;"",$J556&lt;&gt;"",$M556&lt;&gt;$J556),1,0))</f>
        <v/>
      </c>
      <c r="W556" s="39" t="str">
        <f aca="false">IF($E556="","",IF($L556="Cancelada",0,IF(OR($K556&lt;&gt;"",$L556="Concluída"),1,0)))</f>
        <v/>
      </c>
    </row>
    <row r="557" customFormat="false" ht="15" hidden="false" customHeight="true" outlineLevel="0" collapsed="false">
      <c r="A557" s="31" t="str">
        <f aca="false">IF($E557="","",COUNTA($E$5:$E557))</f>
        <v/>
      </c>
      <c r="B557" s="32"/>
      <c r="C557" s="32"/>
      <c r="D557" s="32"/>
      <c r="E557" s="32"/>
      <c r="F557" s="33"/>
      <c r="G557" s="32"/>
      <c r="H557" s="34"/>
      <c r="I557" s="35"/>
      <c r="J557" s="36" t="str">
        <f aca="false">IF(OR($H557="",$I557=""),"",$H557+MATCH($I557,Listas!$F$5:$F$11,0)-1)</f>
        <v/>
      </c>
      <c r="K557" s="37"/>
      <c r="L557" s="33"/>
      <c r="M557" s="37"/>
      <c r="N557" s="32"/>
      <c r="O557" s="32"/>
      <c r="P557" s="38" t="str">
        <f aca="true">IF($E557="","",IF($L557="Cancelada","Cancelada",IF(OR($K557&lt;&gt;"",$L557="Concluída"),IF(OR($J557="",$K557="",$K557&lt;=$J557),"Concluída","Concluída com atraso"),IF($J557="","Na carteira",IF($J557&lt;TODAY(),"VENCIDA",IF($L557="Em execução","Em execução",IF($J557=TODAY(),"Hoje","Programada")))))))</f>
        <v/>
      </c>
      <c r="Q557" s="31" t="str">
        <f aca="false">IF($E557="","",IF(ISNUMBER(SEARCH("(externo)",$G557)),"Terceirizada","Interna"))</f>
        <v/>
      </c>
      <c r="R557" s="36" t="str">
        <f aca="false">IF($J557="","",IF($M557="",$J557,$M557))</f>
        <v/>
      </c>
      <c r="S557" s="31" t="str">
        <f aca="false">IF($E557="","",IF(OR($K557="",$J557=""),0,IF($K557&lt;=$J557,1,0)))</f>
        <v/>
      </c>
      <c r="T557" s="31" t="str">
        <f aca="false">IF($E557="","",IF(OR($K557="",$R557=""),0,IF($K557&lt;=$R557,1,0)))</f>
        <v/>
      </c>
      <c r="U557" s="38" t="str">
        <f aca="false">IF(OR($K557="",$J557=""),"",MAX(0,$K557-$J557))</f>
        <v/>
      </c>
      <c r="V557" s="31" t="str">
        <f aca="false">IF($E557="","",IF(AND($M557&lt;&gt;"",$J557&lt;&gt;"",$M557&lt;&gt;$J557),1,0))</f>
        <v/>
      </c>
      <c r="W557" s="39" t="str">
        <f aca="false">IF($E557="","",IF($L557="Cancelada",0,IF(OR($K557&lt;&gt;"",$L557="Concluída"),1,0)))</f>
        <v/>
      </c>
    </row>
    <row r="558" customFormat="false" ht="15" hidden="false" customHeight="true" outlineLevel="0" collapsed="false">
      <c r="A558" s="31" t="str">
        <f aca="false">IF($E558="","",COUNTA($E$5:$E558))</f>
        <v/>
      </c>
      <c r="B558" s="32"/>
      <c r="C558" s="32"/>
      <c r="D558" s="32"/>
      <c r="E558" s="32"/>
      <c r="F558" s="33"/>
      <c r="G558" s="32"/>
      <c r="H558" s="34"/>
      <c r="I558" s="35"/>
      <c r="J558" s="36" t="str">
        <f aca="false">IF(OR($H558="",$I558=""),"",$H558+MATCH($I558,Listas!$F$5:$F$11,0)-1)</f>
        <v/>
      </c>
      <c r="K558" s="37"/>
      <c r="L558" s="33"/>
      <c r="M558" s="37"/>
      <c r="N558" s="32"/>
      <c r="O558" s="32"/>
      <c r="P558" s="38" t="str">
        <f aca="true">IF($E558="","",IF($L558="Cancelada","Cancelada",IF(OR($K558&lt;&gt;"",$L558="Concluída"),IF(OR($J558="",$K558="",$K558&lt;=$J558),"Concluída","Concluída com atraso"),IF($J558="","Na carteira",IF($J558&lt;TODAY(),"VENCIDA",IF($L558="Em execução","Em execução",IF($J558=TODAY(),"Hoje","Programada")))))))</f>
        <v/>
      </c>
      <c r="Q558" s="31" t="str">
        <f aca="false">IF($E558="","",IF(ISNUMBER(SEARCH("(externo)",$G558)),"Terceirizada","Interna"))</f>
        <v/>
      </c>
      <c r="R558" s="36" t="str">
        <f aca="false">IF($J558="","",IF($M558="",$J558,$M558))</f>
        <v/>
      </c>
      <c r="S558" s="31" t="str">
        <f aca="false">IF($E558="","",IF(OR($K558="",$J558=""),0,IF($K558&lt;=$J558,1,0)))</f>
        <v/>
      </c>
      <c r="T558" s="31" t="str">
        <f aca="false">IF($E558="","",IF(OR($K558="",$R558=""),0,IF($K558&lt;=$R558,1,0)))</f>
        <v/>
      </c>
      <c r="U558" s="38" t="str">
        <f aca="false">IF(OR($K558="",$J558=""),"",MAX(0,$K558-$J558))</f>
        <v/>
      </c>
      <c r="V558" s="31" t="str">
        <f aca="false">IF($E558="","",IF(AND($M558&lt;&gt;"",$J558&lt;&gt;"",$M558&lt;&gt;$J558),1,0))</f>
        <v/>
      </c>
      <c r="W558" s="39" t="str">
        <f aca="false">IF($E558="","",IF($L558="Cancelada",0,IF(OR($K558&lt;&gt;"",$L558="Concluída"),1,0)))</f>
        <v/>
      </c>
    </row>
    <row r="559" customFormat="false" ht="15" hidden="false" customHeight="true" outlineLevel="0" collapsed="false">
      <c r="A559" s="31" t="str">
        <f aca="false">IF($E559="","",COUNTA($E$5:$E559))</f>
        <v/>
      </c>
      <c r="B559" s="32"/>
      <c r="C559" s="32"/>
      <c r="D559" s="32"/>
      <c r="E559" s="32"/>
      <c r="F559" s="33"/>
      <c r="G559" s="32"/>
      <c r="H559" s="34"/>
      <c r="I559" s="35"/>
      <c r="J559" s="36" t="str">
        <f aca="false">IF(OR($H559="",$I559=""),"",$H559+MATCH($I559,Listas!$F$5:$F$11,0)-1)</f>
        <v/>
      </c>
      <c r="K559" s="37"/>
      <c r="L559" s="33"/>
      <c r="M559" s="37"/>
      <c r="N559" s="32"/>
      <c r="O559" s="32"/>
      <c r="P559" s="38" t="str">
        <f aca="true">IF($E559="","",IF($L559="Cancelada","Cancelada",IF(OR($K559&lt;&gt;"",$L559="Concluída"),IF(OR($J559="",$K559="",$K559&lt;=$J559),"Concluída","Concluída com atraso"),IF($J559="","Na carteira",IF($J559&lt;TODAY(),"VENCIDA",IF($L559="Em execução","Em execução",IF($J559=TODAY(),"Hoje","Programada")))))))</f>
        <v/>
      </c>
      <c r="Q559" s="31" t="str">
        <f aca="false">IF($E559="","",IF(ISNUMBER(SEARCH("(externo)",$G559)),"Terceirizada","Interna"))</f>
        <v/>
      </c>
      <c r="R559" s="36" t="str">
        <f aca="false">IF($J559="","",IF($M559="",$J559,$M559))</f>
        <v/>
      </c>
      <c r="S559" s="31" t="str">
        <f aca="false">IF($E559="","",IF(OR($K559="",$J559=""),0,IF($K559&lt;=$J559,1,0)))</f>
        <v/>
      </c>
      <c r="T559" s="31" t="str">
        <f aca="false">IF($E559="","",IF(OR($K559="",$R559=""),0,IF($K559&lt;=$R559,1,0)))</f>
        <v/>
      </c>
      <c r="U559" s="38" t="str">
        <f aca="false">IF(OR($K559="",$J559=""),"",MAX(0,$K559-$J559))</f>
        <v/>
      </c>
      <c r="V559" s="31" t="str">
        <f aca="false">IF($E559="","",IF(AND($M559&lt;&gt;"",$J559&lt;&gt;"",$M559&lt;&gt;$J559),1,0))</f>
        <v/>
      </c>
      <c r="W559" s="39" t="str">
        <f aca="false">IF($E559="","",IF($L559="Cancelada",0,IF(OR($K559&lt;&gt;"",$L559="Concluída"),1,0)))</f>
        <v/>
      </c>
    </row>
    <row r="560" customFormat="false" ht="15" hidden="false" customHeight="true" outlineLevel="0" collapsed="false">
      <c r="A560" s="31" t="str">
        <f aca="false">IF($E560="","",COUNTA($E$5:$E560))</f>
        <v/>
      </c>
      <c r="B560" s="32"/>
      <c r="C560" s="32"/>
      <c r="D560" s="32"/>
      <c r="E560" s="32"/>
      <c r="F560" s="33"/>
      <c r="G560" s="32"/>
      <c r="H560" s="34"/>
      <c r="I560" s="35"/>
      <c r="J560" s="36" t="str">
        <f aca="false">IF(OR($H560="",$I560=""),"",$H560+MATCH($I560,Listas!$F$5:$F$11,0)-1)</f>
        <v/>
      </c>
      <c r="K560" s="37"/>
      <c r="L560" s="33"/>
      <c r="M560" s="37"/>
      <c r="N560" s="32"/>
      <c r="O560" s="32"/>
      <c r="P560" s="38" t="str">
        <f aca="true">IF($E560="","",IF($L560="Cancelada","Cancelada",IF(OR($K560&lt;&gt;"",$L560="Concluída"),IF(OR($J560="",$K560="",$K560&lt;=$J560),"Concluída","Concluída com atraso"),IF($J560="","Na carteira",IF($J560&lt;TODAY(),"VENCIDA",IF($L560="Em execução","Em execução",IF($J560=TODAY(),"Hoje","Programada")))))))</f>
        <v/>
      </c>
      <c r="Q560" s="31" t="str">
        <f aca="false">IF($E560="","",IF(ISNUMBER(SEARCH("(externo)",$G560)),"Terceirizada","Interna"))</f>
        <v/>
      </c>
      <c r="R560" s="36" t="str">
        <f aca="false">IF($J560="","",IF($M560="",$J560,$M560))</f>
        <v/>
      </c>
      <c r="S560" s="31" t="str">
        <f aca="false">IF($E560="","",IF(OR($K560="",$J560=""),0,IF($K560&lt;=$J560,1,0)))</f>
        <v/>
      </c>
      <c r="T560" s="31" t="str">
        <f aca="false">IF($E560="","",IF(OR($K560="",$R560=""),0,IF($K560&lt;=$R560,1,0)))</f>
        <v/>
      </c>
      <c r="U560" s="38" t="str">
        <f aca="false">IF(OR($K560="",$J560=""),"",MAX(0,$K560-$J560))</f>
        <v/>
      </c>
      <c r="V560" s="31" t="str">
        <f aca="false">IF($E560="","",IF(AND($M560&lt;&gt;"",$J560&lt;&gt;"",$M560&lt;&gt;$J560),1,0))</f>
        <v/>
      </c>
      <c r="W560" s="39" t="str">
        <f aca="false">IF($E560="","",IF($L560="Cancelada",0,IF(OR($K560&lt;&gt;"",$L560="Concluída"),1,0)))</f>
        <v/>
      </c>
    </row>
    <row r="561" customFormat="false" ht="15" hidden="false" customHeight="true" outlineLevel="0" collapsed="false">
      <c r="A561" s="31" t="str">
        <f aca="false">IF($E561="","",COUNTA($E$5:$E561))</f>
        <v/>
      </c>
      <c r="B561" s="32"/>
      <c r="C561" s="32"/>
      <c r="D561" s="32"/>
      <c r="E561" s="32"/>
      <c r="F561" s="33"/>
      <c r="G561" s="32"/>
      <c r="H561" s="34"/>
      <c r="I561" s="35"/>
      <c r="J561" s="36" t="str">
        <f aca="false">IF(OR($H561="",$I561=""),"",$H561+MATCH($I561,Listas!$F$5:$F$11,0)-1)</f>
        <v/>
      </c>
      <c r="K561" s="37"/>
      <c r="L561" s="33"/>
      <c r="M561" s="37"/>
      <c r="N561" s="32"/>
      <c r="O561" s="32"/>
      <c r="P561" s="38" t="str">
        <f aca="true">IF($E561="","",IF($L561="Cancelada","Cancelada",IF(OR($K561&lt;&gt;"",$L561="Concluída"),IF(OR($J561="",$K561="",$K561&lt;=$J561),"Concluída","Concluída com atraso"),IF($J561="","Na carteira",IF($J561&lt;TODAY(),"VENCIDA",IF($L561="Em execução","Em execução",IF($J561=TODAY(),"Hoje","Programada")))))))</f>
        <v/>
      </c>
      <c r="Q561" s="31" t="str">
        <f aca="false">IF($E561="","",IF(ISNUMBER(SEARCH("(externo)",$G561)),"Terceirizada","Interna"))</f>
        <v/>
      </c>
      <c r="R561" s="36" t="str">
        <f aca="false">IF($J561="","",IF($M561="",$J561,$M561))</f>
        <v/>
      </c>
      <c r="S561" s="31" t="str">
        <f aca="false">IF($E561="","",IF(OR($K561="",$J561=""),0,IF($K561&lt;=$J561,1,0)))</f>
        <v/>
      </c>
      <c r="T561" s="31" t="str">
        <f aca="false">IF($E561="","",IF(OR($K561="",$R561=""),0,IF($K561&lt;=$R561,1,0)))</f>
        <v/>
      </c>
      <c r="U561" s="38" t="str">
        <f aca="false">IF(OR($K561="",$J561=""),"",MAX(0,$K561-$J561))</f>
        <v/>
      </c>
      <c r="V561" s="31" t="str">
        <f aca="false">IF($E561="","",IF(AND($M561&lt;&gt;"",$J561&lt;&gt;"",$M561&lt;&gt;$J561),1,0))</f>
        <v/>
      </c>
      <c r="W561" s="39" t="str">
        <f aca="false">IF($E561="","",IF($L561="Cancelada",0,IF(OR($K561&lt;&gt;"",$L561="Concluída"),1,0)))</f>
        <v/>
      </c>
    </row>
    <row r="562" customFormat="false" ht="15" hidden="false" customHeight="true" outlineLevel="0" collapsed="false">
      <c r="A562" s="31" t="str">
        <f aca="false">IF($E562="","",COUNTA($E$5:$E562))</f>
        <v/>
      </c>
      <c r="B562" s="32"/>
      <c r="C562" s="32"/>
      <c r="D562" s="32"/>
      <c r="E562" s="32"/>
      <c r="F562" s="33"/>
      <c r="G562" s="32"/>
      <c r="H562" s="34"/>
      <c r="I562" s="35"/>
      <c r="J562" s="36" t="str">
        <f aca="false">IF(OR($H562="",$I562=""),"",$H562+MATCH($I562,Listas!$F$5:$F$11,0)-1)</f>
        <v/>
      </c>
      <c r="K562" s="37"/>
      <c r="L562" s="33"/>
      <c r="M562" s="37"/>
      <c r="N562" s="32"/>
      <c r="O562" s="32"/>
      <c r="P562" s="38" t="str">
        <f aca="true">IF($E562="","",IF($L562="Cancelada","Cancelada",IF(OR($K562&lt;&gt;"",$L562="Concluída"),IF(OR($J562="",$K562="",$K562&lt;=$J562),"Concluída","Concluída com atraso"),IF($J562="","Na carteira",IF($J562&lt;TODAY(),"VENCIDA",IF($L562="Em execução","Em execução",IF($J562=TODAY(),"Hoje","Programada")))))))</f>
        <v/>
      </c>
      <c r="Q562" s="31" t="str">
        <f aca="false">IF($E562="","",IF(ISNUMBER(SEARCH("(externo)",$G562)),"Terceirizada","Interna"))</f>
        <v/>
      </c>
      <c r="R562" s="36" t="str">
        <f aca="false">IF($J562="","",IF($M562="",$J562,$M562))</f>
        <v/>
      </c>
      <c r="S562" s="31" t="str">
        <f aca="false">IF($E562="","",IF(OR($K562="",$J562=""),0,IF($K562&lt;=$J562,1,0)))</f>
        <v/>
      </c>
      <c r="T562" s="31" t="str">
        <f aca="false">IF($E562="","",IF(OR($K562="",$R562=""),0,IF($K562&lt;=$R562,1,0)))</f>
        <v/>
      </c>
      <c r="U562" s="38" t="str">
        <f aca="false">IF(OR($K562="",$J562=""),"",MAX(0,$K562-$J562))</f>
        <v/>
      </c>
      <c r="V562" s="31" t="str">
        <f aca="false">IF($E562="","",IF(AND($M562&lt;&gt;"",$J562&lt;&gt;"",$M562&lt;&gt;$J562),1,0))</f>
        <v/>
      </c>
      <c r="W562" s="39" t="str">
        <f aca="false">IF($E562="","",IF($L562="Cancelada",0,IF(OR($K562&lt;&gt;"",$L562="Concluída"),1,0)))</f>
        <v/>
      </c>
    </row>
    <row r="563" customFormat="false" ht="15" hidden="false" customHeight="true" outlineLevel="0" collapsed="false">
      <c r="A563" s="31" t="str">
        <f aca="false">IF($E563="","",COUNTA($E$5:$E563))</f>
        <v/>
      </c>
      <c r="B563" s="32"/>
      <c r="C563" s="32"/>
      <c r="D563" s="32"/>
      <c r="E563" s="32"/>
      <c r="F563" s="33"/>
      <c r="G563" s="32"/>
      <c r="H563" s="34"/>
      <c r="I563" s="35"/>
      <c r="J563" s="36" t="str">
        <f aca="false">IF(OR($H563="",$I563=""),"",$H563+MATCH($I563,Listas!$F$5:$F$11,0)-1)</f>
        <v/>
      </c>
      <c r="K563" s="37"/>
      <c r="L563" s="33"/>
      <c r="M563" s="37"/>
      <c r="N563" s="32"/>
      <c r="O563" s="32"/>
      <c r="P563" s="38" t="str">
        <f aca="true">IF($E563="","",IF($L563="Cancelada","Cancelada",IF(OR($K563&lt;&gt;"",$L563="Concluída"),IF(OR($J563="",$K563="",$K563&lt;=$J563),"Concluída","Concluída com atraso"),IF($J563="","Na carteira",IF($J563&lt;TODAY(),"VENCIDA",IF($L563="Em execução","Em execução",IF($J563=TODAY(),"Hoje","Programada")))))))</f>
        <v/>
      </c>
      <c r="Q563" s="31" t="str">
        <f aca="false">IF($E563="","",IF(ISNUMBER(SEARCH("(externo)",$G563)),"Terceirizada","Interna"))</f>
        <v/>
      </c>
      <c r="R563" s="36" t="str">
        <f aca="false">IF($J563="","",IF($M563="",$J563,$M563))</f>
        <v/>
      </c>
      <c r="S563" s="31" t="str">
        <f aca="false">IF($E563="","",IF(OR($K563="",$J563=""),0,IF($K563&lt;=$J563,1,0)))</f>
        <v/>
      </c>
      <c r="T563" s="31" t="str">
        <f aca="false">IF($E563="","",IF(OR($K563="",$R563=""),0,IF($K563&lt;=$R563,1,0)))</f>
        <v/>
      </c>
      <c r="U563" s="38" t="str">
        <f aca="false">IF(OR($K563="",$J563=""),"",MAX(0,$K563-$J563))</f>
        <v/>
      </c>
      <c r="V563" s="31" t="str">
        <f aca="false">IF($E563="","",IF(AND($M563&lt;&gt;"",$J563&lt;&gt;"",$M563&lt;&gt;$J563),1,0))</f>
        <v/>
      </c>
      <c r="W563" s="39" t="str">
        <f aca="false">IF($E563="","",IF($L563="Cancelada",0,IF(OR($K563&lt;&gt;"",$L563="Concluída"),1,0)))</f>
        <v/>
      </c>
    </row>
    <row r="564" customFormat="false" ht="15" hidden="false" customHeight="true" outlineLevel="0" collapsed="false">
      <c r="A564" s="31" t="str">
        <f aca="false">IF($E564="","",COUNTA($E$5:$E564))</f>
        <v/>
      </c>
      <c r="B564" s="32"/>
      <c r="C564" s="32"/>
      <c r="D564" s="32"/>
      <c r="E564" s="32"/>
      <c r="F564" s="33"/>
      <c r="G564" s="32"/>
      <c r="H564" s="34"/>
      <c r="I564" s="35"/>
      <c r="J564" s="36" t="str">
        <f aca="false">IF(OR($H564="",$I564=""),"",$H564+MATCH($I564,Listas!$F$5:$F$11,0)-1)</f>
        <v/>
      </c>
      <c r="K564" s="37"/>
      <c r="L564" s="33"/>
      <c r="M564" s="37"/>
      <c r="N564" s="32"/>
      <c r="O564" s="32"/>
      <c r="P564" s="38" t="str">
        <f aca="true">IF($E564="","",IF($L564="Cancelada","Cancelada",IF(OR($K564&lt;&gt;"",$L564="Concluída"),IF(OR($J564="",$K564="",$K564&lt;=$J564),"Concluída","Concluída com atraso"),IF($J564="","Na carteira",IF($J564&lt;TODAY(),"VENCIDA",IF($L564="Em execução","Em execução",IF($J564=TODAY(),"Hoje","Programada")))))))</f>
        <v/>
      </c>
      <c r="Q564" s="31" t="str">
        <f aca="false">IF($E564="","",IF(ISNUMBER(SEARCH("(externo)",$G564)),"Terceirizada","Interna"))</f>
        <v/>
      </c>
      <c r="R564" s="36" t="str">
        <f aca="false">IF($J564="","",IF($M564="",$J564,$M564))</f>
        <v/>
      </c>
      <c r="S564" s="31" t="str">
        <f aca="false">IF($E564="","",IF(OR($K564="",$J564=""),0,IF($K564&lt;=$J564,1,0)))</f>
        <v/>
      </c>
      <c r="T564" s="31" t="str">
        <f aca="false">IF($E564="","",IF(OR($K564="",$R564=""),0,IF($K564&lt;=$R564,1,0)))</f>
        <v/>
      </c>
      <c r="U564" s="38" t="str">
        <f aca="false">IF(OR($K564="",$J564=""),"",MAX(0,$K564-$J564))</f>
        <v/>
      </c>
      <c r="V564" s="31" t="str">
        <f aca="false">IF($E564="","",IF(AND($M564&lt;&gt;"",$J564&lt;&gt;"",$M564&lt;&gt;$J564),1,0))</f>
        <v/>
      </c>
      <c r="W564" s="39" t="str">
        <f aca="false">IF($E564="","",IF($L564="Cancelada",0,IF(OR($K564&lt;&gt;"",$L564="Concluída"),1,0)))</f>
        <v/>
      </c>
    </row>
    <row r="565" customFormat="false" ht="15" hidden="false" customHeight="true" outlineLevel="0" collapsed="false">
      <c r="A565" s="31" t="str">
        <f aca="false">IF($E565="","",COUNTA($E$5:$E565))</f>
        <v/>
      </c>
      <c r="B565" s="32"/>
      <c r="C565" s="32"/>
      <c r="D565" s="32"/>
      <c r="E565" s="32"/>
      <c r="F565" s="33"/>
      <c r="G565" s="32"/>
      <c r="H565" s="34"/>
      <c r="I565" s="35"/>
      <c r="J565" s="36" t="str">
        <f aca="false">IF(OR($H565="",$I565=""),"",$H565+MATCH($I565,Listas!$F$5:$F$11,0)-1)</f>
        <v/>
      </c>
      <c r="K565" s="37"/>
      <c r="L565" s="33"/>
      <c r="M565" s="37"/>
      <c r="N565" s="32"/>
      <c r="O565" s="32"/>
      <c r="P565" s="38" t="str">
        <f aca="true">IF($E565="","",IF($L565="Cancelada","Cancelada",IF(OR($K565&lt;&gt;"",$L565="Concluída"),IF(OR($J565="",$K565="",$K565&lt;=$J565),"Concluída","Concluída com atraso"),IF($J565="","Na carteira",IF($J565&lt;TODAY(),"VENCIDA",IF($L565="Em execução","Em execução",IF($J565=TODAY(),"Hoje","Programada")))))))</f>
        <v/>
      </c>
      <c r="Q565" s="31" t="str">
        <f aca="false">IF($E565="","",IF(ISNUMBER(SEARCH("(externo)",$G565)),"Terceirizada","Interna"))</f>
        <v/>
      </c>
      <c r="R565" s="36" t="str">
        <f aca="false">IF($J565="","",IF($M565="",$J565,$M565))</f>
        <v/>
      </c>
      <c r="S565" s="31" t="str">
        <f aca="false">IF($E565="","",IF(OR($K565="",$J565=""),0,IF($K565&lt;=$J565,1,0)))</f>
        <v/>
      </c>
      <c r="T565" s="31" t="str">
        <f aca="false">IF($E565="","",IF(OR($K565="",$R565=""),0,IF($K565&lt;=$R565,1,0)))</f>
        <v/>
      </c>
      <c r="U565" s="38" t="str">
        <f aca="false">IF(OR($K565="",$J565=""),"",MAX(0,$K565-$J565))</f>
        <v/>
      </c>
      <c r="V565" s="31" t="str">
        <f aca="false">IF($E565="","",IF(AND($M565&lt;&gt;"",$J565&lt;&gt;"",$M565&lt;&gt;$J565),1,0))</f>
        <v/>
      </c>
      <c r="W565" s="39" t="str">
        <f aca="false">IF($E565="","",IF($L565="Cancelada",0,IF(OR($K565&lt;&gt;"",$L565="Concluída"),1,0)))</f>
        <v/>
      </c>
    </row>
    <row r="566" customFormat="false" ht="15" hidden="false" customHeight="true" outlineLevel="0" collapsed="false">
      <c r="A566" s="31" t="str">
        <f aca="false">IF($E566="","",COUNTA($E$5:$E566))</f>
        <v/>
      </c>
      <c r="B566" s="32"/>
      <c r="C566" s="32"/>
      <c r="D566" s="32"/>
      <c r="E566" s="32"/>
      <c r="F566" s="33"/>
      <c r="G566" s="32"/>
      <c r="H566" s="34"/>
      <c r="I566" s="35"/>
      <c r="J566" s="36" t="str">
        <f aca="false">IF(OR($H566="",$I566=""),"",$H566+MATCH($I566,Listas!$F$5:$F$11,0)-1)</f>
        <v/>
      </c>
      <c r="K566" s="37"/>
      <c r="L566" s="33"/>
      <c r="M566" s="37"/>
      <c r="N566" s="32"/>
      <c r="O566" s="32"/>
      <c r="P566" s="38" t="str">
        <f aca="true">IF($E566="","",IF($L566="Cancelada","Cancelada",IF(OR($K566&lt;&gt;"",$L566="Concluída"),IF(OR($J566="",$K566="",$K566&lt;=$J566),"Concluída","Concluída com atraso"),IF($J566="","Na carteira",IF($J566&lt;TODAY(),"VENCIDA",IF($L566="Em execução","Em execução",IF($J566=TODAY(),"Hoje","Programada")))))))</f>
        <v/>
      </c>
      <c r="Q566" s="31" t="str">
        <f aca="false">IF($E566="","",IF(ISNUMBER(SEARCH("(externo)",$G566)),"Terceirizada","Interna"))</f>
        <v/>
      </c>
      <c r="R566" s="36" t="str">
        <f aca="false">IF($J566="","",IF($M566="",$J566,$M566))</f>
        <v/>
      </c>
      <c r="S566" s="31" t="str">
        <f aca="false">IF($E566="","",IF(OR($K566="",$J566=""),0,IF($K566&lt;=$J566,1,0)))</f>
        <v/>
      </c>
      <c r="T566" s="31" t="str">
        <f aca="false">IF($E566="","",IF(OR($K566="",$R566=""),0,IF($K566&lt;=$R566,1,0)))</f>
        <v/>
      </c>
      <c r="U566" s="38" t="str">
        <f aca="false">IF(OR($K566="",$J566=""),"",MAX(0,$K566-$J566))</f>
        <v/>
      </c>
      <c r="V566" s="31" t="str">
        <f aca="false">IF($E566="","",IF(AND($M566&lt;&gt;"",$J566&lt;&gt;"",$M566&lt;&gt;$J566),1,0))</f>
        <v/>
      </c>
      <c r="W566" s="39" t="str">
        <f aca="false">IF($E566="","",IF($L566="Cancelada",0,IF(OR($K566&lt;&gt;"",$L566="Concluída"),1,0)))</f>
        <v/>
      </c>
    </row>
    <row r="567" customFormat="false" ht="15" hidden="false" customHeight="true" outlineLevel="0" collapsed="false">
      <c r="A567" s="31" t="str">
        <f aca="false">IF($E567="","",COUNTA($E$5:$E567))</f>
        <v/>
      </c>
      <c r="B567" s="32"/>
      <c r="C567" s="32"/>
      <c r="D567" s="32"/>
      <c r="E567" s="32"/>
      <c r="F567" s="33"/>
      <c r="G567" s="32"/>
      <c r="H567" s="34"/>
      <c r="I567" s="35"/>
      <c r="J567" s="36" t="str">
        <f aca="false">IF(OR($H567="",$I567=""),"",$H567+MATCH($I567,Listas!$F$5:$F$11,0)-1)</f>
        <v/>
      </c>
      <c r="K567" s="37"/>
      <c r="L567" s="33"/>
      <c r="M567" s="37"/>
      <c r="N567" s="32"/>
      <c r="O567" s="32"/>
      <c r="P567" s="38" t="str">
        <f aca="true">IF($E567="","",IF($L567="Cancelada","Cancelada",IF(OR($K567&lt;&gt;"",$L567="Concluída"),IF(OR($J567="",$K567="",$K567&lt;=$J567),"Concluída","Concluída com atraso"),IF($J567="","Na carteira",IF($J567&lt;TODAY(),"VENCIDA",IF($L567="Em execução","Em execução",IF($J567=TODAY(),"Hoje","Programada")))))))</f>
        <v/>
      </c>
      <c r="Q567" s="31" t="str">
        <f aca="false">IF($E567="","",IF(ISNUMBER(SEARCH("(externo)",$G567)),"Terceirizada","Interna"))</f>
        <v/>
      </c>
      <c r="R567" s="36" t="str">
        <f aca="false">IF($J567="","",IF($M567="",$J567,$M567))</f>
        <v/>
      </c>
      <c r="S567" s="31" t="str">
        <f aca="false">IF($E567="","",IF(OR($K567="",$J567=""),0,IF($K567&lt;=$J567,1,0)))</f>
        <v/>
      </c>
      <c r="T567" s="31" t="str">
        <f aca="false">IF($E567="","",IF(OR($K567="",$R567=""),0,IF($K567&lt;=$R567,1,0)))</f>
        <v/>
      </c>
      <c r="U567" s="38" t="str">
        <f aca="false">IF(OR($K567="",$J567=""),"",MAX(0,$K567-$J567))</f>
        <v/>
      </c>
      <c r="V567" s="31" t="str">
        <f aca="false">IF($E567="","",IF(AND($M567&lt;&gt;"",$J567&lt;&gt;"",$M567&lt;&gt;$J567),1,0))</f>
        <v/>
      </c>
      <c r="W567" s="39" t="str">
        <f aca="false">IF($E567="","",IF($L567="Cancelada",0,IF(OR($K567&lt;&gt;"",$L567="Concluída"),1,0)))</f>
        <v/>
      </c>
    </row>
    <row r="568" customFormat="false" ht="15" hidden="false" customHeight="true" outlineLevel="0" collapsed="false">
      <c r="A568" s="31" t="str">
        <f aca="false">IF($E568="","",COUNTA($E$5:$E568))</f>
        <v/>
      </c>
      <c r="B568" s="32"/>
      <c r="C568" s="32"/>
      <c r="D568" s="32"/>
      <c r="E568" s="32"/>
      <c r="F568" s="33"/>
      <c r="G568" s="32"/>
      <c r="H568" s="34"/>
      <c r="I568" s="35"/>
      <c r="J568" s="36" t="str">
        <f aca="false">IF(OR($H568="",$I568=""),"",$H568+MATCH($I568,Listas!$F$5:$F$11,0)-1)</f>
        <v/>
      </c>
      <c r="K568" s="37"/>
      <c r="L568" s="33"/>
      <c r="M568" s="37"/>
      <c r="N568" s="32"/>
      <c r="O568" s="32"/>
      <c r="P568" s="38" t="str">
        <f aca="true">IF($E568="","",IF($L568="Cancelada","Cancelada",IF(OR($K568&lt;&gt;"",$L568="Concluída"),IF(OR($J568="",$K568="",$K568&lt;=$J568),"Concluída","Concluída com atraso"),IF($J568="","Na carteira",IF($J568&lt;TODAY(),"VENCIDA",IF($L568="Em execução","Em execução",IF($J568=TODAY(),"Hoje","Programada")))))))</f>
        <v/>
      </c>
      <c r="Q568" s="31" t="str">
        <f aca="false">IF($E568="","",IF(ISNUMBER(SEARCH("(externo)",$G568)),"Terceirizada","Interna"))</f>
        <v/>
      </c>
      <c r="R568" s="36" t="str">
        <f aca="false">IF($J568="","",IF($M568="",$J568,$M568))</f>
        <v/>
      </c>
      <c r="S568" s="31" t="str">
        <f aca="false">IF($E568="","",IF(OR($K568="",$J568=""),0,IF($K568&lt;=$J568,1,0)))</f>
        <v/>
      </c>
      <c r="T568" s="31" t="str">
        <f aca="false">IF($E568="","",IF(OR($K568="",$R568=""),0,IF($K568&lt;=$R568,1,0)))</f>
        <v/>
      </c>
      <c r="U568" s="38" t="str">
        <f aca="false">IF(OR($K568="",$J568=""),"",MAX(0,$K568-$J568))</f>
        <v/>
      </c>
      <c r="V568" s="31" t="str">
        <f aca="false">IF($E568="","",IF(AND($M568&lt;&gt;"",$J568&lt;&gt;"",$M568&lt;&gt;$J568),1,0))</f>
        <v/>
      </c>
      <c r="W568" s="39" t="str">
        <f aca="false">IF($E568="","",IF($L568="Cancelada",0,IF(OR($K568&lt;&gt;"",$L568="Concluída"),1,0)))</f>
        <v/>
      </c>
    </row>
    <row r="569" customFormat="false" ht="15" hidden="false" customHeight="true" outlineLevel="0" collapsed="false">
      <c r="A569" s="31" t="str">
        <f aca="false">IF($E569="","",COUNTA($E$5:$E569))</f>
        <v/>
      </c>
      <c r="B569" s="32"/>
      <c r="C569" s="32"/>
      <c r="D569" s="32"/>
      <c r="E569" s="32"/>
      <c r="F569" s="33"/>
      <c r="G569" s="32"/>
      <c r="H569" s="34"/>
      <c r="I569" s="35"/>
      <c r="J569" s="36" t="str">
        <f aca="false">IF(OR($H569="",$I569=""),"",$H569+MATCH($I569,Listas!$F$5:$F$11,0)-1)</f>
        <v/>
      </c>
      <c r="K569" s="37"/>
      <c r="L569" s="33"/>
      <c r="M569" s="37"/>
      <c r="N569" s="32"/>
      <c r="O569" s="32"/>
      <c r="P569" s="38" t="str">
        <f aca="true">IF($E569="","",IF($L569="Cancelada","Cancelada",IF(OR($K569&lt;&gt;"",$L569="Concluída"),IF(OR($J569="",$K569="",$K569&lt;=$J569),"Concluída","Concluída com atraso"),IF($J569="","Na carteira",IF($J569&lt;TODAY(),"VENCIDA",IF($L569="Em execução","Em execução",IF($J569=TODAY(),"Hoje","Programada")))))))</f>
        <v/>
      </c>
      <c r="Q569" s="31" t="str">
        <f aca="false">IF($E569="","",IF(ISNUMBER(SEARCH("(externo)",$G569)),"Terceirizada","Interna"))</f>
        <v/>
      </c>
      <c r="R569" s="36" t="str">
        <f aca="false">IF($J569="","",IF($M569="",$J569,$M569))</f>
        <v/>
      </c>
      <c r="S569" s="31" t="str">
        <f aca="false">IF($E569="","",IF(OR($K569="",$J569=""),0,IF($K569&lt;=$J569,1,0)))</f>
        <v/>
      </c>
      <c r="T569" s="31" t="str">
        <f aca="false">IF($E569="","",IF(OR($K569="",$R569=""),0,IF($K569&lt;=$R569,1,0)))</f>
        <v/>
      </c>
      <c r="U569" s="38" t="str">
        <f aca="false">IF(OR($K569="",$J569=""),"",MAX(0,$K569-$J569))</f>
        <v/>
      </c>
      <c r="V569" s="31" t="str">
        <f aca="false">IF($E569="","",IF(AND($M569&lt;&gt;"",$J569&lt;&gt;"",$M569&lt;&gt;$J569),1,0))</f>
        <v/>
      </c>
      <c r="W569" s="39" t="str">
        <f aca="false">IF($E569="","",IF($L569="Cancelada",0,IF(OR($K569&lt;&gt;"",$L569="Concluída"),1,0)))</f>
        <v/>
      </c>
    </row>
    <row r="570" customFormat="false" ht="15" hidden="false" customHeight="true" outlineLevel="0" collapsed="false">
      <c r="A570" s="31" t="str">
        <f aca="false">IF($E570="","",COUNTA($E$5:$E570))</f>
        <v/>
      </c>
      <c r="B570" s="32"/>
      <c r="C570" s="32"/>
      <c r="D570" s="32"/>
      <c r="E570" s="32"/>
      <c r="F570" s="33"/>
      <c r="G570" s="32"/>
      <c r="H570" s="34"/>
      <c r="I570" s="35"/>
      <c r="J570" s="36" t="str">
        <f aca="false">IF(OR($H570="",$I570=""),"",$H570+MATCH($I570,Listas!$F$5:$F$11,0)-1)</f>
        <v/>
      </c>
      <c r="K570" s="37"/>
      <c r="L570" s="33"/>
      <c r="M570" s="37"/>
      <c r="N570" s="32"/>
      <c r="O570" s="32"/>
      <c r="P570" s="38" t="str">
        <f aca="true">IF($E570="","",IF($L570="Cancelada","Cancelada",IF(OR($K570&lt;&gt;"",$L570="Concluída"),IF(OR($J570="",$K570="",$K570&lt;=$J570),"Concluída","Concluída com atraso"),IF($J570="","Na carteira",IF($J570&lt;TODAY(),"VENCIDA",IF($L570="Em execução","Em execução",IF($J570=TODAY(),"Hoje","Programada")))))))</f>
        <v/>
      </c>
      <c r="Q570" s="31" t="str">
        <f aca="false">IF($E570="","",IF(ISNUMBER(SEARCH("(externo)",$G570)),"Terceirizada","Interna"))</f>
        <v/>
      </c>
      <c r="R570" s="36" t="str">
        <f aca="false">IF($J570="","",IF($M570="",$J570,$M570))</f>
        <v/>
      </c>
      <c r="S570" s="31" t="str">
        <f aca="false">IF($E570="","",IF(OR($K570="",$J570=""),0,IF($K570&lt;=$J570,1,0)))</f>
        <v/>
      </c>
      <c r="T570" s="31" t="str">
        <f aca="false">IF($E570="","",IF(OR($K570="",$R570=""),0,IF($K570&lt;=$R570,1,0)))</f>
        <v/>
      </c>
      <c r="U570" s="38" t="str">
        <f aca="false">IF(OR($K570="",$J570=""),"",MAX(0,$K570-$J570))</f>
        <v/>
      </c>
      <c r="V570" s="31" t="str">
        <f aca="false">IF($E570="","",IF(AND($M570&lt;&gt;"",$J570&lt;&gt;"",$M570&lt;&gt;$J570),1,0))</f>
        <v/>
      </c>
      <c r="W570" s="39" t="str">
        <f aca="false">IF($E570="","",IF($L570="Cancelada",0,IF(OR($K570&lt;&gt;"",$L570="Concluída"),1,0)))</f>
        <v/>
      </c>
    </row>
    <row r="571" customFormat="false" ht="15" hidden="false" customHeight="true" outlineLevel="0" collapsed="false">
      <c r="A571" s="31" t="str">
        <f aca="false">IF($E571="","",COUNTA($E$5:$E571))</f>
        <v/>
      </c>
      <c r="B571" s="32"/>
      <c r="C571" s="32"/>
      <c r="D571" s="32"/>
      <c r="E571" s="32"/>
      <c r="F571" s="33"/>
      <c r="G571" s="32"/>
      <c r="H571" s="34"/>
      <c r="I571" s="35"/>
      <c r="J571" s="36" t="str">
        <f aca="false">IF(OR($H571="",$I571=""),"",$H571+MATCH($I571,Listas!$F$5:$F$11,0)-1)</f>
        <v/>
      </c>
      <c r="K571" s="37"/>
      <c r="L571" s="33"/>
      <c r="M571" s="37"/>
      <c r="N571" s="32"/>
      <c r="O571" s="32"/>
      <c r="P571" s="38" t="str">
        <f aca="true">IF($E571="","",IF($L571="Cancelada","Cancelada",IF(OR($K571&lt;&gt;"",$L571="Concluída"),IF(OR($J571="",$K571="",$K571&lt;=$J571),"Concluída","Concluída com atraso"),IF($J571="","Na carteira",IF($J571&lt;TODAY(),"VENCIDA",IF($L571="Em execução","Em execução",IF($J571=TODAY(),"Hoje","Programada")))))))</f>
        <v/>
      </c>
      <c r="Q571" s="31" t="str">
        <f aca="false">IF($E571="","",IF(ISNUMBER(SEARCH("(externo)",$G571)),"Terceirizada","Interna"))</f>
        <v/>
      </c>
      <c r="R571" s="36" t="str">
        <f aca="false">IF($J571="","",IF($M571="",$J571,$M571))</f>
        <v/>
      </c>
      <c r="S571" s="31" t="str">
        <f aca="false">IF($E571="","",IF(OR($K571="",$J571=""),0,IF($K571&lt;=$J571,1,0)))</f>
        <v/>
      </c>
      <c r="T571" s="31" t="str">
        <f aca="false">IF($E571="","",IF(OR($K571="",$R571=""),0,IF($K571&lt;=$R571,1,0)))</f>
        <v/>
      </c>
      <c r="U571" s="38" t="str">
        <f aca="false">IF(OR($K571="",$J571=""),"",MAX(0,$K571-$J571))</f>
        <v/>
      </c>
      <c r="V571" s="31" t="str">
        <f aca="false">IF($E571="","",IF(AND($M571&lt;&gt;"",$J571&lt;&gt;"",$M571&lt;&gt;$J571),1,0))</f>
        <v/>
      </c>
      <c r="W571" s="39" t="str">
        <f aca="false">IF($E571="","",IF($L571="Cancelada",0,IF(OR($K571&lt;&gt;"",$L571="Concluída"),1,0)))</f>
        <v/>
      </c>
    </row>
    <row r="572" customFormat="false" ht="15" hidden="false" customHeight="true" outlineLevel="0" collapsed="false">
      <c r="A572" s="31" t="str">
        <f aca="false">IF($E572="","",COUNTA($E$5:$E572))</f>
        <v/>
      </c>
      <c r="B572" s="32"/>
      <c r="C572" s="32"/>
      <c r="D572" s="32"/>
      <c r="E572" s="32"/>
      <c r="F572" s="33"/>
      <c r="G572" s="32"/>
      <c r="H572" s="34"/>
      <c r="I572" s="35"/>
      <c r="J572" s="36" t="str">
        <f aca="false">IF(OR($H572="",$I572=""),"",$H572+MATCH($I572,Listas!$F$5:$F$11,0)-1)</f>
        <v/>
      </c>
      <c r="K572" s="37"/>
      <c r="L572" s="33"/>
      <c r="M572" s="37"/>
      <c r="N572" s="32"/>
      <c r="O572" s="32"/>
      <c r="P572" s="38" t="str">
        <f aca="true">IF($E572="","",IF($L572="Cancelada","Cancelada",IF(OR($K572&lt;&gt;"",$L572="Concluída"),IF(OR($J572="",$K572="",$K572&lt;=$J572),"Concluída","Concluída com atraso"),IF($J572="","Na carteira",IF($J572&lt;TODAY(),"VENCIDA",IF($L572="Em execução","Em execução",IF($J572=TODAY(),"Hoje","Programada")))))))</f>
        <v/>
      </c>
      <c r="Q572" s="31" t="str">
        <f aca="false">IF($E572="","",IF(ISNUMBER(SEARCH("(externo)",$G572)),"Terceirizada","Interna"))</f>
        <v/>
      </c>
      <c r="R572" s="36" t="str">
        <f aca="false">IF($J572="","",IF($M572="",$J572,$M572))</f>
        <v/>
      </c>
      <c r="S572" s="31" t="str">
        <f aca="false">IF($E572="","",IF(OR($K572="",$J572=""),0,IF($K572&lt;=$J572,1,0)))</f>
        <v/>
      </c>
      <c r="T572" s="31" t="str">
        <f aca="false">IF($E572="","",IF(OR($K572="",$R572=""),0,IF($K572&lt;=$R572,1,0)))</f>
        <v/>
      </c>
      <c r="U572" s="38" t="str">
        <f aca="false">IF(OR($K572="",$J572=""),"",MAX(0,$K572-$J572))</f>
        <v/>
      </c>
      <c r="V572" s="31" t="str">
        <f aca="false">IF($E572="","",IF(AND($M572&lt;&gt;"",$J572&lt;&gt;"",$M572&lt;&gt;$J572),1,0))</f>
        <v/>
      </c>
      <c r="W572" s="39" t="str">
        <f aca="false">IF($E572="","",IF($L572="Cancelada",0,IF(OR($K572&lt;&gt;"",$L572="Concluída"),1,0)))</f>
        <v/>
      </c>
    </row>
    <row r="573" customFormat="false" ht="15" hidden="false" customHeight="true" outlineLevel="0" collapsed="false">
      <c r="A573" s="31" t="str">
        <f aca="false">IF($E573="","",COUNTA($E$5:$E573))</f>
        <v/>
      </c>
      <c r="B573" s="32"/>
      <c r="C573" s="32"/>
      <c r="D573" s="32"/>
      <c r="E573" s="32"/>
      <c r="F573" s="33"/>
      <c r="G573" s="32"/>
      <c r="H573" s="34"/>
      <c r="I573" s="35"/>
      <c r="J573" s="36" t="str">
        <f aca="false">IF(OR($H573="",$I573=""),"",$H573+MATCH($I573,Listas!$F$5:$F$11,0)-1)</f>
        <v/>
      </c>
      <c r="K573" s="37"/>
      <c r="L573" s="33"/>
      <c r="M573" s="37"/>
      <c r="N573" s="32"/>
      <c r="O573" s="32"/>
      <c r="P573" s="38" t="str">
        <f aca="true">IF($E573="","",IF($L573="Cancelada","Cancelada",IF(OR($K573&lt;&gt;"",$L573="Concluída"),IF(OR($J573="",$K573="",$K573&lt;=$J573),"Concluída","Concluída com atraso"),IF($J573="","Na carteira",IF($J573&lt;TODAY(),"VENCIDA",IF($L573="Em execução","Em execução",IF($J573=TODAY(),"Hoje","Programada")))))))</f>
        <v/>
      </c>
      <c r="Q573" s="31" t="str">
        <f aca="false">IF($E573="","",IF(ISNUMBER(SEARCH("(externo)",$G573)),"Terceirizada","Interna"))</f>
        <v/>
      </c>
      <c r="R573" s="36" t="str">
        <f aca="false">IF($J573="","",IF($M573="",$J573,$M573))</f>
        <v/>
      </c>
      <c r="S573" s="31" t="str">
        <f aca="false">IF($E573="","",IF(OR($K573="",$J573=""),0,IF($K573&lt;=$J573,1,0)))</f>
        <v/>
      </c>
      <c r="T573" s="31" t="str">
        <f aca="false">IF($E573="","",IF(OR($K573="",$R573=""),0,IF($K573&lt;=$R573,1,0)))</f>
        <v/>
      </c>
      <c r="U573" s="38" t="str">
        <f aca="false">IF(OR($K573="",$J573=""),"",MAX(0,$K573-$J573))</f>
        <v/>
      </c>
      <c r="V573" s="31" t="str">
        <f aca="false">IF($E573="","",IF(AND($M573&lt;&gt;"",$J573&lt;&gt;"",$M573&lt;&gt;$J573),1,0))</f>
        <v/>
      </c>
      <c r="W573" s="39" t="str">
        <f aca="false">IF($E573="","",IF($L573="Cancelada",0,IF(OR($K573&lt;&gt;"",$L573="Concluída"),1,0)))</f>
        <v/>
      </c>
    </row>
    <row r="574" customFormat="false" ht="15" hidden="false" customHeight="true" outlineLevel="0" collapsed="false">
      <c r="A574" s="31" t="str">
        <f aca="false">IF($E574="","",COUNTA($E$5:$E574))</f>
        <v/>
      </c>
      <c r="B574" s="32"/>
      <c r="C574" s="32"/>
      <c r="D574" s="32"/>
      <c r="E574" s="32"/>
      <c r="F574" s="33"/>
      <c r="G574" s="32"/>
      <c r="H574" s="34"/>
      <c r="I574" s="35"/>
      <c r="J574" s="36" t="str">
        <f aca="false">IF(OR($H574="",$I574=""),"",$H574+MATCH($I574,Listas!$F$5:$F$11,0)-1)</f>
        <v/>
      </c>
      <c r="K574" s="37"/>
      <c r="L574" s="33"/>
      <c r="M574" s="37"/>
      <c r="N574" s="32"/>
      <c r="O574" s="32"/>
      <c r="P574" s="38" t="str">
        <f aca="true">IF($E574="","",IF($L574="Cancelada","Cancelada",IF(OR($K574&lt;&gt;"",$L574="Concluída"),IF(OR($J574="",$K574="",$K574&lt;=$J574),"Concluída","Concluída com atraso"),IF($J574="","Na carteira",IF($J574&lt;TODAY(),"VENCIDA",IF($L574="Em execução","Em execução",IF($J574=TODAY(),"Hoje","Programada")))))))</f>
        <v/>
      </c>
      <c r="Q574" s="31" t="str">
        <f aca="false">IF($E574="","",IF(ISNUMBER(SEARCH("(externo)",$G574)),"Terceirizada","Interna"))</f>
        <v/>
      </c>
      <c r="R574" s="36" t="str">
        <f aca="false">IF($J574="","",IF($M574="",$J574,$M574))</f>
        <v/>
      </c>
      <c r="S574" s="31" t="str">
        <f aca="false">IF($E574="","",IF(OR($K574="",$J574=""),0,IF($K574&lt;=$J574,1,0)))</f>
        <v/>
      </c>
      <c r="T574" s="31" t="str">
        <f aca="false">IF($E574="","",IF(OR($K574="",$R574=""),0,IF($K574&lt;=$R574,1,0)))</f>
        <v/>
      </c>
      <c r="U574" s="38" t="str">
        <f aca="false">IF(OR($K574="",$J574=""),"",MAX(0,$K574-$J574))</f>
        <v/>
      </c>
      <c r="V574" s="31" t="str">
        <f aca="false">IF($E574="","",IF(AND($M574&lt;&gt;"",$J574&lt;&gt;"",$M574&lt;&gt;$J574),1,0))</f>
        <v/>
      </c>
      <c r="W574" s="39" t="str">
        <f aca="false">IF($E574="","",IF($L574="Cancelada",0,IF(OR($K574&lt;&gt;"",$L574="Concluída"),1,0)))</f>
        <v/>
      </c>
    </row>
    <row r="575" customFormat="false" ht="15" hidden="false" customHeight="true" outlineLevel="0" collapsed="false">
      <c r="A575" s="31" t="str">
        <f aca="false">IF($E575="","",COUNTA($E$5:$E575))</f>
        <v/>
      </c>
      <c r="B575" s="32"/>
      <c r="C575" s="32"/>
      <c r="D575" s="32"/>
      <c r="E575" s="32"/>
      <c r="F575" s="33"/>
      <c r="G575" s="32"/>
      <c r="H575" s="34"/>
      <c r="I575" s="35"/>
      <c r="J575" s="36" t="str">
        <f aca="false">IF(OR($H575="",$I575=""),"",$H575+MATCH($I575,Listas!$F$5:$F$11,0)-1)</f>
        <v/>
      </c>
      <c r="K575" s="37"/>
      <c r="L575" s="33"/>
      <c r="M575" s="37"/>
      <c r="N575" s="32"/>
      <c r="O575" s="32"/>
      <c r="P575" s="38" t="str">
        <f aca="true">IF($E575="","",IF($L575="Cancelada","Cancelada",IF(OR($K575&lt;&gt;"",$L575="Concluída"),IF(OR($J575="",$K575="",$K575&lt;=$J575),"Concluída","Concluída com atraso"),IF($J575="","Na carteira",IF($J575&lt;TODAY(),"VENCIDA",IF($L575="Em execução","Em execução",IF($J575=TODAY(),"Hoje","Programada")))))))</f>
        <v/>
      </c>
      <c r="Q575" s="31" t="str">
        <f aca="false">IF($E575="","",IF(ISNUMBER(SEARCH("(externo)",$G575)),"Terceirizada","Interna"))</f>
        <v/>
      </c>
      <c r="R575" s="36" t="str">
        <f aca="false">IF($J575="","",IF($M575="",$J575,$M575))</f>
        <v/>
      </c>
      <c r="S575" s="31" t="str">
        <f aca="false">IF($E575="","",IF(OR($K575="",$J575=""),0,IF($K575&lt;=$J575,1,0)))</f>
        <v/>
      </c>
      <c r="T575" s="31" t="str">
        <f aca="false">IF($E575="","",IF(OR($K575="",$R575=""),0,IF($K575&lt;=$R575,1,0)))</f>
        <v/>
      </c>
      <c r="U575" s="38" t="str">
        <f aca="false">IF(OR($K575="",$J575=""),"",MAX(0,$K575-$J575))</f>
        <v/>
      </c>
      <c r="V575" s="31" t="str">
        <f aca="false">IF($E575="","",IF(AND($M575&lt;&gt;"",$J575&lt;&gt;"",$M575&lt;&gt;$J575),1,0))</f>
        <v/>
      </c>
      <c r="W575" s="39" t="str">
        <f aca="false">IF($E575="","",IF($L575="Cancelada",0,IF(OR($K575&lt;&gt;"",$L575="Concluída"),1,0)))</f>
        <v/>
      </c>
    </row>
    <row r="576" customFormat="false" ht="15" hidden="false" customHeight="true" outlineLevel="0" collapsed="false">
      <c r="A576" s="31" t="str">
        <f aca="false">IF($E576="","",COUNTA($E$5:$E576))</f>
        <v/>
      </c>
      <c r="B576" s="32"/>
      <c r="C576" s="32"/>
      <c r="D576" s="32"/>
      <c r="E576" s="32"/>
      <c r="F576" s="33"/>
      <c r="G576" s="32"/>
      <c r="H576" s="34"/>
      <c r="I576" s="35"/>
      <c r="J576" s="36" t="str">
        <f aca="false">IF(OR($H576="",$I576=""),"",$H576+MATCH($I576,Listas!$F$5:$F$11,0)-1)</f>
        <v/>
      </c>
      <c r="K576" s="37"/>
      <c r="L576" s="33"/>
      <c r="M576" s="37"/>
      <c r="N576" s="32"/>
      <c r="O576" s="32"/>
      <c r="P576" s="38" t="str">
        <f aca="true">IF($E576="","",IF($L576="Cancelada","Cancelada",IF(OR($K576&lt;&gt;"",$L576="Concluída"),IF(OR($J576="",$K576="",$K576&lt;=$J576),"Concluída","Concluída com atraso"),IF($J576="","Na carteira",IF($J576&lt;TODAY(),"VENCIDA",IF($L576="Em execução","Em execução",IF($J576=TODAY(),"Hoje","Programada")))))))</f>
        <v/>
      </c>
      <c r="Q576" s="31" t="str">
        <f aca="false">IF($E576="","",IF(ISNUMBER(SEARCH("(externo)",$G576)),"Terceirizada","Interna"))</f>
        <v/>
      </c>
      <c r="R576" s="36" t="str">
        <f aca="false">IF($J576="","",IF($M576="",$J576,$M576))</f>
        <v/>
      </c>
      <c r="S576" s="31" t="str">
        <f aca="false">IF($E576="","",IF(OR($K576="",$J576=""),0,IF($K576&lt;=$J576,1,0)))</f>
        <v/>
      </c>
      <c r="T576" s="31" t="str">
        <f aca="false">IF($E576="","",IF(OR($K576="",$R576=""),0,IF($K576&lt;=$R576,1,0)))</f>
        <v/>
      </c>
      <c r="U576" s="38" t="str">
        <f aca="false">IF(OR($K576="",$J576=""),"",MAX(0,$K576-$J576))</f>
        <v/>
      </c>
      <c r="V576" s="31" t="str">
        <f aca="false">IF($E576="","",IF(AND($M576&lt;&gt;"",$J576&lt;&gt;"",$M576&lt;&gt;$J576),1,0))</f>
        <v/>
      </c>
      <c r="W576" s="39" t="str">
        <f aca="false">IF($E576="","",IF($L576="Cancelada",0,IF(OR($K576&lt;&gt;"",$L576="Concluída"),1,0)))</f>
        <v/>
      </c>
    </row>
    <row r="577" customFormat="false" ht="15" hidden="false" customHeight="true" outlineLevel="0" collapsed="false">
      <c r="A577" s="31" t="str">
        <f aca="false">IF($E577="","",COUNTA($E$5:$E577))</f>
        <v/>
      </c>
      <c r="B577" s="32"/>
      <c r="C577" s="32"/>
      <c r="D577" s="32"/>
      <c r="E577" s="32"/>
      <c r="F577" s="33"/>
      <c r="G577" s="32"/>
      <c r="H577" s="34"/>
      <c r="I577" s="35"/>
      <c r="J577" s="36" t="str">
        <f aca="false">IF(OR($H577="",$I577=""),"",$H577+MATCH($I577,Listas!$F$5:$F$11,0)-1)</f>
        <v/>
      </c>
      <c r="K577" s="37"/>
      <c r="L577" s="33"/>
      <c r="M577" s="37"/>
      <c r="N577" s="32"/>
      <c r="O577" s="32"/>
      <c r="P577" s="38" t="str">
        <f aca="true">IF($E577="","",IF($L577="Cancelada","Cancelada",IF(OR($K577&lt;&gt;"",$L577="Concluída"),IF(OR($J577="",$K577="",$K577&lt;=$J577),"Concluída","Concluída com atraso"),IF($J577="","Na carteira",IF($J577&lt;TODAY(),"VENCIDA",IF($L577="Em execução","Em execução",IF($J577=TODAY(),"Hoje","Programada")))))))</f>
        <v/>
      </c>
      <c r="Q577" s="31" t="str">
        <f aca="false">IF($E577="","",IF(ISNUMBER(SEARCH("(externo)",$G577)),"Terceirizada","Interna"))</f>
        <v/>
      </c>
      <c r="R577" s="36" t="str">
        <f aca="false">IF($J577="","",IF($M577="",$J577,$M577))</f>
        <v/>
      </c>
      <c r="S577" s="31" t="str">
        <f aca="false">IF($E577="","",IF(OR($K577="",$J577=""),0,IF($K577&lt;=$J577,1,0)))</f>
        <v/>
      </c>
      <c r="T577" s="31" t="str">
        <f aca="false">IF($E577="","",IF(OR($K577="",$R577=""),0,IF($K577&lt;=$R577,1,0)))</f>
        <v/>
      </c>
      <c r="U577" s="38" t="str">
        <f aca="false">IF(OR($K577="",$J577=""),"",MAX(0,$K577-$J577))</f>
        <v/>
      </c>
      <c r="V577" s="31" t="str">
        <f aca="false">IF($E577="","",IF(AND($M577&lt;&gt;"",$J577&lt;&gt;"",$M577&lt;&gt;$J577),1,0))</f>
        <v/>
      </c>
      <c r="W577" s="39" t="str">
        <f aca="false">IF($E577="","",IF($L577="Cancelada",0,IF(OR($K577&lt;&gt;"",$L577="Concluída"),1,0)))</f>
        <v/>
      </c>
    </row>
    <row r="578" customFormat="false" ht="15" hidden="false" customHeight="true" outlineLevel="0" collapsed="false">
      <c r="A578" s="31" t="str">
        <f aca="false">IF($E578="","",COUNTA($E$5:$E578))</f>
        <v/>
      </c>
      <c r="B578" s="32"/>
      <c r="C578" s="32"/>
      <c r="D578" s="32"/>
      <c r="E578" s="32"/>
      <c r="F578" s="33"/>
      <c r="G578" s="32"/>
      <c r="H578" s="34"/>
      <c r="I578" s="35"/>
      <c r="J578" s="36" t="str">
        <f aca="false">IF(OR($H578="",$I578=""),"",$H578+MATCH($I578,Listas!$F$5:$F$11,0)-1)</f>
        <v/>
      </c>
      <c r="K578" s="37"/>
      <c r="L578" s="33"/>
      <c r="M578" s="37"/>
      <c r="N578" s="32"/>
      <c r="O578" s="32"/>
      <c r="P578" s="38" t="str">
        <f aca="true">IF($E578="","",IF($L578="Cancelada","Cancelada",IF(OR($K578&lt;&gt;"",$L578="Concluída"),IF(OR($J578="",$K578="",$K578&lt;=$J578),"Concluída","Concluída com atraso"),IF($J578="","Na carteira",IF($J578&lt;TODAY(),"VENCIDA",IF($L578="Em execução","Em execução",IF($J578=TODAY(),"Hoje","Programada")))))))</f>
        <v/>
      </c>
      <c r="Q578" s="31" t="str">
        <f aca="false">IF($E578="","",IF(ISNUMBER(SEARCH("(externo)",$G578)),"Terceirizada","Interna"))</f>
        <v/>
      </c>
      <c r="R578" s="36" t="str">
        <f aca="false">IF($J578="","",IF($M578="",$J578,$M578))</f>
        <v/>
      </c>
      <c r="S578" s="31" t="str">
        <f aca="false">IF($E578="","",IF(OR($K578="",$J578=""),0,IF($K578&lt;=$J578,1,0)))</f>
        <v/>
      </c>
      <c r="T578" s="31" t="str">
        <f aca="false">IF($E578="","",IF(OR($K578="",$R578=""),0,IF($K578&lt;=$R578,1,0)))</f>
        <v/>
      </c>
      <c r="U578" s="38" t="str">
        <f aca="false">IF(OR($K578="",$J578=""),"",MAX(0,$K578-$J578))</f>
        <v/>
      </c>
      <c r="V578" s="31" t="str">
        <f aca="false">IF($E578="","",IF(AND($M578&lt;&gt;"",$J578&lt;&gt;"",$M578&lt;&gt;$J578),1,0))</f>
        <v/>
      </c>
      <c r="W578" s="39" t="str">
        <f aca="false">IF($E578="","",IF($L578="Cancelada",0,IF(OR($K578&lt;&gt;"",$L578="Concluída"),1,0)))</f>
        <v/>
      </c>
    </row>
    <row r="579" customFormat="false" ht="15" hidden="false" customHeight="true" outlineLevel="0" collapsed="false">
      <c r="A579" s="31" t="str">
        <f aca="false">IF($E579="","",COUNTA($E$5:$E579))</f>
        <v/>
      </c>
      <c r="B579" s="32"/>
      <c r="C579" s="32"/>
      <c r="D579" s="32"/>
      <c r="E579" s="32"/>
      <c r="F579" s="33"/>
      <c r="G579" s="32"/>
      <c r="H579" s="34"/>
      <c r="I579" s="35"/>
      <c r="J579" s="36" t="str">
        <f aca="false">IF(OR($H579="",$I579=""),"",$H579+MATCH($I579,Listas!$F$5:$F$11,0)-1)</f>
        <v/>
      </c>
      <c r="K579" s="37"/>
      <c r="L579" s="33"/>
      <c r="M579" s="37"/>
      <c r="N579" s="32"/>
      <c r="O579" s="32"/>
      <c r="P579" s="38" t="str">
        <f aca="true">IF($E579="","",IF($L579="Cancelada","Cancelada",IF(OR($K579&lt;&gt;"",$L579="Concluída"),IF(OR($J579="",$K579="",$K579&lt;=$J579),"Concluída","Concluída com atraso"),IF($J579="","Na carteira",IF($J579&lt;TODAY(),"VENCIDA",IF($L579="Em execução","Em execução",IF($J579=TODAY(),"Hoje","Programada")))))))</f>
        <v/>
      </c>
      <c r="Q579" s="31" t="str">
        <f aca="false">IF($E579="","",IF(ISNUMBER(SEARCH("(externo)",$G579)),"Terceirizada","Interna"))</f>
        <v/>
      </c>
      <c r="R579" s="36" t="str">
        <f aca="false">IF($J579="","",IF($M579="",$J579,$M579))</f>
        <v/>
      </c>
      <c r="S579" s="31" t="str">
        <f aca="false">IF($E579="","",IF(OR($K579="",$J579=""),0,IF($K579&lt;=$J579,1,0)))</f>
        <v/>
      </c>
      <c r="T579" s="31" t="str">
        <f aca="false">IF($E579="","",IF(OR($K579="",$R579=""),0,IF($K579&lt;=$R579,1,0)))</f>
        <v/>
      </c>
      <c r="U579" s="38" t="str">
        <f aca="false">IF(OR($K579="",$J579=""),"",MAX(0,$K579-$J579))</f>
        <v/>
      </c>
      <c r="V579" s="31" t="str">
        <f aca="false">IF($E579="","",IF(AND($M579&lt;&gt;"",$J579&lt;&gt;"",$M579&lt;&gt;$J579),1,0))</f>
        <v/>
      </c>
      <c r="W579" s="39" t="str">
        <f aca="false">IF($E579="","",IF($L579="Cancelada",0,IF(OR($K579&lt;&gt;"",$L579="Concluída"),1,0)))</f>
        <v/>
      </c>
    </row>
    <row r="580" customFormat="false" ht="15" hidden="false" customHeight="true" outlineLevel="0" collapsed="false">
      <c r="A580" s="31" t="str">
        <f aca="false">IF($E580="","",COUNTA($E$5:$E580))</f>
        <v/>
      </c>
      <c r="B580" s="32"/>
      <c r="C580" s="32"/>
      <c r="D580" s="32"/>
      <c r="E580" s="32"/>
      <c r="F580" s="33"/>
      <c r="G580" s="32"/>
      <c r="H580" s="34"/>
      <c r="I580" s="35"/>
      <c r="J580" s="36" t="str">
        <f aca="false">IF(OR($H580="",$I580=""),"",$H580+MATCH($I580,Listas!$F$5:$F$11,0)-1)</f>
        <v/>
      </c>
      <c r="K580" s="37"/>
      <c r="L580" s="33"/>
      <c r="M580" s="37"/>
      <c r="N580" s="32"/>
      <c r="O580" s="32"/>
      <c r="P580" s="38" t="str">
        <f aca="true">IF($E580="","",IF($L580="Cancelada","Cancelada",IF(OR($K580&lt;&gt;"",$L580="Concluída"),IF(OR($J580="",$K580="",$K580&lt;=$J580),"Concluída","Concluída com atraso"),IF($J580="","Na carteira",IF($J580&lt;TODAY(),"VENCIDA",IF($L580="Em execução","Em execução",IF($J580=TODAY(),"Hoje","Programada")))))))</f>
        <v/>
      </c>
      <c r="Q580" s="31" t="str">
        <f aca="false">IF($E580="","",IF(ISNUMBER(SEARCH("(externo)",$G580)),"Terceirizada","Interna"))</f>
        <v/>
      </c>
      <c r="R580" s="36" t="str">
        <f aca="false">IF($J580="","",IF($M580="",$J580,$M580))</f>
        <v/>
      </c>
      <c r="S580" s="31" t="str">
        <f aca="false">IF($E580="","",IF(OR($K580="",$J580=""),0,IF($K580&lt;=$J580,1,0)))</f>
        <v/>
      </c>
      <c r="T580" s="31" t="str">
        <f aca="false">IF($E580="","",IF(OR($K580="",$R580=""),0,IF($K580&lt;=$R580,1,0)))</f>
        <v/>
      </c>
      <c r="U580" s="38" t="str">
        <f aca="false">IF(OR($K580="",$J580=""),"",MAX(0,$K580-$J580))</f>
        <v/>
      </c>
      <c r="V580" s="31" t="str">
        <f aca="false">IF($E580="","",IF(AND($M580&lt;&gt;"",$J580&lt;&gt;"",$M580&lt;&gt;$J580),1,0))</f>
        <v/>
      </c>
      <c r="W580" s="39" t="str">
        <f aca="false">IF($E580="","",IF($L580="Cancelada",0,IF(OR($K580&lt;&gt;"",$L580="Concluída"),1,0)))</f>
        <v/>
      </c>
    </row>
    <row r="581" customFormat="false" ht="15" hidden="false" customHeight="true" outlineLevel="0" collapsed="false">
      <c r="A581" s="31" t="str">
        <f aca="false">IF($E581="","",COUNTA($E$5:$E581))</f>
        <v/>
      </c>
      <c r="B581" s="32"/>
      <c r="C581" s="32"/>
      <c r="D581" s="32"/>
      <c r="E581" s="32"/>
      <c r="F581" s="33"/>
      <c r="G581" s="32"/>
      <c r="H581" s="34"/>
      <c r="I581" s="35"/>
      <c r="J581" s="36" t="str">
        <f aca="false">IF(OR($H581="",$I581=""),"",$H581+MATCH($I581,Listas!$F$5:$F$11,0)-1)</f>
        <v/>
      </c>
      <c r="K581" s="37"/>
      <c r="L581" s="33"/>
      <c r="M581" s="37"/>
      <c r="N581" s="32"/>
      <c r="O581" s="32"/>
      <c r="P581" s="38" t="str">
        <f aca="true">IF($E581="","",IF($L581="Cancelada","Cancelada",IF(OR($K581&lt;&gt;"",$L581="Concluída"),IF(OR($J581="",$K581="",$K581&lt;=$J581),"Concluída","Concluída com atraso"),IF($J581="","Na carteira",IF($J581&lt;TODAY(),"VENCIDA",IF($L581="Em execução","Em execução",IF($J581=TODAY(),"Hoje","Programada")))))))</f>
        <v/>
      </c>
      <c r="Q581" s="31" t="str">
        <f aca="false">IF($E581="","",IF(ISNUMBER(SEARCH("(externo)",$G581)),"Terceirizada","Interna"))</f>
        <v/>
      </c>
      <c r="R581" s="36" t="str">
        <f aca="false">IF($J581="","",IF($M581="",$J581,$M581))</f>
        <v/>
      </c>
      <c r="S581" s="31" t="str">
        <f aca="false">IF($E581="","",IF(OR($K581="",$J581=""),0,IF($K581&lt;=$J581,1,0)))</f>
        <v/>
      </c>
      <c r="T581" s="31" t="str">
        <f aca="false">IF($E581="","",IF(OR($K581="",$R581=""),0,IF($K581&lt;=$R581,1,0)))</f>
        <v/>
      </c>
      <c r="U581" s="38" t="str">
        <f aca="false">IF(OR($K581="",$J581=""),"",MAX(0,$K581-$J581))</f>
        <v/>
      </c>
      <c r="V581" s="31" t="str">
        <f aca="false">IF($E581="","",IF(AND($M581&lt;&gt;"",$J581&lt;&gt;"",$M581&lt;&gt;$J581),1,0))</f>
        <v/>
      </c>
      <c r="W581" s="39" t="str">
        <f aca="false">IF($E581="","",IF($L581="Cancelada",0,IF(OR($K581&lt;&gt;"",$L581="Concluída"),1,0)))</f>
        <v/>
      </c>
    </row>
    <row r="582" customFormat="false" ht="15" hidden="false" customHeight="true" outlineLevel="0" collapsed="false">
      <c r="A582" s="31" t="str">
        <f aca="false">IF($E582="","",COUNTA($E$5:$E582))</f>
        <v/>
      </c>
      <c r="B582" s="32"/>
      <c r="C582" s="32"/>
      <c r="D582" s="32"/>
      <c r="E582" s="32"/>
      <c r="F582" s="33"/>
      <c r="G582" s="32"/>
      <c r="H582" s="34"/>
      <c r="I582" s="35"/>
      <c r="J582" s="36" t="str">
        <f aca="false">IF(OR($H582="",$I582=""),"",$H582+MATCH($I582,Listas!$F$5:$F$11,0)-1)</f>
        <v/>
      </c>
      <c r="K582" s="37"/>
      <c r="L582" s="33"/>
      <c r="M582" s="37"/>
      <c r="N582" s="32"/>
      <c r="O582" s="32"/>
      <c r="P582" s="38" t="str">
        <f aca="true">IF($E582="","",IF($L582="Cancelada","Cancelada",IF(OR($K582&lt;&gt;"",$L582="Concluída"),IF(OR($J582="",$K582="",$K582&lt;=$J582),"Concluída","Concluída com atraso"),IF($J582="","Na carteira",IF($J582&lt;TODAY(),"VENCIDA",IF($L582="Em execução","Em execução",IF($J582=TODAY(),"Hoje","Programada")))))))</f>
        <v/>
      </c>
      <c r="Q582" s="31" t="str">
        <f aca="false">IF($E582="","",IF(ISNUMBER(SEARCH("(externo)",$G582)),"Terceirizada","Interna"))</f>
        <v/>
      </c>
      <c r="R582" s="36" t="str">
        <f aca="false">IF($J582="","",IF($M582="",$J582,$M582))</f>
        <v/>
      </c>
      <c r="S582" s="31" t="str">
        <f aca="false">IF($E582="","",IF(OR($K582="",$J582=""),0,IF($K582&lt;=$J582,1,0)))</f>
        <v/>
      </c>
      <c r="T582" s="31" t="str">
        <f aca="false">IF($E582="","",IF(OR($K582="",$R582=""),0,IF($K582&lt;=$R582,1,0)))</f>
        <v/>
      </c>
      <c r="U582" s="38" t="str">
        <f aca="false">IF(OR($K582="",$J582=""),"",MAX(0,$K582-$J582))</f>
        <v/>
      </c>
      <c r="V582" s="31" t="str">
        <f aca="false">IF($E582="","",IF(AND($M582&lt;&gt;"",$J582&lt;&gt;"",$M582&lt;&gt;$J582),1,0))</f>
        <v/>
      </c>
      <c r="W582" s="39" t="str">
        <f aca="false">IF($E582="","",IF($L582="Cancelada",0,IF(OR($K582&lt;&gt;"",$L582="Concluída"),1,0)))</f>
        <v/>
      </c>
    </row>
    <row r="583" customFormat="false" ht="15" hidden="false" customHeight="true" outlineLevel="0" collapsed="false">
      <c r="A583" s="31" t="str">
        <f aca="false">IF($E583="","",COUNTA($E$5:$E583))</f>
        <v/>
      </c>
      <c r="B583" s="32"/>
      <c r="C583" s="32"/>
      <c r="D583" s="32"/>
      <c r="E583" s="32"/>
      <c r="F583" s="33"/>
      <c r="G583" s="32"/>
      <c r="H583" s="34"/>
      <c r="I583" s="35"/>
      <c r="J583" s="36" t="str">
        <f aca="false">IF(OR($H583="",$I583=""),"",$H583+MATCH($I583,Listas!$F$5:$F$11,0)-1)</f>
        <v/>
      </c>
      <c r="K583" s="37"/>
      <c r="L583" s="33"/>
      <c r="M583" s="37"/>
      <c r="N583" s="32"/>
      <c r="O583" s="32"/>
      <c r="P583" s="38" t="str">
        <f aca="true">IF($E583="","",IF($L583="Cancelada","Cancelada",IF(OR($K583&lt;&gt;"",$L583="Concluída"),IF(OR($J583="",$K583="",$K583&lt;=$J583),"Concluída","Concluída com atraso"),IF($J583="","Na carteira",IF($J583&lt;TODAY(),"VENCIDA",IF($L583="Em execução","Em execução",IF($J583=TODAY(),"Hoje","Programada")))))))</f>
        <v/>
      </c>
      <c r="Q583" s="31" t="str">
        <f aca="false">IF($E583="","",IF(ISNUMBER(SEARCH("(externo)",$G583)),"Terceirizada","Interna"))</f>
        <v/>
      </c>
      <c r="R583" s="36" t="str">
        <f aca="false">IF($J583="","",IF($M583="",$J583,$M583))</f>
        <v/>
      </c>
      <c r="S583" s="31" t="str">
        <f aca="false">IF($E583="","",IF(OR($K583="",$J583=""),0,IF($K583&lt;=$J583,1,0)))</f>
        <v/>
      </c>
      <c r="T583" s="31" t="str">
        <f aca="false">IF($E583="","",IF(OR($K583="",$R583=""),0,IF($K583&lt;=$R583,1,0)))</f>
        <v/>
      </c>
      <c r="U583" s="38" t="str">
        <f aca="false">IF(OR($K583="",$J583=""),"",MAX(0,$K583-$J583))</f>
        <v/>
      </c>
      <c r="V583" s="31" t="str">
        <f aca="false">IF($E583="","",IF(AND($M583&lt;&gt;"",$J583&lt;&gt;"",$M583&lt;&gt;$J583),1,0))</f>
        <v/>
      </c>
      <c r="W583" s="39" t="str">
        <f aca="false">IF($E583="","",IF($L583="Cancelada",0,IF(OR($K583&lt;&gt;"",$L583="Concluída"),1,0)))</f>
        <v/>
      </c>
    </row>
    <row r="584" customFormat="false" ht="15" hidden="false" customHeight="true" outlineLevel="0" collapsed="false">
      <c r="A584" s="31" t="str">
        <f aca="false">IF($E584="","",COUNTA($E$5:$E584))</f>
        <v/>
      </c>
      <c r="B584" s="32"/>
      <c r="C584" s="32"/>
      <c r="D584" s="32"/>
      <c r="E584" s="32"/>
      <c r="F584" s="33"/>
      <c r="G584" s="32"/>
      <c r="H584" s="34"/>
      <c r="I584" s="35"/>
      <c r="J584" s="36" t="str">
        <f aca="false">IF(OR($H584="",$I584=""),"",$H584+MATCH($I584,Listas!$F$5:$F$11,0)-1)</f>
        <v/>
      </c>
      <c r="K584" s="37"/>
      <c r="L584" s="33"/>
      <c r="M584" s="37"/>
      <c r="N584" s="32"/>
      <c r="O584" s="32"/>
      <c r="P584" s="38" t="str">
        <f aca="true">IF($E584="","",IF($L584="Cancelada","Cancelada",IF(OR($K584&lt;&gt;"",$L584="Concluída"),IF(OR($J584="",$K584="",$K584&lt;=$J584),"Concluída","Concluída com atraso"),IF($J584="","Na carteira",IF($J584&lt;TODAY(),"VENCIDA",IF($L584="Em execução","Em execução",IF($J584=TODAY(),"Hoje","Programada")))))))</f>
        <v/>
      </c>
      <c r="Q584" s="31" t="str">
        <f aca="false">IF($E584="","",IF(ISNUMBER(SEARCH("(externo)",$G584)),"Terceirizada","Interna"))</f>
        <v/>
      </c>
      <c r="R584" s="36" t="str">
        <f aca="false">IF($J584="","",IF($M584="",$J584,$M584))</f>
        <v/>
      </c>
      <c r="S584" s="31" t="str">
        <f aca="false">IF($E584="","",IF(OR($K584="",$J584=""),0,IF($K584&lt;=$J584,1,0)))</f>
        <v/>
      </c>
      <c r="T584" s="31" t="str">
        <f aca="false">IF($E584="","",IF(OR($K584="",$R584=""),0,IF($K584&lt;=$R584,1,0)))</f>
        <v/>
      </c>
      <c r="U584" s="38" t="str">
        <f aca="false">IF(OR($K584="",$J584=""),"",MAX(0,$K584-$J584))</f>
        <v/>
      </c>
      <c r="V584" s="31" t="str">
        <f aca="false">IF($E584="","",IF(AND($M584&lt;&gt;"",$J584&lt;&gt;"",$M584&lt;&gt;$J584),1,0))</f>
        <v/>
      </c>
      <c r="W584" s="39" t="str">
        <f aca="false">IF($E584="","",IF($L584="Cancelada",0,IF(OR($K584&lt;&gt;"",$L584="Concluída"),1,0)))</f>
        <v/>
      </c>
    </row>
    <row r="585" customFormat="false" ht="15" hidden="false" customHeight="true" outlineLevel="0" collapsed="false">
      <c r="A585" s="31" t="str">
        <f aca="false">IF($E585="","",COUNTA($E$5:$E585))</f>
        <v/>
      </c>
      <c r="B585" s="32"/>
      <c r="C585" s="32"/>
      <c r="D585" s="32"/>
      <c r="E585" s="32"/>
      <c r="F585" s="33"/>
      <c r="G585" s="32"/>
      <c r="H585" s="34"/>
      <c r="I585" s="35"/>
      <c r="J585" s="36" t="str">
        <f aca="false">IF(OR($H585="",$I585=""),"",$H585+MATCH($I585,Listas!$F$5:$F$11,0)-1)</f>
        <v/>
      </c>
      <c r="K585" s="37"/>
      <c r="L585" s="33"/>
      <c r="M585" s="37"/>
      <c r="N585" s="32"/>
      <c r="O585" s="32"/>
      <c r="P585" s="38" t="str">
        <f aca="true">IF($E585="","",IF($L585="Cancelada","Cancelada",IF(OR($K585&lt;&gt;"",$L585="Concluída"),IF(OR($J585="",$K585="",$K585&lt;=$J585),"Concluída","Concluída com atraso"),IF($J585="","Na carteira",IF($J585&lt;TODAY(),"VENCIDA",IF($L585="Em execução","Em execução",IF($J585=TODAY(),"Hoje","Programada")))))))</f>
        <v/>
      </c>
      <c r="Q585" s="31" t="str">
        <f aca="false">IF($E585="","",IF(ISNUMBER(SEARCH("(externo)",$G585)),"Terceirizada","Interna"))</f>
        <v/>
      </c>
      <c r="R585" s="36" t="str">
        <f aca="false">IF($J585="","",IF($M585="",$J585,$M585))</f>
        <v/>
      </c>
      <c r="S585" s="31" t="str">
        <f aca="false">IF($E585="","",IF(OR($K585="",$J585=""),0,IF($K585&lt;=$J585,1,0)))</f>
        <v/>
      </c>
      <c r="T585" s="31" t="str">
        <f aca="false">IF($E585="","",IF(OR($K585="",$R585=""),0,IF($K585&lt;=$R585,1,0)))</f>
        <v/>
      </c>
      <c r="U585" s="38" t="str">
        <f aca="false">IF(OR($K585="",$J585=""),"",MAX(0,$K585-$J585))</f>
        <v/>
      </c>
      <c r="V585" s="31" t="str">
        <f aca="false">IF($E585="","",IF(AND($M585&lt;&gt;"",$J585&lt;&gt;"",$M585&lt;&gt;$J585),1,0))</f>
        <v/>
      </c>
      <c r="W585" s="39" t="str">
        <f aca="false">IF($E585="","",IF($L585="Cancelada",0,IF(OR($K585&lt;&gt;"",$L585="Concluída"),1,0)))</f>
        <v/>
      </c>
    </row>
    <row r="586" customFormat="false" ht="15" hidden="false" customHeight="true" outlineLevel="0" collapsed="false">
      <c r="A586" s="31" t="str">
        <f aca="false">IF($E586="","",COUNTA($E$5:$E586))</f>
        <v/>
      </c>
      <c r="B586" s="32"/>
      <c r="C586" s="32"/>
      <c r="D586" s="32"/>
      <c r="E586" s="32"/>
      <c r="F586" s="33"/>
      <c r="G586" s="32"/>
      <c r="H586" s="34"/>
      <c r="I586" s="35"/>
      <c r="J586" s="36" t="str">
        <f aca="false">IF(OR($H586="",$I586=""),"",$H586+MATCH($I586,Listas!$F$5:$F$11,0)-1)</f>
        <v/>
      </c>
      <c r="K586" s="37"/>
      <c r="L586" s="33"/>
      <c r="M586" s="37"/>
      <c r="N586" s="32"/>
      <c r="O586" s="32"/>
      <c r="P586" s="38" t="str">
        <f aca="true">IF($E586="","",IF($L586="Cancelada","Cancelada",IF(OR($K586&lt;&gt;"",$L586="Concluída"),IF(OR($J586="",$K586="",$K586&lt;=$J586),"Concluída","Concluída com atraso"),IF($J586="","Na carteira",IF($J586&lt;TODAY(),"VENCIDA",IF($L586="Em execução","Em execução",IF($J586=TODAY(),"Hoje","Programada")))))))</f>
        <v/>
      </c>
      <c r="Q586" s="31" t="str">
        <f aca="false">IF($E586="","",IF(ISNUMBER(SEARCH("(externo)",$G586)),"Terceirizada","Interna"))</f>
        <v/>
      </c>
      <c r="R586" s="36" t="str">
        <f aca="false">IF($J586="","",IF($M586="",$J586,$M586))</f>
        <v/>
      </c>
      <c r="S586" s="31" t="str">
        <f aca="false">IF($E586="","",IF(OR($K586="",$J586=""),0,IF($K586&lt;=$J586,1,0)))</f>
        <v/>
      </c>
      <c r="T586" s="31" t="str">
        <f aca="false">IF($E586="","",IF(OR($K586="",$R586=""),0,IF($K586&lt;=$R586,1,0)))</f>
        <v/>
      </c>
      <c r="U586" s="38" t="str">
        <f aca="false">IF(OR($K586="",$J586=""),"",MAX(0,$K586-$J586))</f>
        <v/>
      </c>
      <c r="V586" s="31" t="str">
        <f aca="false">IF($E586="","",IF(AND($M586&lt;&gt;"",$J586&lt;&gt;"",$M586&lt;&gt;$J586),1,0))</f>
        <v/>
      </c>
      <c r="W586" s="39" t="str">
        <f aca="false">IF($E586="","",IF($L586="Cancelada",0,IF(OR($K586&lt;&gt;"",$L586="Concluída"),1,0)))</f>
        <v/>
      </c>
    </row>
    <row r="587" customFormat="false" ht="15" hidden="false" customHeight="true" outlineLevel="0" collapsed="false">
      <c r="A587" s="31" t="str">
        <f aca="false">IF($E587="","",COUNTA($E$5:$E587))</f>
        <v/>
      </c>
      <c r="B587" s="32"/>
      <c r="C587" s="32"/>
      <c r="D587" s="32"/>
      <c r="E587" s="32"/>
      <c r="F587" s="33"/>
      <c r="G587" s="32"/>
      <c r="H587" s="34"/>
      <c r="I587" s="35"/>
      <c r="J587" s="36" t="str">
        <f aca="false">IF(OR($H587="",$I587=""),"",$H587+MATCH($I587,Listas!$F$5:$F$11,0)-1)</f>
        <v/>
      </c>
      <c r="K587" s="37"/>
      <c r="L587" s="33"/>
      <c r="M587" s="37"/>
      <c r="N587" s="32"/>
      <c r="O587" s="32"/>
      <c r="P587" s="38" t="str">
        <f aca="true">IF($E587="","",IF($L587="Cancelada","Cancelada",IF(OR($K587&lt;&gt;"",$L587="Concluída"),IF(OR($J587="",$K587="",$K587&lt;=$J587),"Concluída","Concluída com atraso"),IF($J587="","Na carteira",IF($J587&lt;TODAY(),"VENCIDA",IF($L587="Em execução","Em execução",IF($J587=TODAY(),"Hoje","Programada")))))))</f>
        <v/>
      </c>
      <c r="Q587" s="31" t="str">
        <f aca="false">IF($E587="","",IF(ISNUMBER(SEARCH("(externo)",$G587)),"Terceirizada","Interna"))</f>
        <v/>
      </c>
      <c r="R587" s="36" t="str">
        <f aca="false">IF($J587="","",IF($M587="",$J587,$M587))</f>
        <v/>
      </c>
      <c r="S587" s="31" t="str">
        <f aca="false">IF($E587="","",IF(OR($K587="",$J587=""),0,IF($K587&lt;=$J587,1,0)))</f>
        <v/>
      </c>
      <c r="T587" s="31" t="str">
        <f aca="false">IF($E587="","",IF(OR($K587="",$R587=""),0,IF($K587&lt;=$R587,1,0)))</f>
        <v/>
      </c>
      <c r="U587" s="38" t="str">
        <f aca="false">IF(OR($K587="",$J587=""),"",MAX(0,$K587-$J587))</f>
        <v/>
      </c>
      <c r="V587" s="31" t="str">
        <f aca="false">IF($E587="","",IF(AND($M587&lt;&gt;"",$J587&lt;&gt;"",$M587&lt;&gt;$J587),1,0))</f>
        <v/>
      </c>
      <c r="W587" s="39" t="str">
        <f aca="false">IF($E587="","",IF($L587="Cancelada",0,IF(OR($K587&lt;&gt;"",$L587="Concluída"),1,0)))</f>
        <v/>
      </c>
    </row>
    <row r="588" customFormat="false" ht="15" hidden="false" customHeight="true" outlineLevel="0" collapsed="false">
      <c r="A588" s="31" t="str">
        <f aca="false">IF($E588="","",COUNTA($E$5:$E588))</f>
        <v/>
      </c>
      <c r="B588" s="32"/>
      <c r="C588" s="32"/>
      <c r="D588" s="32"/>
      <c r="E588" s="32"/>
      <c r="F588" s="33"/>
      <c r="G588" s="32"/>
      <c r="H588" s="34"/>
      <c r="I588" s="35"/>
      <c r="J588" s="36" t="str">
        <f aca="false">IF(OR($H588="",$I588=""),"",$H588+MATCH($I588,Listas!$F$5:$F$11,0)-1)</f>
        <v/>
      </c>
      <c r="K588" s="37"/>
      <c r="L588" s="33"/>
      <c r="M588" s="37"/>
      <c r="N588" s="32"/>
      <c r="O588" s="32"/>
      <c r="P588" s="38" t="str">
        <f aca="true">IF($E588="","",IF($L588="Cancelada","Cancelada",IF(OR($K588&lt;&gt;"",$L588="Concluída"),IF(OR($J588="",$K588="",$K588&lt;=$J588),"Concluída","Concluída com atraso"),IF($J588="","Na carteira",IF($J588&lt;TODAY(),"VENCIDA",IF($L588="Em execução","Em execução",IF($J588=TODAY(),"Hoje","Programada")))))))</f>
        <v/>
      </c>
      <c r="Q588" s="31" t="str">
        <f aca="false">IF($E588="","",IF(ISNUMBER(SEARCH("(externo)",$G588)),"Terceirizada","Interna"))</f>
        <v/>
      </c>
      <c r="R588" s="36" t="str">
        <f aca="false">IF($J588="","",IF($M588="",$J588,$M588))</f>
        <v/>
      </c>
      <c r="S588" s="31" t="str">
        <f aca="false">IF($E588="","",IF(OR($K588="",$J588=""),0,IF($K588&lt;=$J588,1,0)))</f>
        <v/>
      </c>
      <c r="T588" s="31" t="str">
        <f aca="false">IF($E588="","",IF(OR($K588="",$R588=""),0,IF($K588&lt;=$R588,1,0)))</f>
        <v/>
      </c>
      <c r="U588" s="38" t="str">
        <f aca="false">IF(OR($K588="",$J588=""),"",MAX(0,$K588-$J588))</f>
        <v/>
      </c>
      <c r="V588" s="31" t="str">
        <f aca="false">IF($E588="","",IF(AND($M588&lt;&gt;"",$J588&lt;&gt;"",$M588&lt;&gt;$J588),1,0))</f>
        <v/>
      </c>
      <c r="W588" s="39" t="str">
        <f aca="false">IF($E588="","",IF($L588="Cancelada",0,IF(OR($K588&lt;&gt;"",$L588="Concluída"),1,0)))</f>
        <v/>
      </c>
    </row>
    <row r="589" customFormat="false" ht="15" hidden="false" customHeight="true" outlineLevel="0" collapsed="false">
      <c r="A589" s="31" t="str">
        <f aca="false">IF($E589="","",COUNTA($E$5:$E589))</f>
        <v/>
      </c>
      <c r="B589" s="32"/>
      <c r="C589" s="32"/>
      <c r="D589" s="32"/>
      <c r="E589" s="32"/>
      <c r="F589" s="33"/>
      <c r="G589" s="32"/>
      <c r="H589" s="34"/>
      <c r="I589" s="35"/>
      <c r="J589" s="36" t="str">
        <f aca="false">IF(OR($H589="",$I589=""),"",$H589+MATCH($I589,Listas!$F$5:$F$11,0)-1)</f>
        <v/>
      </c>
      <c r="K589" s="37"/>
      <c r="L589" s="33"/>
      <c r="M589" s="37"/>
      <c r="N589" s="32"/>
      <c r="O589" s="32"/>
      <c r="P589" s="38" t="str">
        <f aca="true">IF($E589="","",IF($L589="Cancelada","Cancelada",IF(OR($K589&lt;&gt;"",$L589="Concluída"),IF(OR($J589="",$K589="",$K589&lt;=$J589),"Concluída","Concluída com atraso"),IF($J589="","Na carteira",IF($J589&lt;TODAY(),"VENCIDA",IF($L589="Em execução","Em execução",IF($J589=TODAY(),"Hoje","Programada")))))))</f>
        <v/>
      </c>
      <c r="Q589" s="31" t="str">
        <f aca="false">IF($E589="","",IF(ISNUMBER(SEARCH("(externo)",$G589)),"Terceirizada","Interna"))</f>
        <v/>
      </c>
      <c r="R589" s="36" t="str">
        <f aca="false">IF($J589="","",IF($M589="",$J589,$M589))</f>
        <v/>
      </c>
      <c r="S589" s="31" t="str">
        <f aca="false">IF($E589="","",IF(OR($K589="",$J589=""),0,IF($K589&lt;=$J589,1,0)))</f>
        <v/>
      </c>
      <c r="T589" s="31" t="str">
        <f aca="false">IF($E589="","",IF(OR($K589="",$R589=""),0,IF($K589&lt;=$R589,1,0)))</f>
        <v/>
      </c>
      <c r="U589" s="38" t="str">
        <f aca="false">IF(OR($K589="",$J589=""),"",MAX(0,$K589-$J589))</f>
        <v/>
      </c>
      <c r="V589" s="31" t="str">
        <f aca="false">IF($E589="","",IF(AND($M589&lt;&gt;"",$J589&lt;&gt;"",$M589&lt;&gt;$J589),1,0))</f>
        <v/>
      </c>
      <c r="W589" s="39" t="str">
        <f aca="false">IF($E589="","",IF($L589="Cancelada",0,IF(OR($K589&lt;&gt;"",$L589="Concluída"),1,0)))</f>
        <v/>
      </c>
    </row>
    <row r="590" customFormat="false" ht="15" hidden="false" customHeight="true" outlineLevel="0" collapsed="false">
      <c r="A590" s="31" t="str">
        <f aca="false">IF($E590="","",COUNTA($E$5:$E590))</f>
        <v/>
      </c>
      <c r="B590" s="32"/>
      <c r="C590" s="32"/>
      <c r="D590" s="32"/>
      <c r="E590" s="32"/>
      <c r="F590" s="33"/>
      <c r="G590" s="32"/>
      <c r="H590" s="34"/>
      <c r="I590" s="35"/>
      <c r="J590" s="36" t="str">
        <f aca="false">IF(OR($H590="",$I590=""),"",$H590+MATCH($I590,Listas!$F$5:$F$11,0)-1)</f>
        <v/>
      </c>
      <c r="K590" s="37"/>
      <c r="L590" s="33"/>
      <c r="M590" s="37"/>
      <c r="N590" s="32"/>
      <c r="O590" s="32"/>
      <c r="P590" s="38" t="str">
        <f aca="true">IF($E590="","",IF($L590="Cancelada","Cancelada",IF(OR($K590&lt;&gt;"",$L590="Concluída"),IF(OR($J590="",$K590="",$K590&lt;=$J590),"Concluída","Concluída com atraso"),IF($J590="","Na carteira",IF($J590&lt;TODAY(),"VENCIDA",IF($L590="Em execução","Em execução",IF($J590=TODAY(),"Hoje","Programada")))))))</f>
        <v/>
      </c>
      <c r="Q590" s="31" t="str">
        <f aca="false">IF($E590="","",IF(ISNUMBER(SEARCH("(externo)",$G590)),"Terceirizada","Interna"))</f>
        <v/>
      </c>
      <c r="R590" s="36" t="str">
        <f aca="false">IF($J590="","",IF($M590="",$J590,$M590))</f>
        <v/>
      </c>
      <c r="S590" s="31" t="str">
        <f aca="false">IF($E590="","",IF(OR($K590="",$J590=""),0,IF($K590&lt;=$J590,1,0)))</f>
        <v/>
      </c>
      <c r="T590" s="31" t="str">
        <f aca="false">IF($E590="","",IF(OR($K590="",$R590=""),0,IF($K590&lt;=$R590,1,0)))</f>
        <v/>
      </c>
      <c r="U590" s="38" t="str">
        <f aca="false">IF(OR($K590="",$J590=""),"",MAX(0,$K590-$J590))</f>
        <v/>
      </c>
      <c r="V590" s="31" t="str">
        <f aca="false">IF($E590="","",IF(AND($M590&lt;&gt;"",$J590&lt;&gt;"",$M590&lt;&gt;$J590),1,0))</f>
        <v/>
      </c>
      <c r="W590" s="39" t="str">
        <f aca="false">IF($E590="","",IF($L590="Cancelada",0,IF(OR($K590&lt;&gt;"",$L590="Concluída"),1,0)))</f>
        <v/>
      </c>
    </row>
    <row r="591" customFormat="false" ht="15" hidden="false" customHeight="true" outlineLevel="0" collapsed="false">
      <c r="A591" s="31" t="str">
        <f aca="false">IF($E591="","",COUNTA($E$5:$E591))</f>
        <v/>
      </c>
      <c r="B591" s="32"/>
      <c r="C591" s="32"/>
      <c r="D591" s="32"/>
      <c r="E591" s="32"/>
      <c r="F591" s="33"/>
      <c r="G591" s="32"/>
      <c r="H591" s="34"/>
      <c r="I591" s="35"/>
      <c r="J591" s="36" t="str">
        <f aca="false">IF(OR($H591="",$I591=""),"",$H591+MATCH($I591,Listas!$F$5:$F$11,0)-1)</f>
        <v/>
      </c>
      <c r="K591" s="37"/>
      <c r="L591" s="33"/>
      <c r="M591" s="37"/>
      <c r="N591" s="32"/>
      <c r="O591" s="32"/>
      <c r="P591" s="38" t="str">
        <f aca="true">IF($E591="","",IF($L591="Cancelada","Cancelada",IF(OR($K591&lt;&gt;"",$L591="Concluída"),IF(OR($J591="",$K591="",$K591&lt;=$J591),"Concluída","Concluída com atraso"),IF($J591="","Na carteira",IF($J591&lt;TODAY(),"VENCIDA",IF($L591="Em execução","Em execução",IF($J591=TODAY(),"Hoje","Programada")))))))</f>
        <v/>
      </c>
      <c r="Q591" s="31" t="str">
        <f aca="false">IF($E591="","",IF(ISNUMBER(SEARCH("(externo)",$G591)),"Terceirizada","Interna"))</f>
        <v/>
      </c>
      <c r="R591" s="36" t="str">
        <f aca="false">IF($J591="","",IF($M591="",$J591,$M591))</f>
        <v/>
      </c>
      <c r="S591" s="31" t="str">
        <f aca="false">IF($E591="","",IF(OR($K591="",$J591=""),0,IF($K591&lt;=$J591,1,0)))</f>
        <v/>
      </c>
      <c r="T591" s="31" t="str">
        <f aca="false">IF($E591="","",IF(OR($K591="",$R591=""),0,IF($K591&lt;=$R591,1,0)))</f>
        <v/>
      </c>
      <c r="U591" s="38" t="str">
        <f aca="false">IF(OR($K591="",$J591=""),"",MAX(0,$K591-$J591))</f>
        <v/>
      </c>
      <c r="V591" s="31" t="str">
        <f aca="false">IF($E591="","",IF(AND($M591&lt;&gt;"",$J591&lt;&gt;"",$M591&lt;&gt;$J591),1,0))</f>
        <v/>
      </c>
      <c r="W591" s="39" t="str">
        <f aca="false">IF($E591="","",IF($L591="Cancelada",0,IF(OR($K591&lt;&gt;"",$L591="Concluída"),1,0)))</f>
        <v/>
      </c>
    </row>
    <row r="592" customFormat="false" ht="15" hidden="false" customHeight="true" outlineLevel="0" collapsed="false">
      <c r="A592" s="31" t="str">
        <f aca="false">IF($E592="","",COUNTA($E$5:$E592))</f>
        <v/>
      </c>
      <c r="B592" s="32"/>
      <c r="C592" s="32"/>
      <c r="D592" s="32"/>
      <c r="E592" s="32"/>
      <c r="F592" s="33"/>
      <c r="G592" s="32"/>
      <c r="H592" s="34"/>
      <c r="I592" s="35"/>
      <c r="J592" s="36" t="str">
        <f aca="false">IF(OR($H592="",$I592=""),"",$H592+MATCH($I592,Listas!$F$5:$F$11,0)-1)</f>
        <v/>
      </c>
      <c r="K592" s="37"/>
      <c r="L592" s="33"/>
      <c r="M592" s="37"/>
      <c r="N592" s="32"/>
      <c r="O592" s="32"/>
      <c r="P592" s="38" t="str">
        <f aca="true">IF($E592="","",IF($L592="Cancelada","Cancelada",IF(OR($K592&lt;&gt;"",$L592="Concluída"),IF(OR($J592="",$K592="",$K592&lt;=$J592),"Concluída","Concluída com atraso"),IF($J592="","Na carteira",IF($J592&lt;TODAY(),"VENCIDA",IF($L592="Em execução","Em execução",IF($J592=TODAY(),"Hoje","Programada")))))))</f>
        <v/>
      </c>
      <c r="Q592" s="31" t="str">
        <f aca="false">IF($E592="","",IF(ISNUMBER(SEARCH("(externo)",$G592)),"Terceirizada","Interna"))</f>
        <v/>
      </c>
      <c r="R592" s="36" t="str">
        <f aca="false">IF($J592="","",IF($M592="",$J592,$M592))</f>
        <v/>
      </c>
      <c r="S592" s="31" t="str">
        <f aca="false">IF($E592="","",IF(OR($K592="",$J592=""),0,IF($K592&lt;=$J592,1,0)))</f>
        <v/>
      </c>
      <c r="T592" s="31" t="str">
        <f aca="false">IF($E592="","",IF(OR($K592="",$R592=""),0,IF($K592&lt;=$R592,1,0)))</f>
        <v/>
      </c>
      <c r="U592" s="38" t="str">
        <f aca="false">IF(OR($K592="",$J592=""),"",MAX(0,$K592-$J592))</f>
        <v/>
      </c>
      <c r="V592" s="31" t="str">
        <f aca="false">IF($E592="","",IF(AND($M592&lt;&gt;"",$J592&lt;&gt;"",$M592&lt;&gt;$J592),1,0))</f>
        <v/>
      </c>
      <c r="W592" s="39" t="str">
        <f aca="false">IF($E592="","",IF($L592="Cancelada",0,IF(OR($K592&lt;&gt;"",$L592="Concluída"),1,0)))</f>
        <v/>
      </c>
    </row>
    <row r="593" customFormat="false" ht="15" hidden="false" customHeight="true" outlineLevel="0" collapsed="false">
      <c r="A593" s="31" t="str">
        <f aca="false">IF($E593="","",COUNTA($E$5:$E593))</f>
        <v/>
      </c>
      <c r="B593" s="32"/>
      <c r="C593" s="32"/>
      <c r="D593" s="32"/>
      <c r="E593" s="32"/>
      <c r="F593" s="33"/>
      <c r="G593" s="32"/>
      <c r="H593" s="34"/>
      <c r="I593" s="35"/>
      <c r="J593" s="36" t="str">
        <f aca="false">IF(OR($H593="",$I593=""),"",$H593+MATCH($I593,Listas!$F$5:$F$11,0)-1)</f>
        <v/>
      </c>
      <c r="K593" s="37"/>
      <c r="L593" s="33"/>
      <c r="M593" s="37"/>
      <c r="N593" s="32"/>
      <c r="O593" s="32"/>
      <c r="P593" s="38" t="str">
        <f aca="true">IF($E593="","",IF($L593="Cancelada","Cancelada",IF(OR($K593&lt;&gt;"",$L593="Concluída"),IF(OR($J593="",$K593="",$K593&lt;=$J593),"Concluída","Concluída com atraso"),IF($J593="","Na carteira",IF($J593&lt;TODAY(),"VENCIDA",IF($L593="Em execução","Em execução",IF($J593=TODAY(),"Hoje","Programada")))))))</f>
        <v/>
      </c>
      <c r="Q593" s="31" t="str">
        <f aca="false">IF($E593="","",IF(ISNUMBER(SEARCH("(externo)",$G593)),"Terceirizada","Interna"))</f>
        <v/>
      </c>
      <c r="R593" s="36" t="str">
        <f aca="false">IF($J593="","",IF($M593="",$J593,$M593))</f>
        <v/>
      </c>
      <c r="S593" s="31" t="str">
        <f aca="false">IF($E593="","",IF(OR($K593="",$J593=""),0,IF($K593&lt;=$J593,1,0)))</f>
        <v/>
      </c>
      <c r="T593" s="31" t="str">
        <f aca="false">IF($E593="","",IF(OR($K593="",$R593=""),0,IF($K593&lt;=$R593,1,0)))</f>
        <v/>
      </c>
      <c r="U593" s="38" t="str">
        <f aca="false">IF(OR($K593="",$J593=""),"",MAX(0,$K593-$J593))</f>
        <v/>
      </c>
      <c r="V593" s="31" t="str">
        <f aca="false">IF($E593="","",IF(AND($M593&lt;&gt;"",$J593&lt;&gt;"",$M593&lt;&gt;$J593),1,0))</f>
        <v/>
      </c>
      <c r="W593" s="39" t="str">
        <f aca="false">IF($E593="","",IF($L593="Cancelada",0,IF(OR($K593&lt;&gt;"",$L593="Concluída"),1,0)))</f>
        <v/>
      </c>
    </row>
    <row r="594" customFormat="false" ht="15" hidden="false" customHeight="true" outlineLevel="0" collapsed="false">
      <c r="A594" s="31" t="str">
        <f aca="false">IF($E594="","",COUNTA($E$5:$E594))</f>
        <v/>
      </c>
      <c r="B594" s="32"/>
      <c r="C594" s="32"/>
      <c r="D594" s="32"/>
      <c r="E594" s="32"/>
      <c r="F594" s="33"/>
      <c r="G594" s="32"/>
      <c r="H594" s="34"/>
      <c r="I594" s="35"/>
      <c r="J594" s="36" t="str">
        <f aca="false">IF(OR($H594="",$I594=""),"",$H594+MATCH($I594,Listas!$F$5:$F$11,0)-1)</f>
        <v/>
      </c>
      <c r="K594" s="37"/>
      <c r="L594" s="33"/>
      <c r="M594" s="37"/>
      <c r="N594" s="32"/>
      <c r="O594" s="32"/>
      <c r="P594" s="38" t="str">
        <f aca="true">IF($E594="","",IF($L594="Cancelada","Cancelada",IF(OR($K594&lt;&gt;"",$L594="Concluída"),IF(OR($J594="",$K594="",$K594&lt;=$J594),"Concluída","Concluída com atraso"),IF($J594="","Na carteira",IF($J594&lt;TODAY(),"VENCIDA",IF($L594="Em execução","Em execução",IF($J594=TODAY(),"Hoje","Programada")))))))</f>
        <v/>
      </c>
      <c r="Q594" s="31" t="str">
        <f aca="false">IF($E594="","",IF(ISNUMBER(SEARCH("(externo)",$G594)),"Terceirizada","Interna"))</f>
        <v/>
      </c>
      <c r="R594" s="36" t="str">
        <f aca="false">IF($J594="","",IF($M594="",$J594,$M594))</f>
        <v/>
      </c>
      <c r="S594" s="31" t="str">
        <f aca="false">IF($E594="","",IF(OR($K594="",$J594=""),0,IF($K594&lt;=$J594,1,0)))</f>
        <v/>
      </c>
      <c r="T594" s="31" t="str">
        <f aca="false">IF($E594="","",IF(OR($K594="",$R594=""),0,IF($K594&lt;=$R594,1,0)))</f>
        <v/>
      </c>
      <c r="U594" s="38" t="str">
        <f aca="false">IF(OR($K594="",$J594=""),"",MAX(0,$K594-$J594))</f>
        <v/>
      </c>
      <c r="V594" s="31" t="str">
        <f aca="false">IF($E594="","",IF(AND($M594&lt;&gt;"",$J594&lt;&gt;"",$M594&lt;&gt;$J594),1,0))</f>
        <v/>
      </c>
      <c r="W594" s="39" t="str">
        <f aca="false">IF($E594="","",IF($L594="Cancelada",0,IF(OR($K594&lt;&gt;"",$L594="Concluída"),1,0)))</f>
        <v/>
      </c>
    </row>
    <row r="595" customFormat="false" ht="15" hidden="false" customHeight="true" outlineLevel="0" collapsed="false">
      <c r="A595" s="31" t="str">
        <f aca="false">IF($E595="","",COUNTA($E$5:$E595))</f>
        <v/>
      </c>
      <c r="B595" s="32"/>
      <c r="C595" s="32"/>
      <c r="D595" s="32"/>
      <c r="E595" s="32"/>
      <c r="F595" s="33"/>
      <c r="G595" s="32"/>
      <c r="H595" s="34"/>
      <c r="I595" s="35"/>
      <c r="J595" s="36" t="str">
        <f aca="false">IF(OR($H595="",$I595=""),"",$H595+MATCH($I595,Listas!$F$5:$F$11,0)-1)</f>
        <v/>
      </c>
      <c r="K595" s="37"/>
      <c r="L595" s="33"/>
      <c r="M595" s="37"/>
      <c r="N595" s="32"/>
      <c r="O595" s="32"/>
      <c r="P595" s="38" t="str">
        <f aca="true">IF($E595="","",IF($L595="Cancelada","Cancelada",IF(OR($K595&lt;&gt;"",$L595="Concluída"),IF(OR($J595="",$K595="",$K595&lt;=$J595),"Concluída","Concluída com atraso"),IF($J595="","Na carteira",IF($J595&lt;TODAY(),"VENCIDA",IF($L595="Em execução","Em execução",IF($J595=TODAY(),"Hoje","Programada")))))))</f>
        <v/>
      </c>
      <c r="Q595" s="31" t="str">
        <f aca="false">IF($E595="","",IF(ISNUMBER(SEARCH("(externo)",$G595)),"Terceirizada","Interna"))</f>
        <v/>
      </c>
      <c r="R595" s="36" t="str">
        <f aca="false">IF($J595="","",IF($M595="",$J595,$M595))</f>
        <v/>
      </c>
      <c r="S595" s="31" t="str">
        <f aca="false">IF($E595="","",IF(OR($K595="",$J595=""),0,IF($K595&lt;=$J595,1,0)))</f>
        <v/>
      </c>
      <c r="T595" s="31" t="str">
        <f aca="false">IF($E595="","",IF(OR($K595="",$R595=""),0,IF($K595&lt;=$R595,1,0)))</f>
        <v/>
      </c>
      <c r="U595" s="38" t="str">
        <f aca="false">IF(OR($K595="",$J595=""),"",MAX(0,$K595-$J595))</f>
        <v/>
      </c>
      <c r="V595" s="31" t="str">
        <f aca="false">IF($E595="","",IF(AND($M595&lt;&gt;"",$J595&lt;&gt;"",$M595&lt;&gt;$J595),1,0))</f>
        <v/>
      </c>
      <c r="W595" s="39" t="str">
        <f aca="false">IF($E595="","",IF($L595="Cancelada",0,IF(OR($K595&lt;&gt;"",$L595="Concluída"),1,0)))</f>
        <v/>
      </c>
    </row>
    <row r="596" customFormat="false" ht="15" hidden="false" customHeight="true" outlineLevel="0" collapsed="false">
      <c r="A596" s="31" t="str">
        <f aca="false">IF($E596="","",COUNTA($E$5:$E596))</f>
        <v/>
      </c>
      <c r="B596" s="32"/>
      <c r="C596" s="32"/>
      <c r="D596" s="32"/>
      <c r="E596" s="32"/>
      <c r="F596" s="33"/>
      <c r="G596" s="32"/>
      <c r="H596" s="34"/>
      <c r="I596" s="35"/>
      <c r="J596" s="36" t="str">
        <f aca="false">IF(OR($H596="",$I596=""),"",$H596+MATCH($I596,Listas!$F$5:$F$11,0)-1)</f>
        <v/>
      </c>
      <c r="K596" s="37"/>
      <c r="L596" s="33"/>
      <c r="M596" s="37"/>
      <c r="N596" s="32"/>
      <c r="O596" s="32"/>
      <c r="P596" s="38" t="str">
        <f aca="true">IF($E596="","",IF($L596="Cancelada","Cancelada",IF(OR($K596&lt;&gt;"",$L596="Concluída"),IF(OR($J596="",$K596="",$K596&lt;=$J596),"Concluída","Concluída com atraso"),IF($J596="","Na carteira",IF($J596&lt;TODAY(),"VENCIDA",IF($L596="Em execução","Em execução",IF($J596=TODAY(),"Hoje","Programada")))))))</f>
        <v/>
      </c>
      <c r="Q596" s="31" t="str">
        <f aca="false">IF($E596="","",IF(ISNUMBER(SEARCH("(externo)",$G596)),"Terceirizada","Interna"))</f>
        <v/>
      </c>
      <c r="R596" s="36" t="str">
        <f aca="false">IF($J596="","",IF($M596="",$J596,$M596))</f>
        <v/>
      </c>
      <c r="S596" s="31" t="str">
        <f aca="false">IF($E596="","",IF(OR($K596="",$J596=""),0,IF($K596&lt;=$J596,1,0)))</f>
        <v/>
      </c>
      <c r="T596" s="31" t="str">
        <f aca="false">IF($E596="","",IF(OR($K596="",$R596=""),0,IF($K596&lt;=$R596,1,0)))</f>
        <v/>
      </c>
      <c r="U596" s="38" t="str">
        <f aca="false">IF(OR($K596="",$J596=""),"",MAX(0,$K596-$J596))</f>
        <v/>
      </c>
      <c r="V596" s="31" t="str">
        <f aca="false">IF($E596="","",IF(AND($M596&lt;&gt;"",$J596&lt;&gt;"",$M596&lt;&gt;$J596),1,0))</f>
        <v/>
      </c>
      <c r="W596" s="39" t="str">
        <f aca="false">IF($E596="","",IF($L596="Cancelada",0,IF(OR($K596&lt;&gt;"",$L596="Concluída"),1,0)))</f>
        <v/>
      </c>
    </row>
    <row r="597" customFormat="false" ht="15" hidden="false" customHeight="true" outlineLevel="0" collapsed="false">
      <c r="A597" s="31" t="str">
        <f aca="false">IF($E597="","",COUNTA($E$5:$E597))</f>
        <v/>
      </c>
      <c r="B597" s="32"/>
      <c r="C597" s="32"/>
      <c r="D597" s="32"/>
      <c r="E597" s="32"/>
      <c r="F597" s="33"/>
      <c r="G597" s="32"/>
      <c r="H597" s="34"/>
      <c r="I597" s="35"/>
      <c r="J597" s="36" t="str">
        <f aca="false">IF(OR($H597="",$I597=""),"",$H597+MATCH($I597,Listas!$F$5:$F$11,0)-1)</f>
        <v/>
      </c>
      <c r="K597" s="37"/>
      <c r="L597" s="33"/>
      <c r="M597" s="37"/>
      <c r="N597" s="32"/>
      <c r="O597" s="32"/>
      <c r="P597" s="38" t="str">
        <f aca="true">IF($E597="","",IF($L597="Cancelada","Cancelada",IF(OR($K597&lt;&gt;"",$L597="Concluída"),IF(OR($J597="",$K597="",$K597&lt;=$J597),"Concluída","Concluída com atraso"),IF($J597="","Na carteira",IF($J597&lt;TODAY(),"VENCIDA",IF($L597="Em execução","Em execução",IF($J597=TODAY(),"Hoje","Programada")))))))</f>
        <v/>
      </c>
      <c r="Q597" s="31" t="str">
        <f aca="false">IF($E597="","",IF(ISNUMBER(SEARCH("(externo)",$G597)),"Terceirizada","Interna"))</f>
        <v/>
      </c>
      <c r="R597" s="36" t="str">
        <f aca="false">IF($J597="","",IF($M597="",$J597,$M597))</f>
        <v/>
      </c>
      <c r="S597" s="31" t="str">
        <f aca="false">IF($E597="","",IF(OR($K597="",$J597=""),0,IF($K597&lt;=$J597,1,0)))</f>
        <v/>
      </c>
      <c r="T597" s="31" t="str">
        <f aca="false">IF($E597="","",IF(OR($K597="",$R597=""),0,IF($K597&lt;=$R597,1,0)))</f>
        <v/>
      </c>
      <c r="U597" s="38" t="str">
        <f aca="false">IF(OR($K597="",$J597=""),"",MAX(0,$K597-$J597))</f>
        <v/>
      </c>
      <c r="V597" s="31" t="str">
        <f aca="false">IF($E597="","",IF(AND($M597&lt;&gt;"",$J597&lt;&gt;"",$M597&lt;&gt;$J597),1,0))</f>
        <v/>
      </c>
      <c r="W597" s="39" t="str">
        <f aca="false">IF($E597="","",IF($L597="Cancelada",0,IF(OR($K597&lt;&gt;"",$L597="Concluída"),1,0)))</f>
        <v/>
      </c>
    </row>
    <row r="598" customFormat="false" ht="15" hidden="false" customHeight="true" outlineLevel="0" collapsed="false">
      <c r="A598" s="31" t="str">
        <f aca="false">IF($E598="","",COUNTA($E$5:$E598))</f>
        <v/>
      </c>
      <c r="B598" s="32"/>
      <c r="C598" s="32"/>
      <c r="D598" s="32"/>
      <c r="E598" s="32"/>
      <c r="F598" s="33"/>
      <c r="G598" s="32"/>
      <c r="H598" s="34"/>
      <c r="I598" s="35"/>
      <c r="J598" s="36" t="str">
        <f aca="false">IF(OR($H598="",$I598=""),"",$H598+MATCH($I598,Listas!$F$5:$F$11,0)-1)</f>
        <v/>
      </c>
      <c r="K598" s="37"/>
      <c r="L598" s="33"/>
      <c r="M598" s="37"/>
      <c r="N598" s="32"/>
      <c r="O598" s="32"/>
      <c r="P598" s="38" t="str">
        <f aca="true">IF($E598="","",IF($L598="Cancelada","Cancelada",IF(OR($K598&lt;&gt;"",$L598="Concluída"),IF(OR($J598="",$K598="",$K598&lt;=$J598),"Concluída","Concluída com atraso"),IF($J598="","Na carteira",IF($J598&lt;TODAY(),"VENCIDA",IF($L598="Em execução","Em execução",IF($J598=TODAY(),"Hoje","Programada")))))))</f>
        <v/>
      </c>
      <c r="Q598" s="31" t="str">
        <f aca="false">IF($E598="","",IF(ISNUMBER(SEARCH("(externo)",$G598)),"Terceirizada","Interna"))</f>
        <v/>
      </c>
      <c r="R598" s="36" t="str">
        <f aca="false">IF($J598="","",IF($M598="",$J598,$M598))</f>
        <v/>
      </c>
      <c r="S598" s="31" t="str">
        <f aca="false">IF($E598="","",IF(OR($K598="",$J598=""),0,IF($K598&lt;=$J598,1,0)))</f>
        <v/>
      </c>
      <c r="T598" s="31" t="str">
        <f aca="false">IF($E598="","",IF(OR($K598="",$R598=""),0,IF($K598&lt;=$R598,1,0)))</f>
        <v/>
      </c>
      <c r="U598" s="38" t="str">
        <f aca="false">IF(OR($K598="",$J598=""),"",MAX(0,$K598-$J598))</f>
        <v/>
      </c>
      <c r="V598" s="31" t="str">
        <f aca="false">IF($E598="","",IF(AND($M598&lt;&gt;"",$J598&lt;&gt;"",$M598&lt;&gt;$J598),1,0))</f>
        <v/>
      </c>
      <c r="W598" s="39" t="str">
        <f aca="false">IF($E598="","",IF($L598="Cancelada",0,IF(OR($K598&lt;&gt;"",$L598="Concluída"),1,0)))</f>
        <v/>
      </c>
    </row>
    <row r="599" customFormat="false" ht="15" hidden="false" customHeight="true" outlineLevel="0" collapsed="false">
      <c r="A599" s="31" t="str">
        <f aca="false">IF($E599="","",COUNTA($E$5:$E599))</f>
        <v/>
      </c>
      <c r="B599" s="32"/>
      <c r="C599" s="32"/>
      <c r="D599" s="32"/>
      <c r="E599" s="32"/>
      <c r="F599" s="33"/>
      <c r="G599" s="32"/>
      <c r="H599" s="34"/>
      <c r="I599" s="35"/>
      <c r="J599" s="36" t="str">
        <f aca="false">IF(OR($H599="",$I599=""),"",$H599+MATCH($I599,Listas!$F$5:$F$11,0)-1)</f>
        <v/>
      </c>
      <c r="K599" s="37"/>
      <c r="L599" s="33"/>
      <c r="M599" s="37"/>
      <c r="N599" s="32"/>
      <c r="O599" s="32"/>
      <c r="P599" s="38" t="str">
        <f aca="true">IF($E599="","",IF($L599="Cancelada","Cancelada",IF(OR($K599&lt;&gt;"",$L599="Concluída"),IF(OR($J599="",$K599="",$K599&lt;=$J599),"Concluída","Concluída com atraso"),IF($J599="","Na carteira",IF($J599&lt;TODAY(),"VENCIDA",IF($L599="Em execução","Em execução",IF($J599=TODAY(),"Hoje","Programada")))))))</f>
        <v/>
      </c>
      <c r="Q599" s="31" t="str">
        <f aca="false">IF($E599="","",IF(ISNUMBER(SEARCH("(externo)",$G599)),"Terceirizada","Interna"))</f>
        <v/>
      </c>
      <c r="R599" s="36" t="str">
        <f aca="false">IF($J599="","",IF($M599="",$J599,$M599))</f>
        <v/>
      </c>
      <c r="S599" s="31" t="str">
        <f aca="false">IF($E599="","",IF(OR($K599="",$J599=""),0,IF($K599&lt;=$J599,1,0)))</f>
        <v/>
      </c>
      <c r="T599" s="31" t="str">
        <f aca="false">IF($E599="","",IF(OR($K599="",$R599=""),0,IF($K599&lt;=$R599,1,0)))</f>
        <v/>
      </c>
      <c r="U599" s="38" t="str">
        <f aca="false">IF(OR($K599="",$J599=""),"",MAX(0,$K599-$J599))</f>
        <v/>
      </c>
      <c r="V599" s="31" t="str">
        <f aca="false">IF($E599="","",IF(AND($M599&lt;&gt;"",$J599&lt;&gt;"",$M599&lt;&gt;$J599),1,0))</f>
        <v/>
      </c>
      <c r="W599" s="39" t="str">
        <f aca="false">IF($E599="","",IF($L599="Cancelada",0,IF(OR($K599&lt;&gt;"",$L599="Concluída"),1,0)))</f>
        <v/>
      </c>
    </row>
    <row r="600" customFormat="false" ht="15" hidden="false" customHeight="true" outlineLevel="0" collapsed="false">
      <c r="A600" s="31" t="str">
        <f aca="false">IF($E600="","",COUNTA($E$5:$E600))</f>
        <v/>
      </c>
      <c r="B600" s="32"/>
      <c r="C600" s="32"/>
      <c r="D600" s="32"/>
      <c r="E600" s="32"/>
      <c r="F600" s="33"/>
      <c r="G600" s="32"/>
      <c r="H600" s="34"/>
      <c r="I600" s="35"/>
      <c r="J600" s="36" t="str">
        <f aca="false">IF(OR($H600="",$I600=""),"",$H600+MATCH($I600,Listas!$F$5:$F$11,0)-1)</f>
        <v/>
      </c>
      <c r="K600" s="37"/>
      <c r="L600" s="33"/>
      <c r="M600" s="37"/>
      <c r="N600" s="32"/>
      <c r="O600" s="32"/>
      <c r="P600" s="38" t="str">
        <f aca="true">IF($E600="","",IF($L600="Cancelada","Cancelada",IF(OR($K600&lt;&gt;"",$L600="Concluída"),IF(OR($J600="",$K600="",$K600&lt;=$J600),"Concluída","Concluída com atraso"),IF($J600="","Na carteira",IF($J600&lt;TODAY(),"VENCIDA",IF($L600="Em execução","Em execução",IF($J600=TODAY(),"Hoje","Programada")))))))</f>
        <v/>
      </c>
      <c r="Q600" s="31" t="str">
        <f aca="false">IF($E600="","",IF(ISNUMBER(SEARCH("(externo)",$G600)),"Terceirizada","Interna"))</f>
        <v/>
      </c>
      <c r="R600" s="36" t="str">
        <f aca="false">IF($J600="","",IF($M600="",$J600,$M600))</f>
        <v/>
      </c>
      <c r="S600" s="31" t="str">
        <f aca="false">IF($E600="","",IF(OR($K600="",$J600=""),0,IF($K600&lt;=$J600,1,0)))</f>
        <v/>
      </c>
      <c r="T600" s="31" t="str">
        <f aca="false">IF($E600="","",IF(OR($K600="",$R600=""),0,IF($K600&lt;=$R600,1,0)))</f>
        <v/>
      </c>
      <c r="U600" s="38" t="str">
        <f aca="false">IF(OR($K600="",$J600=""),"",MAX(0,$K600-$J600))</f>
        <v/>
      </c>
      <c r="V600" s="31" t="str">
        <f aca="false">IF($E600="","",IF(AND($M600&lt;&gt;"",$J600&lt;&gt;"",$M600&lt;&gt;$J600),1,0))</f>
        <v/>
      </c>
      <c r="W600" s="39" t="str">
        <f aca="false">IF($E600="","",IF($L600="Cancelada",0,IF(OR($K600&lt;&gt;"",$L600="Concluída"),1,0)))</f>
        <v/>
      </c>
    </row>
    <row r="601" customFormat="false" ht="15" hidden="false" customHeight="true" outlineLevel="0" collapsed="false">
      <c r="A601" s="31" t="str">
        <f aca="false">IF($E601="","",COUNTA($E$5:$E601))</f>
        <v/>
      </c>
      <c r="B601" s="32"/>
      <c r="C601" s="32"/>
      <c r="D601" s="32"/>
      <c r="E601" s="32"/>
      <c r="F601" s="33"/>
      <c r="G601" s="32"/>
      <c r="H601" s="34"/>
      <c r="I601" s="35"/>
      <c r="J601" s="36" t="str">
        <f aca="false">IF(OR($H601="",$I601=""),"",$H601+MATCH($I601,Listas!$F$5:$F$11,0)-1)</f>
        <v/>
      </c>
      <c r="K601" s="37"/>
      <c r="L601" s="33"/>
      <c r="M601" s="37"/>
      <c r="N601" s="32"/>
      <c r="O601" s="32"/>
      <c r="P601" s="38" t="str">
        <f aca="true">IF($E601="","",IF($L601="Cancelada","Cancelada",IF(OR($K601&lt;&gt;"",$L601="Concluída"),IF(OR($J601="",$K601="",$K601&lt;=$J601),"Concluída","Concluída com atraso"),IF($J601="","Na carteira",IF($J601&lt;TODAY(),"VENCIDA",IF($L601="Em execução","Em execução",IF($J601=TODAY(),"Hoje","Programada")))))))</f>
        <v/>
      </c>
      <c r="Q601" s="31" t="str">
        <f aca="false">IF($E601="","",IF(ISNUMBER(SEARCH("(externo)",$G601)),"Terceirizada","Interna"))</f>
        <v/>
      </c>
      <c r="R601" s="36" t="str">
        <f aca="false">IF($J601="","",IF($M601="",$J601,$M601))</f>
        <v/>
      </c>
      <c r="S601" s="31" t="str">
        <f aca="false">IF($E601="","",IF(OR($K601="",$J601=""),0,IF($K601&lt;=$J601,1,0)))</f>
        <v/>
      </c>
      <c r="T601" s="31" t="str">
        <f aca="false">IF($E601="","",IF(OR($K601="",$R601=""),0,IF($K601&lt;=$R601,1,0)))</f>
        <v/>
      </c>
      <c r="U601" s="38" t="str">
        <f aca="false">IF(OR($K601="",$J601=""),"",MAX(0,$K601-$J601))</f>
        <v/>
      </c>
      <c r="V601" s="31" t="str">
        <f aca="false">IF($E601="","",IF(AND($M601&lt;&gt;"",$J601&lt;&gt;"",$M601&lt;&gt;$J601),1,0))</f>
        <v/>
      </c>
      <c r="W601" s="39" t="str">
        <f aca="false">IF($E601="","",IF($L601="Cancelada",0,IF(OR($K601&lt;&gt;"",$L601="Concluída"),1,0)))</f>
        <v/>
      </c>
    </row>
    <row r="602" customFormat="false" ht="15" hidden="false" customHeight="true" outlineLevel="0" collapsed="false">
      <c r="A602" s="31" t="str">
        <f aca="false">IF($E602="","",COUNTA($E$5:$E602))</f>
        <v/>
      </c>
      <c r="B602" s="32"/>
      <c r="C602" s="32"/>
      <c r="D602" s="32"/>
      <c r="E602" s="32"/>
      <c r="F602" s="33"/>
      <c r="G602" s="32"/>
      <c r="H602" s="34"/>
      <c r="I602" s="35"/>
      <c r="J602" s="36" t="str">
        <f aca="false">IF(OR($H602="",$I602=""),"",$H602+MATCH($I602,Listas!$F$5:$F$11,0)-1)</f>
        <v/>
      </c>
      <c r="K602" s="37"/>
      <c r="L602" s="33"/>
      <c r="M602" s="37"/>
      <c r="N602" s="32"/>
      <c r="O602" s="32"/>
      <c r="P602" s="38" t="str">
        <f aca="true">IF($E602="","",IF($L602="Cancelada","Cancelada",IF(OR($K602&lt;&gt;"",$L602="Concluída"),IF(OR($J602="",$K602="",$K602&lt;=$J602),"Concluída","Concluída com atraso"),IF($J602="","Na carteira",IF($J602&lt;TODAY(),"VENCIDA",IF($L602="Em execução","Em execução",IF($J602=TODAY(),"Hoje","Programada")))))))</f>
        <v/>
      </c>
      <c r="Q602" s="31" t="str">
        <f aca="false">IF($E602="","",IF(ISNUMBER(SEARCH("(externo)",$G602)),"Terceirizada","Interna"))</f>
        <v/>
      </c>
      <c r="R602" s="36" t="str">
        <f aca="false">IF($J602="","",IF($M602="",$J602,$M602))</f>
        <v/>
      </c>
      <c r="S602" s="31" t="str">
        <f aca="false">IF($E602="","",IF(OR($K602="",$J602=""),0,IF($K602&lt;=$J602,1,0)))</f>
        <v/>
      </c>
      <c r="T602" s="31" t="str">
        <f aca="false">IF($E602="","",IF(OR($K602="",$R602=""),0,IF($K602&lt;=$R602,1,0)))</f>
        <v/>
      </c>
      <c r="U602" s="38" t="str">
        <f aca="false">IF(OR($K602="",$J602=""),"",MAX(0,$K602-$J602))</f>
        <v/>
      </c>
      <c r="V602" s="31" t="str">
        <f aca="false">IF($E602="","",IF(AND($M602&lt;&gt;"",$J602&lt;&gt;"",$M602&lt;&gt;$J602),1,0))</f>
        <v/>
      </c>
      <c r="W602" s="39" t="str">
        <f aca="false">IF($E602="","",IF($L602="Cancelada",0,IF(OR($K602&lt;&gt;"",$L602="Concluída"),1,0)))</f>
        <v/>
      </c>
    </row>
    <row r="603" customFormat="false" ht="15" hidden="false" customHeight="true" outlineLevel="0" collapsed="false">
      <c r="A603" s="31" t="str">
        <f aca="false">IF($E603="","",COUNTA($E$5:$E603))</f>
        <v/>
      </c>
      <c r="B603" s="32"/>
      <c r="C603" s="32"/>
      <c r="D603" s="32"/>
      <c r="E603" s="32"/>
      <c r="F603" s="33"/>
      <c r="G603" s="32"/>
      <c r="H603" s="34"/>
      <c r="I603" s="35"/>
      <c r="J603" s="36" t="str">
        <f aca="false">IF(OR($H603="",$I603=""),"",$H603+MATCH($I603,Listas!$F$5:$F$11,0)-1)</f>
        <v/>
      </c>
      <c r="K603" s="37"/>
      <c r="L603" s="33"/>
      <c r="M603" s="37"/>
      <c r="N603" s="32"/>
      <c r="O603" s="32"/>
      <c r="P603" s="38" t="str">
        <f aca="true">IF($E603="","",IF($L603="Cancelada","Cancelada",IF(OR($K603&lt;&gt;"",$L603="Concluída"),IF(OR($J603="",$K603="",$K603&lt;=$J603),"Concluída","Concluída com atraso"),IF($J603="","Na carteira",IF($J603&lt;TODAY(),"VENCIDA",IF($L603="Em execução","Em execução",IF($J603=TODAY(),"Hoje","Programada")))))))</f>
        <v/>
      </c>
      <c r="Q603" s="31" t="str">
        <f aca="false">IF($E603="","",IF(ISNUMBER(SEARCH("(externo)",$G603)),"Terceirizada","Interna"))</f>
        <v/>
      </c>
      <c r="R603" s="36" t="str">
        <f aca="false">IF($J603="","",IF($M603="",$J603,$M603))</f>
        <v/>
      </c>
      <c r="S603" s="31" t="str">
        <f aca="false">IF($E603="","",IF(OR($K603="",$J603=""),0,IF($K603&lt;=$J603,1,0)))</f>
        <v/>
      </c>
      <c r="T603" s="31" t="str">
        <f aca="false">IF($E603="","",IF(OR($K603="",$R603=""),0,IF($K603&lt;=$R603,1,0)))</f>
        <v/>
      </c>
      <c r="U603" s="38" t="str">
        <f aca="false">IF(OR($K603="",$J603=""),"",MAX(0,$K603-$J603))</f>
        <v/>
      </c>
      <c r="V603" s="31" t="str">
        <f aca="false">IF($E603="","",IF(AND($M603&lt;&gt;"",$J603&lt;&gt;"",$M603&lt;&gt;$J603),1,0))</f>
        <v/>
      </c>
      <c r="W603" s="39" t="str">
        <f aca="false">IF($E603="","",IF($L603="Cancelada",0,IF(OR($K603&lt;&gt;"",$L603="Concluída"),1,0)))</f>
        <v/>
      </c>
    </row>
    <row r="604" customFormat="false" ht="15" hidden="false" customHeight="true" outlineLevel="0" collapsed="false">
      <c r="A604" s="31" t="str">
        <f aca="false">IF($E604="","",COUNTA($E$5:$E604))</f>
        <v/>
      </c>
      <c r="B604" s="32"/>
      <c r="C604" s="32"/>
      <c r="D604" s="32"/>
      <c r="E604" s="32"/>
      <c r="F604" s="33"/>
      <c r="G604" s="32"/>
      <c r="H604" s="34"/>
      <c r="I604" s="35"/>
      <c r="J604" s="36" t="str">
        <f aca="false">IF(OR($H604="",$I604=""),"",$H604+MATCH($I604,Listas!$F$5:$F$11,0)-1)</f>
        <v/>
      </c>
      <c r="K604" s="37"/>
      <c r="L604" s="33"/>
      <c r="M604" s="37"/>
      <c r="N604" s="32"/>
      <c r="O604" s="32"/>
      <c r="P604" s="38" t="str">
        <f aca="true">IF($E604="","",IF($L604="Cancelada","Cancelada",IF(OR($K604&lt;&gt;"",$L604="Concluída"),IF(OR($J604="",$K604="",$K604&lt;=$J604),"Concluída","Concluída com atraso"),IF($J604="","Na carteira",IF($J604&lt;TODAY(),"VENCIDA",IF($L604="Em execução","Em execução",IF($J604=TODAY(),"Hoje","Programada")))))))</f>
        <v/>
      </c>
      <c r="Q604" s="31" t="str">
        <f aca="false">IF($E604="","",IF(ISNUMBER(SEARCH("(externo)",$G604)),"Terceirizada","Interna"))</f>
        <v/>
      </c>
      <c r="R604" s="36" t="str">
        <f aca="false">IF($J604="","",IF($M604="",$J604,$M604))</f>
        <v/>
      </c>
      <c r="S604" s="31" t="str">
        <f aca="false">IF($E604="","",IF(OR($K604="",$J604=""),0,IF($K604&lt;=$J604,1,0)))</f>
        <v/>
      </c>
      <c r="T604" s="31" t="str">
        <f aca="false">IF($E604="","",IF(OR($K604="",$R604=""),0,IF($K604&lt;=$R604,1,0)))</f>
        <v/>
      </c>
      <c r="U604" s="38" t="str">
        <f aca="false">IF(OR($K604="",$J604=""),"",MAX(0,$K604-$J604))</f>
        <v/>
      </c>
      <c r="V604" s="31" t="str">
        <f aca="false">IF($E604="","",IF(AND($M604&lt;&gt;"",$J604&lt;&gt;"",$M604&lt;&gt;$J604),1,0))</f>
        <v/>
      </c>
      <c r="W604" s="39" t="str">
        <f aca="false">IF($E604="","",IF($L604="Cancelada",0,IF(OR($K604&lt;&gt;"",$L604="Concluída"),1,0)))</f>
        <v/>
      </c>
    </row>
    <row r="605" customFormat="false" ht="15" hidden="false" customHeight="true" outlineLevel="0" collapsed="false">
      <c r="A605" s="31" t="str">
        <f aca="false">IF($E605="","",COUNTA($E$5:$E605))</f>
        <v/>
      </c>
      <c r="B605" s="32"/>
      <c r="C605" s="32"/>
      <c r="D605" s="32"/>
      <c r="E605" s="32"/>
      <c r="F605" s="33"/>
      <c r="G605" s="32"/>
      <c r="H605" s="34"/>
      <c r="I605" s="35"/>
      <c r="J605" s="36" t="str">
        <f aca="false">IF(OR($H605="",$I605=""),"",$H605+MATCH($I605,Listas!$F$5:$F$11,0)-1)</f>
        <v/>
      </c>
      <c r="K605" s="37"/>
      <c r="L605" s="33"/>
      <c r="M605" s="37"/>
      <c r="N605" s="32"/>
      <c r="O605" s="32"/>
      <c r="P605" s="38" t="str">
        <f aca="true">IF($E605="","",IF($L605="Cancelada","Cancelada",IF(OR($K605&lt;&gt;"",$L605="Concluída"),IF(OR($J605="",$K605="",$K605&lt;=$J605),"Concluída","Concluída com atraso"),IF($J605="","Na carteira",IF($J605&lt;TODAY(),"VENCIDA",IF($L605="Em execução","Em execução",IF($J605=TODAY(),"Hoje","Programada")))))))</f>
        <v/>
      </c>
      <c r="Q605" s="31" t="str">
        <f aca="false">IF($E605="","",IF(ISNUMBER(SEARCH("(externo)",$G605)),"Terceirizada","Interna"))</f>
        <v/>
      </c>
      <c r="R605" s="36" t="str">
        <f aca="false">IF($J605="","",IF($M605="",$J605,$M605))</f>
        <v/>
      </c>
      <c r="S605" s="31" t="str">
        <f aca="false">IF($E605="","",IF(OR($K605="",$J605=""),0,IF($K605&lt;=$J605,1,0)))</f>
        <v/>
      </c>
      <c r="T605" s="31" t="str">
        <f aca="false">IF($E605="","",IF(OR($K605="",$R605=""),0,IF($K605&lt;=$R605,1,0)))</f>
        <v/>
      </c>
      <c r="U605" s="38" t="str">
        <f aca="false">IF(OR($K605="",$J605=""),"",MAX(0,$K605-$J605))</f>
        <v/>
      </c>
      <c r="V605" s="31" t="str">
        <f aca="false">IF($E605="","",IF(AND($M605&lt;&gt;"",$J605&lt;&gt;"",$M605&lt;&gt;$J605),1,0))</f>
        <v/>
      </c>
      <c r="W605" s="39" t="str">
        <f aca="false">IF($E605="","",IF($L605="Cancelada",0,IF(OR($K605&lt;&gt;"",$L605="Concluída"),1,0)))</f>
        <v/>
      </c>
    </row>
    <row r="606" customFormat="false" ht="15" hidden="false" customHeight="true" outlineLevel="0" collapsed="false">
      <c r="A606" s="31" t="str">
        <f aca="false">IF($E606="","",COUNTA($E$5:$E606))</f>
        <v/>
      </c>
      <c r="B606" s="32"/>
      <c r="C606" s="32"/>
      <c r="D606" s="32"/>
      <c r="E606" s="32"/>
      <c r="F606" s="33"/>
      <c r="G606" s="32"/>
      <c r="H606" s="34"/>
      <c r="I606" s="35"/>
      <c r="J606" s="36" t="str">
        <f aca="false">IF(OR($H606="",$I606=""),"",$H606+MATCH($I606,Listas!$F$5:$F$11,0)-1)</f>
        <v/>
      </c>
      <c r="K606" s="37"/>
      <c r="L606" s="33"/>
      <c r="M606" s="37"/>
      <c r="N606" s="32"/>
      <c r="O606" s="32"/>
      <c r="P606" s="38" t="str">
        <f aca="true">IF($E606="","",IF($L606="Cancelada","Cancelada",IF(OR($K606&lt;&gt;"",$L606="Concluída"),IF(OR($J606="",$K606="",$K606&lt;=$J606),"Concluída","Concluída com atraso"),IF($J606="","Na carteira",IF($J606&lt;TODAY(),"VENCIDA",IF($L606="Em execução","Em execução",IF($J606=TODAY(),"Hoje","Programada")))))))</f>
        <v/>
      </c>
      <c r="Q606" s="31" t="str">
        <f aca="false">IF($E606="","",IF(ISNUMBER(SEARCH("(externo)",$G606)),"Terceirizada","Interna"))</f>
        <v/>
      </c>
      <c r="R606" s="36" t="str">
        <f aca="false">IF($J606="","",IF($M606="",$J606,$M606))</f>
        <v/>
      </c>
      <c r="S606" s="31" t="str">
        <f aca="false">IF($E606="","",IF(OR($K606="",$J606=""),0,IF($K606&lt;=$J606,1,0)))</f>
        <v/>
      </c>
      <c r="T606" s="31" t="str">
        <f aca="false">IF($E606="","",IF(OR($K606="",$R606=""),0,IF($K606&lt;=$R606,1,0)))</f>
        <v/>
      </c>
      <c r="U606" s="38" t="str">
        <f aca="false">IF(OR($K606="",$J606=""),"",MAX(0,$K606-$J606))</f>
        <v/>
      </c>
      <c r="V606" s="31" t="str">
        <f aca="false">IF($E606="","",IF(AND($M606&lt;&gt;"",$J606&lt;&gt;"",$M606&lt;&gt;$J606),1,0))</f>
        <v/>
      </c>
      <c r="W606" s="39" t="str">
        <f aca="false">IF($E606="","",IF($L606="Cancelada",0,IF(OR($K606&lt;&gt;"",$L606="Concluída"),1,0)))</f>
        <v/>
      </c>
    </row>
    <row r="607" customFormat="false" ht="15" hidden="false" customHeight="true" outlineLevel="0" collapsed="false">
      <c r="A607" s="31" t="str">
        <f aca="false">IF($E607="","",COUNTA($E$5:$E607))</f>
        <v/>
      </c>
      <c r="B607" s="32"/>
      <c r="C607" s="32"/>
      <c r="D607" s="32"/>
      <c r="E607" s="32"/>
      <c r="F607" s="33"/>
      <c r="G607" s="32"/>
      <c r="H607" s="34"/>
      <c r="I607" s="35"/>
      <c r="J607" s="36" t="str">
        <f aca="false">IF(OR($H607="",$I607=""),"",$H607+MATCH($I607,Listas!$F$5:$F$11,0)-1)</f>
        <v/>
      </c>
      <c r="K607" s="37"/>
      <c r="L607" s="33"/>
      <c r="M607" s="37"/>
      <c r="N607" s="32"/>
      <c r="O607" s="32"/>
      <c r="P607" s="38" t="str">
        <f aca="true">IF($E607="","",IF($L607="Cancelada","Cancelada",IF(OR($K607&lt;&gt;"",$L607="Concluída"),IF(OR($J607="",$K607="",$K607&lt;=$J607),"Concluída","Concluída com atraso"),IF($J607="","Na carteira",IF($J607&lt;TODAY(),"VENCIDA",IF($L607="Em execução","Em execução",IF($J607=TODAY(),"Hoje","Programada")))))))</f>
        <v/>
      </c>
      <c r="Q607" s="31" t="str">
        <f aca="false">IF($E607="","",IF(ISNUMBER(SEARCH("(externo)",$G607)),"Terceirizada","Interna"))</f>
        <v/>
      </c>
      <c r="R607" s="36" t="str">
        <f aca="false">IF($J607="","",IF($M607="",$J607,$M607))</f>
        <v/>
      </c>
      <c r="S607" s="31" t="str">
        <f aca="false">IF($E607="","",IF(OR($K607="",$J607=""),0,IF($K607&lt;=$J607,1,0)))</f>
        <v/>
      </c>
      <c r="T607" s="31" t="str">
        <f aca="false">IF($E607="","",IF(OR($K607="",$R607=""),0,IF($K607&lt;=$R607,1,0)))</f>
        <v/>
      </c>
      <c r="U607" s="38" t="str">
        <f aca="false">IF(OR($K607="",$J607=""),"",MAX(0,$K607-$J607))</f>
        <v/>
      </c>
      <c r="V607" s="31" t="str">
        <f aca="false">IF($E607="","",IF(AND($M607&lt;&gt;"",$J607&lt;&gt;"",$M607&lt;&gt;$J607),1,0))</f>
        <v/>
      </c>
      <c r="W607" s="39" t="str">
        <f aca="false">IF($E607="","",IF($L607="Cancelada",0,IF(OR($K607&lt;&gt;"",$L607="Concluída"),1,0)))</f>
        <v/>
      </c>
    </row>
    <row r="608" customFormat="false" ht="15" hidden="false" customHeight="true" outlineLevel="0" collapsed="false">
      <c r="A608" s="31" t="str">
        <f aca="false">IF($E608="","",COUNTA($E$5:$E608))</f>
        <v/>
      </c>
      <c r="B608" s="32"/>
      <c r="C608" s="32"/>
      <c r="D608" s="32"/>
      <c r="E608" s="32"/>
      <c r="F608" s="33"/>
      <c r="G608" s="32"/>
      <c r="H608" s="34"/>
      <c r="I608" s="35"/>
      <c r="J608" s="36" t="str">
        <f aca="false">IF(OR($H608="",$I608=""),"",$H608+MATCH($I608,Listas!$F$5:$F$11,0)-1)</f>
        <v/>
      </c>
      <c r="K608" s="37"/>
      <c r="L608" s="33"/>
      <c r="M608" s="37"/>
      <c r="N608" s="32"/>
      <c r="O608" s="32"/>
      <c r="P608" s="38" t="str">
        <f aca="true">IF($E608="","",IF($L608="Cancelada","Cancelada",IF(OR($K608&lt;&gt;"",$L608="Concluída"),IF(OR($J608="",$K608="",$K608&lt;=$J608),"Concluída","Concluída com atraso"),IF($J608="","Na carteira",IF($J608&lt;TODAY(),"VENCIDA",IF($L608="Em execução","Em execução",IF($J608=TODAY(),"Hoje","Programada")))))))</f>
        <v/>
      </c>
      <c r="Q608" s="31" t="str">
        <f aca="false">IF($E608="","",IF(ISNUMBER(SEARCH("(externo)",$G608)),"Terceirizada","Interna"))</f>
        <v/>
      </c>
      <c r="R608" s="36" t="str">
        <f aca="false">IF($J608="","",IF($M608="",$J608,$M608))</f>
        <v/>
      </c>
      <c r="S608" s="31" t="str">
        <f aca="false">IF($E608="","",IF(OR($K608="",$J608=""),0,IF($K608&lt;=$J608,1,0)))</f>
        <v/>
      </c>
      <c r="T608" s="31" t="str">
        <f aca="false">IF($E608="","",IF(OR($K608="",$R608=""),0,IF($K608&lt;=$R608,1,0)))</f>
        <v/>
      </c>
      <c r="U608" s="38" t="str">
        <f aca="false">IF(OR($K608="",$J608=""),"",MAX(0,$K608-$J608))</f>
        <v/>
      </c>
      <c r="V608" s="31" t="str">
        <f aca="false">IF($E608="","",IF(AND($M608&lt;&gt;"",$J608&lt;&gt;"",$M608&lt;&gt;$J608),1,0))</f>
        <v/>
      </c>
      <c r="W608" s="39" t="str">
        <f aca="false">IF($E608="","",IF($L608="Cancelada",0,IF(OR($K608&lt;&gt;"",$L608="Concluída"),1,0)))</f>
        <v/>
      </c>
    </row>
    <row r="609" customFormat="false" ht="15" hidden="false" customHeight="true" outlineLevel="0" collapsed="false">
      <c r="A609" s="31" t="str">
        <f aca="false">IF($E609="","",COUNTA($E$5:$E609))</f>
        <v/>
      </c>
      <c r="B609" s="32"/>
      <c r="C609" s="32"/>
      <c r="D609" s="32"/>
      <c r="E609" s="32"/>
      <c r="F609" s="33"/>
      <c r="G609" s="32"/>
      <c r="H609" s="34"/>
      <c r="I609" s="35"/>
      <c r="J609" s="36" t="str">
        <f aca="false">IF(OR($H609="",$I609=""),"",$H609+MATCH($I609,Listas!$F$5:$F$11,0)-1)</f>
        <v/>
      </c>
      <c r="K609" s="37"/>
      <c r="L609" s="33"/>
      <c r="M609" s="37"/>
      <c r="N609" s="32"/>
      <c r="O609" s="32"/>
      <c r="P609" s="38" t="str">
        <f aca="true">IF($E609="","",IF($L609="Cancelada","Cancelada",IF(OR($K609&lt;&gt;"",$L609="Concluída"),IF(OR($J609="",$K609="",$K609&lt;=$J609),"Concluída","Concluída com atraso"),IF($J609="","Na carteira",IF($J609&lt;TODAY(),"VENCIDA",IF($L609="Em execução","Em execução",IF($J609=TODAY(),"Hoje","Programada")))))))</f>
        <v/>
      </c>
      <c r="Q609" s="31" t="str">
        <f aca="false">IF($E609="","",IF(ISNUMBER(SEARCH("(externo)",$G609)),"Terceirizada","Interna"))</f>
        <v/>
      </c>
      <c r="R609" s="36" t="str">
        <f aca="false">IF($J609="","",IF($M609="",$J609,$M609))</f>
        <v/>
      </c>
      <c r="S609" s="31" t="str">
        <f aca="false">IF($E609="","",IF(OR($K609="",$J609=""),0,IF($K609&lt;=$J609,1,0)))</f>
        <v/>
      </c>
      <c r="T609" s="31" t="str">
        <f aca="false">IF($E609="","",IF(OR($K609="",$R609=""),0,IF($K609&lt;=$R609,1,0)))</f>
        <v/>
      </c>
      <c r="U609" s="38" t="str">
        <f aca="false">IF(OR($K609="",$J609=""),"",MAX(0,$K609-$J609))</f>
        <v/>
      </c>
      <c r="V609" s="31" t="str">
        <f aca="false">IF($E609="","",IF(AND($M609&lt;&gt;"",$J609&lt;&gt;"",$M609&lt;&gt;$J609),1,0))</f>
        <v/>
      </c>
      <c r="W609" s="39" t="str">
        <f aca="false">IF($E609="","",IF($L609="Cancelada",0,IF(OR($K609&lt;&gt;"",$L609="Concluída"),1,0)))</f>
        <v/>
      </c>
    </row>
    <row r="610" customFormat="false" ht="15" hidden="false" customHeight="true" outlineLevel="0" collapsed="false">
      <c r="A610" s="31" t="str">
        <f aca="false">IF($E610="","",COUNTA($E$5:$E610))</f>
        <v/>
      </c>
      <c r="B610" s="32"/>
      <c r="C610" s="32"/>
      <c r="D610" s="32"/>
      <c r="E610" s="32"/>
      <c r="F610" s="33"/>
      <c r="G610" s="32"/>
      <c r="H610" s="34"/>
      <c r="I610" s="35"/>
      <c r="J610" s="36" t="str">
        <f aca="false">IF(OR($H610="",$I610=""),"",$H610+MATCH($I610,Listas!$F$5:$F$11,0)-1)</f>
        <v/>
      </c>
      <c r="K610" s="37"/>
      <c r="L610" s="33"/>
      <c r="M610" s="37"/>
      <c r="N610" s="32"/>
      <c r="O610" s="32"/>
      <c r="P610" s="38" t="str">
        <f aca="true">IF($E610="","",IF($L610="Cancelada","Cancelada",IF(OR($K610&lt;&gt;"",$L610="Concluída"),IF(OR($J610="",$K610="",$K610&lt;=$J610),"Concluída","Concluída com atraso"),IF($J610="","Na carteira",IF($J610&lt;TODAY(),"VENCIDA",IF($L610="Em execução","Em execução",IF($J610=TODAY(),"Hoje","Programada")))))))</f>
        <v/>
      </c>
      <c r="Q610" s="31" t="str">
        <f aca="false">IF($E610="","",IF(ISNUMBER(SEARCH("(externo)",$G610)),"Terceirizada","Interna"))</f>
        <v/>
      </c>
      <c r="R610" s="36" t="str">
        <f aca="false">IF($J610="","",IF($M610="",$J610,$M610))</f>
        <v/>
      </c>
      <c r="S610" s="31" t="str">
        <f aca="false">IF($E610="","",IF(OR($K610="",$J610=""),0,IF($K610&lt;=$J610,1,0)))</f>
        <v/>
      </c>
      <c r="T610" s="31" t="str">
        <f aca="false">IF($E610="","",IF(OR($K610="",$R610=""),0,IF($K610&lt;=$R610,1,0)))</f>
        <v/>
      </c>
      <c r="U610" s="38" t="str">
        <f aca="false">IF(OR($K610="",$J610=""),"",MAX(0,$K610-$J610))</f>
        <v/>
      </c>
      <c r="V610" s="31" t="str">
        <f aca="false">IF($E610="","",IF(AND($M610&lt;&gt;"",$J610&lt;&gt;"",$M610&lt;&gt;$J610),1,0))</f>
        <v/>
      </c>
      <c r="W610" s="39" t="str">
        <f aca="false">IF($E610="","",IF($L610="Cancelada",0,IF(OR($K610&lt;&gt;"",$L610="Concluída"),1,0)))</f>
        <v/>
      </c>
    </row>
    <row r="611" customFormat="false" ht="15" hidden="false" customHeight="true" outlineLevel="0" collapsed="false">
      <c r="A611" s="31" t="str">
        <f aca="false">IF($E611="","",COUNTA($E$5:$E611))</f>
        <v/>
      </c>
      <c r="B611" s="32"/>
      <c r="C611" s="32"/>
      <c r="D611" s="32"/>
      <c r="E611" s="32"/>
      <c r="F611" s="33"/>
      <c r="G611" s="32"/>
      <c r="H611" s="34"/>
      <c r="I611" s="35"/>
      <c r="J611" s="36" t="str">
        <f aca="false">IF(OR($H611="",$I611=""),"",$H611+MATCH($I611,Listas!$F$5:$F$11,0)-1)</f>
        <v/>
      </c>
      <c r="K611" s="37"/>
      <c r="L611" s="33"/>
      <c r="M611" s="37"/>
      <c r="N611" s="32"/>
      <c r="O611" s="32"/>
      <c r="P611" s="38" t="str">
        <f aca="true">IF($E611="","",IF($L611="Cancelada","Cancelada",IF(OR($K611&lt;&gt;"",$L611="Concluída"),IF(OR($J611="",$K611="",$K611&lt;=$J611),"Concluída","Concluída com atraso"),IF($J611="","Na carteira",IF($J611&lt;TODAY(),"VENCIDA",IF($L611="Em execução","Em execução",IF($J611=TODAY(),"Hoje","Programada")))))))</f>
        <v/>
      </c>
      <c r="Q611" s="31" t="str">
        <f aca="false">IF($E611="","",IF(ISNUMBER(SEARCH("(externo)",$G611)),"Terceirizada","Interna"))</f>
        <v/>
      </c>
      <c r="R611" s="36" t="str">
        <f aca="false">IF($J611="","",IF($M611="",$J611,$M611))</f>
        <v/>
      </c>
      <c r="S611" s="31" t="str">
        <f aca="false">IF($E611="","",IF(OR($K611="",$J611=""),0,IF($K611&lt;=$J611,1,0)))</f>
        <v/>
      </c>
      <c r="T611" s="31" t="str">
        <f aca="false">IF($E611="","",IF(OR($K611="",$R611=""),0,IF($K611&lt;=$R611,1,0)))</f>
        <v/>
      </c>
      <c r="U611" s="38" t="str">
        <f aca="false">IF(OR($K611="",$J611=""),"",MAX(0,$K611-$J611))</f>
        <v/>
      </c>
      <c r="V611" s="31" t="str">
        <f aca="false">IF($E611="","",IF(AND($M611&lt;&gt;"",$J611&lt;&gt;"",$M611&lt;&gt;$J611),1,0))</f>
        <v/>
      </c>
      <c r="W611" s="39" t="str">
        <f aca="false">IF($E611="","",IF($L611="Cancelada",0,IF(OR($K611&lt;&gt;"",$L611="Concluída"),1,0)))</f>
        <v/>
      </c>
    </row>
    <row r="612" customFormat="false" ht="15" hidden="false" customHeight="true" outlineLevel="0" collapsed="false">
      <c r="A612" s="31" t="str">
        <f aca="false">IF($E612="","",COUNTA($E$5:$E612))</f>
        <v/>
      </c>
      <c r="B612" s="32"/>
      <c r="C612" s="32"/>
      <c r="D612" s="32"/>
      <c r="E612" s="32"/>
      <c r="F612" s="33"/>
      <c r="G612" s="32"/>
      <c r="H612" s="34"/>
      <c r="I612" s="35"/>
      <c r="J612" s="36" t="str">
        <f aca="false">IF(OR($H612="",$I612=""),"",$H612+MATCH($I612,Listas!$F$5:$F$11,0)-1)</f>
        <v/>
      </c>
      <c r="K612" s="37"/>
      <c r="L612" s="33"/>
      <c r="M612" s="37"/>
      <c r="N612" s="32"/>
      <c r="O612" s="32"/>
      <c r="P612" s="38" t="str">
        <f aca="true">IF($E612="","",IF($L612="Cancelada","Cancelada",IF(OR($K612&lt;&gt;"",$L612="Concluída"),IF(OR($J612="",$K612="",$K612&lt;=$J612),"Concluída","Concluída com atraso"),IF($J612="","Na carteira",IF($J612&lt;TODAY(),"VENCIDA",IF($L612="Em execução","Em execução",IF($J612=TODAY(),"Hoje","Programada")))))))</f>
        <v/>
      </c>
      <c r="Q612" s="31" t="str">
        <f aca="false">IF($E612="","",IF(ISNUMBER(SEARCH("(externo)",$G612)),"Terceirizada","Interna"))</f>
        <v/>
      </c>
      <c r="R612" s="36" t="str">
        <f aca="false">IF($J612="","",IF($M612="",$J612,$M612))</f>
        <v/>
      </c>
      <c r="S612" s="31" t="str">
        <f aca="false">IF($E612="","",IF(OR($K612="",$J612=""),0,IF($K612&lt;=$J612,1,0)))</f>
        <v/>
      </c>
      <c r="T612" s="31" t="str">
        <f aca="false">IF($E612="","",IF(OR($K612="",$R612=""),0,IF($K612&lt;=$R612,1,0)))</f>
        <v/>
      </c>
      <c r="U612" s="38" t="str">
        <f aca="false">IF(OR($K612="",$J612=""),"",MAX(0,$K612-$J612))</f>
        <v/>
      </c>
      <c r="V612" s="31" t="str">
        <f aca="false">IF($E612="","",IF(AND($M612&lt;&gt;"",$J612&lt;&gt;"",$M612&lt;&gt;$J612),1,0))</f>
        <v/>
      </c>
      <c r="W612" s="39" t="str">
        <f aca="false">IF($E612="","",IF($L612="Cancelada",0,IF(OR($K612&lt;&gt;"",$L612="Concluída"),1,0)))</f>
        <v/>
      </c>
    </row>
    <row r="613" customFormat="false" ht="15" hidden="false" customHeight="true" outlineLevel="0" collapsed="false">
      <c r="A613" s="31" t="str">
        <f aca="false">IF($E613="","",COUNTA($E$5:$E613))</f>
        <v/>
      </c>
      <c r="B613" s="32"/>
      <c r="C613" s="32"/>
      <c r="D613" s="32"/>
      <c r="E613" s="32"/>
      <c r="F613" s="33"/>
      <c r="G613" s="32"/>
      <c r="H613" s="34"/>
      <c r="I613" s="35"/>
      <c r="J613" s="36" t="str">
        <f aca="false">IF(OR($H613="",$I613=""),"",$H613+MATCH($I613,Listas!$F$5:$F$11,0)-1)</f>
        <v/>
      </c>
      <c r="K613" s="37"/>
      <c r="L613" s="33"/>
      <c r="M613" s="37"/>
      <c r="N613" s="32"/>
      <c r="O613" s="32"/>
      <c r="P613" s="38" t="str">
        <f aca="true">IF($E613="","",IF($L613="Cancelada","Cancelada",IF(OR($K613&lt;&gt;"",$L613="Concluída"),IF(OR($J613="",$K613="",$K613&lt;=$J613),"Concluída","Concluída com atraso"),IF($J613="","Na carteira",IF($J613&lt;TODAY(),"VENCIDA",IF($L613="Em execução","Em execução",IF($J613=TODAY(),"Hoje","Programada")))))))</f>
        <v/>
      </c>
      <c r="Q613" s="31" t="str">
        <f aca="false">IF($E613="","",IF(ISNUMBER(SEARCH("(externo)",$G613)),"Terceirizada","Interna"))</f>
        <v/>
      </c>
      <c r="R613" s="36" t="str">
        <f aca="false">IF($J613="","",IF($M613="",$J613,$M613))</f>
        <v/>
      </c>
      <c r="S613" s="31" t="str">
        <f aca="false">IF($E613="","",IF(OR($K613="",$J613=""),0,IF($K613&lt;=$J613,1,0)))</f>
        <v/>
      </c>
      <c r="T613" s="31" t="str">
        <f aca="false">IF($E613="","",IF(OR($K613="",$R613=""),0,IF($K613&lt;=$R613,1,0)))</f>
        <v/>
      </c>
      <c r="U613" s="38" t="str">
        <f aca="false">IF(OR($K613="",$J613=""),"",MAX(0,$K613-$J613))</f>
        <v/>
      </c>
      <c r="V613" s="31" t="str">
        <f aca="false">IF($E613="","",IF(AND($M613&lt;&gt;"",$J613&lt;&gt;"",$M613&lt;&gt;$J613),1,0))</f>
        <v/>
      </c>
      <c r="W613" s="39" t="str">
        <f aca="false">IF($E613="","",IF($L613="Cancelada",0,IF(OR($K613&lt;&gt;"",$L613="Concluída"),1,0)))</f>
        <v/>
      </c>
    </row>
    <row r="614" customFormat="false" ht="15" hidden="false" customHeight="true" outlineLevel="0" collapsed="false">
      <c r="A614" s="31" t="str">
        <f aca="false">IF($E614="","",COUNTA($E$5:$E614))</f>
        <v/>
      </c>
      <c r="B614" s="32"/>
      <c r="C614" s="32"/>
      <c r="D614" s="32"/>
      <c r="E614" s="32"/>
      <c r="F614" s="33"/>
      <c r="G614" s="32"/>
      <c r="H614" s="34"/>
      <c r="I614" s="35"/>
      <c r="J614" s="36" t="str">
        <f aca="false">IF(OR($H614="",$I614=""),"",$H614+MATCH($I614,Listas!$F$5:$F$11,0)-1)</f>
        <v/>
      </c>
      <c r="K614" s="37"/>
      <c r="L614" s="33"/>
      <c r="M614" s="37"/>
      <c r="N614" s="32"/>
      <c r="O614" s="32"/>
      <c r="P614" s="38" t="str">
        <f aca="true">IF($E614="","",IF($L614="Cancelada","Cancelada",IF(OR($K614&lt;&gt;"",$L614="Concluída"),IF(OR($J614="",$K614="",$K614&lt;=$J614),"Concluída","Concluída com atraso"),IF($J614="","Na carteira",IF($J614&lt;TODAY(),"VENCIDA",IF($L614="Em execução","Em execução",IF($J614=TODAY(),"Hoje","Programada")))))))</f>
        <v/>
      </c>
      <c r="Q614" s="31" t="str">
        <f aca="false">IF($E614="","",IF(ISNUMBER(SEARCH("(externo)",$G614)),"Terceirizada","Interna"))</f>
        <v/>
      </c>
      <c r="R614" s="36" t="str">
        <f aca="false">IF($J614="","",IF($M614="",$J614,$M614))</f>
        <v/>
      </c>
      <c r="S614" s="31" t="str">
        <f aca="false">IF($E614="","",IF(OR($K614="",$J614=""),0,IF($K614&lt;=$J614,1,0)))</f>
        <v/>
      </c>
      <c r="T614" s="31" t="str">
        <f aca="false">IF($E614="","",IF(OR($K614="",$R614=""),0,IF($K614&lt;=$R614,1,0)))</f>
        <v/>
      </c>
      <c r="U614" s="38" t="str">
        <f aca="false">IF(OR($K614="",$J614=""),"",MAX(0,$K614-$J614))</f>
        <v/>
      </c>
      <c r="V614" s="31" t="str">
        <f aca="false">IF($E614="","",IF(AND($M614&lt;&gt;"",$J614&lt;&gt;"",$M614&lt;&gt;$J614),1,0))</f>
        <v/>
      </c>
      <c r="W614" s="39" t="str">
        <f aca="false">IF($E614="","",IF($L614="Cancelada",0,IF(OR($K614&lt;&gt;"",$L614="Concluída"),1,0)))</f>
        <v/>
      </c>
    </row>
    <row r="615" customFormat="false" ht="15" hidden="false" customHeight="true" outlineLevel="0" collapsed="false">
      <c r="A615" s="31" t="str">
        <f aca="false">IF($E615="","",COUNTA($E$5:$E615))</f>
        <v/>
      </c>
      <c r="B615" s="32"/>
      <c r="C615" s="32"/>
      <c r="D615" s="32"/>
      <c r="E615" s="32"/>
      <c r="F615" s="33"/>
      <c r="G615" s="32"/>
      <c r="H615" s="34"/>
      <c r="I615" s="35"/>
      <c r="J615" s="36" t="str">
        <f aca="false">IF(OR($H615="",$I615=""),"",$H615+MATCH($I615,Listas!$F$5:$F$11,0)-1)</f>
        <v/>
      </c>
      <c r="K615" s="37"/>
      <c r="L615" s="33"/>
      <c r="M615" s="37"/>
      <c r="N615" s="32"/>
      <c r="O615" s="32"/>
      <c r="P615" s="38" t="str">
        <f aca="true">IF($E615="","",IF($L615="Cancelada","Cancelada",IF(OR($K615&lt;&gt;"",$L615="Concluída"),IF(OR($J615="",$K615="",$K615&lt;=$J615),"Concluída","Concluída com atraso"),IF($J615="","Na carteira",IF($J615&lt;TODAY(),"VENCIDA",IF($L615="Em execução","Em execução",IF($J615=TODAY(),"Hoje","Programada")))))))</f>
        <v/>
      </c>
      <c r="Q615" s="31" t="str">
        <f aca="false">IF($E615="","",IF(ISNUMBER(SEARCH("(externo)",$G615)),"Terceirizada","Interna"))</f>
        <v/>
      </c>
      <c r="R615" s="36" t="str">
        <f aca="false">IF($J615="","",IF($M615="",$J615,$M615))</f>
        <v/>
      </c>
      <c r="S615" s="31" t="str">
        <f aca="false">IF($E615="","",IF(OR($K615="",$J615=""),0,IF($K615&lt;=$J615,1,0)))</f>
        <v/>
      </c>
      <c r="T615" s="31" t="str">
        <f aca="false">IF($E615="","",IF(OR($K615="",$R615=""),0,IF($K615&lt;=$R615,1,0)))</f>
        <v/>
      </c>
      <c r="U615" s="38" t="str">
        <f aca="false">IF(OR($K615="",$J615=""),"",MAX(0,$K615-$J615))</f>
        <v/>
      </c>
      <c r="V615" s="31" t="str">
        <f aca="false">IF($E615="","",IF(AND($M615&lt;&gt;"",$J615&lt;&gt;"",$M615&lt;&gt;$J615),1,0))</f>
        <v/>
      </c>
      <c r="W615" s="39" t="str">
        <f aca="false">IF($E615="","",IF($L615="Cancelada",0,IF(OR($K615&lt;&gt;"",$L615="Concluída"),1,0)))</f>
        <v/>
      </c>
    </row>
    <row r="616" customFormat="false" ht="15" hidden="false" customHeight="true" outlineLevel="0" collapsed="false">
      <c r="A616" s="31" t="str">
        <f aca="false">IF($E616="","",COUNTA($E$5:$E616))</f>
        <v/>
      </c>
      <c r="B616" s="32"/>
      <c r="C616" s="32"/>
      <c r="D616" s="32"/>
      <c r="E616" s="32"/>
      <c r="F616" s="33"/>
      <c r="G616" s="32"/>
      <c r="H616" s="34"/>
      <c r="I616" s="35"/>
      <c r="J616" s="36" t="str">
        <f aca="false">IF(OR($H616="",$I616=""),"",$H616+MATCH($I616,Listas!$F$5:$F$11,0)-1)</f>
        <v/>
      </c>
      <c r="K616" s="37"/>
      <c r="L616" s="33"/>
      <c r="M616" s="37"/>
      <c r="N616" s="32"/>
      <c r="O616" s="32"/>
      <c r="P616" s="38" t="str">
        <f aca="true">IF($E616="","",IF($L616="Cancelada","Cancelada",IF(OR($K616&lt;&gt;"",$L616="Concluída"),IF(OR($J616="",$K616="",$K616&lt;=$J616),"Concluída","Concluída com atraso"),IF($J616="","Na carteira",IF($J616&lt;TODAY(),"VENCIDA",IF($L616="Em execução","Em execução",IF($J616=TODAY(),"Hoje","Programada")))))))</f>
        <v/>
      </c>
      <c r="Q616" s="31" t="str">
        <f aca="false">IF($E616="","",IF(ISNUMBER(SEARCH("(externo)",$G616)),"Terceirizada","Interna"))</f>
        <v/>
      </c>
      <c r="R616" s="36" t="str">
        <f aca="false">IF($J616="","",IF($M616="",$J616,$M616))</f>
        <v/>
      </c>
      <c r="S616" s="31" t="str">
        <f aca="false">IF($E616="","",IF(OR($K616="",$J616=""),0,IF($K616&lt;=$J616,1,0)))</f>
        <v/>
      </c>
      <c r="T616" s="31" t="str">
        <f aca="false">IF($E616="","",IF(OR($K616="",$R616=""),0,IF($K616&lt;=$R616,1,0)))</f>
        <v/>
      </c>
      <c r="U616" s="38" t="str">
        <f aca="false">IF(OR($K616="",$J616=""),"",MAX(0,$K616-$J616))</f>
        <v/>
      </c>
      <c r="V616" s="31" t="str">
        <f aca="false">IF($E616="","",IF(AND($M616&lt;&gt;"",$J616&lt;&gt;"",$M616&lt;&gt;$J616),1,0))</f>
        <v/>
      </c>
      <c r="W616" s="39" t="str">
        <f aca="false">IF($E616="","",IF($L616="Cancelada",0,IF(OR($K616&lt;&gt;"",$L616="Concluída"),1,0)))</f>
        <v/>
      </c>
    </row>
    <row r="617" customFormat="false" ht="15" hidden="false" customHeight="true" outlineLevel="0" collapsed="false">
      <c r="A617" s="31" t="str">
        <f aca="false">IF($E617="","",COUNTA($E$5:$E617))</f>
        <v/>
      </c>
      <c r="B617" s="32"/>
      <c r="C617" s="32"/>
      <c r="D617" s="32"/>
      <c r="E617" s="32"/>
      <c r="F617" s="33"/>
      <c r="G617" s="32"/>
      <c r="H617" s="34"/>
      <c r="I617" s="35"/>
      <c r="J617" s="36" t="str">
        <f aca="false">IF(OR($H617="",$I617=""),"",$H617+MATCH($I617,Listas!$F$5:$F$11,0)-1)</f>
        <v/>
      </c>
      <c r="K617" s="37"/>
      <c r="L617" s="33"/>
      <c r="M617" s="37"/>
      <c r="N617" s="32"/>
      <c r="O617" s="32"/>
      <c r="P617" s="38" t="str">
        <f aca="true">IF($E617="","",IF($L617="Cancelada","Cancelada",IF(OR($K617&lt;&gt;"",$L617="Concluída"),IF(OR($J617="",$K617="",$K617&lt;=$J617),"Concluída","Concluída com atraso"),IF($J617="","Na carteira",IF($J617&lt;TODAY(),"VENCIDA",IF($L617="Em execução","Em execução",IF($J617=TODAY(),"Hoje","Programada")))))))</f>
        <v/>
      </c>
      <c r="Q617" s="31" t="str">
        <f aca="false">IF($E617="","",IF(ISNUMBER(SEARCH("(externo)",$G617)),"Terceirizada","Interna"))</f>
        <v/>
      </c>
      <c r="R617" s="36" t="str">
        <f aca="false">IF($J617="","",IF($M617="",$J617,$M617))</f>
        <v/>
      </c>
      <c r="S617" s="31" t="str">
        <f aca="false">IF($E617="","",IF(OR($K617="",$J617=""),0,IF($K617&lt;=$J617,1,0)))</f>
        <v/>
      </c>
      <c r="T617" s="31" t="str">
        <f aca="false">IF($E617="","",IF(OR($K617="",$R617=""),0,IF($K617&lt;=$R617,1,0)))</f>
        <v/>
      </c>
      <c r="U617" s="38" t="str">
        <f aca="false">IF(OR($K617="",$J617=""),"",MAX(0,$K617-$J617))</f>
        <v/>
      </c>
      <c r="V617" s="31" t="str">
        <f aca="false">IF($E617="","",IF(AND($M617&lt;&gt;"",$J617&lt;&gt;"",$M617&lt;&gt;$J617),1,0))</f>
        <v/>
      </c>
      <c r="W617" s="39" t="str">
        <f aca="false">IF($E617="","",IF($L617="Cancelada",0,IF(OR($K617&lt;&gt;"",$L617="Concluída"),1,0)))</f>
        <v/>
      </c>
    </row>
    <row r="618" customFormat="false" ht="15" hidden="false" customHeight="true" outlineLevel="0" collapsed="false">
      <c r="A618" s="31" t="str">
        <f aca="false">IF($E618="","",COUNTA($E$5:$E618))</f>
        <v/>
      </c>
      <c r="B618" s="32"/>
      <c r="C618" s="32"/>
      <c r="D618" s="32"/>
      <c r="E618" s="32"/>
      <c r="F618" s="33"/>
      <c r="G618" s="32"/>
      <c r="H618" s="34"/>
      <c r="I618" s="35"/>
      <c r="J618" s="36" t="str">
        <f aca="false">IF(OR($H618="",$I618=""),"",$H618+MATCH($I618,Listas!$F$5:$F$11,0)-1)</f>
        <v/>
      </c>
      <c r="K618" s="37"/>
      <c r="L618" s="33"/>
      <c r="M618" s="37"/>
      <c r="N618" s="32"/>
      <c r="O618" s="32"/>
      <c r="P618" s="38" t="str">
        <f aca="true">IF($E618="","",IF($L618="Cancelada","Cancelada",IF(OR($K618&lt;&gt;"",$L618="Concluída"),IF(OR($J618="",$K618="",$K618&lt;=$J618),"Concluída","Concluída com atraso"),IF($J618="","Na carteira",IF($J618&lt;TODAY(),"VENCIDA",IF($L618="Em execução","Em execução",IF($J618=TODAY(),"Hoje","Programada")))))))</f>
        <v/>
      </c>
      <c r="Q618" s="31" t="str">
        <f aca="false">IF($E618="","",IF(ISNUMBER(SEARCH("(externo)",$G618)),"Terceirizada","Interna"))</f>
        <v/>
      </c>
      <c r="R618" s="36" t="str">
        <f aca="false">IF($J618="","",IF($M618="",$J618,$M618))</f>
        <v/>
      </c>
      <c r="S618" s="31" t="str">
        <f aca="false">IF($E618="","",IF(OR($K618="",$J618=""),0,IF($K618&lt;=$J618,1,0)))</f>
        <v/>
      </c>
      <c r="T618" s="31" t="str">
        <f aca="false">IF($E618="","",IF(OR($K618="",$R618=""),0,IF($K618&lt;=$R618,1,0)))</f>
        <v/>
      </c>
      <c r="U618" s="38" t="str">
        <f aca="false">IF(OR($K618="",$J618=""),"",MAX(0,$K618-$J618))</f>
        <v/>
      </c>
      <c r="V618" s="31" t="str">
        <f aca="false">IF($E618="","",IF(AND($M618&lt;&gt;"",$J618&lt;&gt;"",$M618&lt;&gt;$J618),1,0))</f>
        <v/>
      </c>
      <c r="W618" s="39" t="str">
        <f aca="false">IF($E618="","",IF($L618="Cancelada",0,IF(OR($K618&lt;&gt;"",$L618="Concluída"),1,0)))</f>
        <v/>
      </c>
    </row>
    <row r="619" customFormat="false" ht="15" hidden="false" customHeight="true" outlineLevel="0" collapsed="false">
      <c r="A619" s="31" t="str">
        <f aca="false">IF($E619="","",COUNTA($E$5:$E619))</f>
        <v/>
      </c>
      <c r="B619" s="32"/>
      <c r="C619" s="32"/>
      <c r="D619" s="32"/>
      <c r="E619" s="32"/>
      <c r="F619" s="33"/>
      <c r="G619" s="32"/>
      <c r="H619" s="34"/>
      <c r="I619" s="35"/>
      <c r="J619" s="36" t="str">
        <f aca="false">IF(OR($H619="",$I619=""),"",$H619+MATCH($I619,Listas!$F$5:$F$11,0)-1)</f>
        <v/>
      </c>
      <c r="K619" s="37"/>
      <c r="L619" s="33"/>
      <c r="M619" s="37"/>
      <c r="N619" s="32"/>
      <c r="O619" s="32"/>
      <c r="P619" s="38" t="str">
        <f aca="true">IF($E619="","",IF($L619="Cancelada","Cancelada",IF(OR($K619&lt;&gt;"",$L619="Concluída"),IF(OR($J619="",$K619="",$K619&lt;=$J619),"Concluída","Concluída com atraso"),IF($J619="","Na carteira",IF($J619&lt;TODAY(),"VENCIDA",IF($L619="Em execução","Em execução",IF($J619=TODAY(),"Hoje","Programada")))))))</f>
        <v/>
      </c>
      <c r="Q619" s="31" t="str">
        <f aca="false">IF($E619="","",IF(ISNUMBER(SEARCH("(externo)",$G619)),"Terceirizada","Interna"))</f>
        <v/>
      </c>
      <c r="R619" s="36" t="str">
        <f aca="false">IF($J619="","",IF($M619="",$J619,$M619))</f>
        <v/>
      </c>
      <c r="S619" s="31" t="str">
        <f aca="false">IF($E619="","",IF(OR($K619="",$J619=""),0,IF($K619&lt;=$J619,1,0)))</f>
        <v/>
      </c>
      <c r="T619" s="31" t="str">
        <f aca="false">IF($E619="","",IF(OR($K619="",$R619=""),0,IF($K619&lt;=$R619,1,0)))</f>
        <v/>
      </c>
      <c r="U619" s="38" t="str">
        <f aca="false">IF(OR($K619="",$J619=""),"",MAX(0,$K619-$J619))</f>
        <v/>
      </c>
      <c r="V619" s="31" t="str">
        <f aca="false">IF($E619="","",IF(AND($M619&lt;&gt;"",$J619&lt;&gt;"",$M619&lt;&gt;$J619),1,0))</f>
        <v/>
      </c>
      <c r="W619" s="39" t="str">
        <f aca="false">IF($E619="","",IF($L619="Cancelada",0,IF(OR($K619&lt;&gt;"",$L619="Concluída"),1,0)))</f>
        <v/>
      </c>
    </row>
    <row r="620" customFormat="false" ht="15" hidden="false" customHeight="true" outlineLevel="0" collapsed="false">
      <c r="A620" s="31" t="str">
        <f aca="false">IF($E620="","",COUNTA($E$5:$E620))</f>
        <v/>
      </c>
      <c r="B620" s="32"/>
      <c r="C620" s="32"/>
      <c r="D620" s="32"/>
      <c r="E620" s="32"/>
      <c r="F620" s="33"/>
      <c r="G620" s="32"/>
      <c r="H620" s="34"/>
      <c r="I620" s="35"/>
      <c r="J620" s="36" t="str">
        <f aca="false">IF(OR($H620="",$I620=""),"",$H620+MATCH($I620,Listas!$F$5:$F$11,0)-1)</f>
        <v/>
      </c>
      <c r="K620" s="37"/>
      <c r="L620" s="33"/>
      <c r="M620" s="37"/>
      <c r="N620" s="32"/>
      <c r="O620" s="32"/>
      <c r="P620" s="38" t="str">
        <f aca="true">IF($E620="","",IF($L620="Cancelada","Cancelada",IF(OR($K620&lt;&gt;"",$L620="Concluída"),IF(OR($J620="",$K620="",$K620&lt;=$J620),"Concluída","Concluída com atraso"),IF($J620="","Na carteira",IF($J620&lt;TODAY(),"VENCIDA",IF($L620="Em execução","Em execução",IF($J620=TODAY(),"Hoje","Programada")))))))</f>
        <v/>
      </c>
      <c r="Q620" s="31" t="str">
        <f aca="false">IF($E620="","",IF(ISNUMBER(SEARCH("(externo)",$G620)),"Terceirizada","Interna"))</f>
        <v/>
      </c>
      <c r="R620" s="36" t="str">
        <f aca="false">IF($J620="","",IF($M620="",$J620,$M620))</f>
        <v/>
      </c>
      <c r="S620" s="31" t="str">
        <f aca="false">IF($E620="","",IF(OR($K620="",$J620=""),0,IF($K620&lt;=$J620,1,0)))</f>
        <v/>
      </c>
      <c r="T620" s="31" t="str">
        <f aca="false">IF($E620="","",IF(OR($K620="",$R620=""),0,IF($K620&lt;=$R620,1,0)))</f>
        <v/>
      </c>
      <c r="U620" s="38" t="str">
        <f aca="false">IF(OR($K620="",$J620=""),"",MAX(0,$K620-$J620))</f>
        <v/>
      </c>
      <c r="V620" s="31" t="str">
        <f aca="false">IF($E620="","",IF(AND($M620&lt;&gt;"",$J620&lt;&gt;"",$M620&lt;&gt;$J620),1,0))</f>
        <v/>
      </c>
      <c r="W620" s="39" t="str">
        <f aca="false">IF($E620="","",IF($L620="Cancelada",0,IF(OR($K620&lt;&gt;"",$L620="Concluída"),1,0)))</f>
        <v/>
      </c>
    </row>
    <row r="621" customFormat="false" ht="15" hidden="false" customHeight="true" outlineLevel="0" collapsed="false">
      <c r="A621" s="31" t="str">
        <f aca="false">IF($E621="","",COUNTA($E$5:$E621))</f>
        <v/>
      </c>
      <c r="B621" s="32"/>
      <c r="C621" s="32"/>
      <c r="D621" s="32"/>
      <c r="E621" s="32"/>
      <c r="F621" s="33"/>
      <c r="G621" s="32"/>
      <c r="H621" s="34"/>
      <c r="I621" s="35"/>
      <c r="J621" s="36" t="str">
        <f aca="false">IF(OR($H621="",$I621=""),"",$H621+MATCH($I621,Listas!$F$5:$F$11,0)-1)</f>
        <v/>
      </c>
      <c r="K621" s="37"/>
      <c r="L621" s="33"/>
      <c r="M621" s="37"/>
      <c r="N621" s="32"/>
      <c r="O621" s="32"/>
      <c r="P621" s="38" t="str">
        <f aca="true">IF($E621="","",IF($L621="Cancelada","Cancelada",IF(OR($K621&lt;&gt;"",$L621="Concluída"),IF(OR($J621="",$K621="",$K621&lt;=$J621),"Concluída","Concluída com atraso"),IF($J621="","Na carteira",IF($J621&lt;TODAY(),"VENCIDA",IF($L621="Em execução","Em execução",IF($J621=TODAY(),"Hoje","Programada")))))))</f>
        <v/>
      </c>
      <c r="Q621" s="31" t="str">
        <f aca="false">IF($E621="","",IF(ISNUMBER(SEARCH("(externo)",$G621)),"Terceirizada","Interna"))</f>
        <v/>
      </c>
      <c r="R621" s="36" t="str">
        <f aca="false">IF($J621="","",IF($M621="",$J621,$M621))</f>
        <v/>
      </c>
      <c r="S621" s="31" t="str">
        <f aca="false">IF($E621="","",IF(OR($K621="",$J621=""),0,IF($K621&lt;=$J621,1,0)))</f>
        <v/>
      </c>
      <c r="T621" s="31" t="str">
        <f aca="false">IF($E621="","",IF(OR($K621="",$R621=""),0,IF($K621&lt;=$R621,1,0)))</f>
        <v/>
      </c>
      <c r="U621" s="38" t="str">
        <f aca="false">IF(OR($K621="",$J621=""),"",MAX(0,$K621-$J621))</f>
        <v/>
      </c>
      <c r="V621" s="31" t="str">
        <f aca="false">IF($E621="","",IF(AND($M621&lt;&gt;"",$J621&lt;&gt;"",$M621&lt;&gt;$J621),1,0))</f>
        <v/>
      </c>
      <c r="W621" s="39" t="str">
        <f aca="false">IF($E621="","",IF($L621="Cancelada",0,IF(OR($K621&lt;&gt;"",$L621="Concluída"),1,0)))</f>
        <v/>
      </c>
    </row>
    <row r="622" customFormat="false" ht="15" hidden="false" customHeight="true" outlineLevel="0" collapsed="false">
      <c r="A622" s="31" t="str">
        <f aca="false">IF($E622="","",COUNTA($E$5:$E622))</f>
        <v/>
      </c>
      <c r="B622" s="32"/>
      <c r="C622" s="32"/>
      <c r="D622" s="32"/>
      <c r="E622" s="32"/>
      <c r="F622" s="33"/>
      <c r="G622" s="32"/>
      <c r="H622" s="34"/>
      <c r="I622" s="35"/>
      <c r="J622" s="36" t="str">
        <f aca="false">IF(OR($H622="",$I622=""),"",$H622+MATCH($I622,Listas!$F$5:$F$11,0)-1)</f>
        <v/>
      </c>
      <c r="K622" s="37"/>
      <c r="L622" s="33"/>
      <c r="M622" s="37"/>
      <c r="N622" s="32"/>
      <c r="O622" s="32"/>
      <c r="P622" s="38" t="str">
        <f aca="true">IF($E622="","",IF($L622="Cancelada","Cancelada",IF(OR($K622&lt;&gt;"",$L622="Concluída"),IF(OR($J622="",$K622="",$K622&lt;=$J622),"Concluída","Concluída com atraso"),IF($J622="","Na carteira",IF($J622&lt;TODAY(),"VENCIDA",IF($L622="Em execução","Em execução",IF($J622=TODAY(),"Hoje","Programada")))))))</f>
        <v/>
      </c>
      <c r="Q622" s="31" t="str">
        <f aca="false">IF($E622="","",IF(ISNUMBER(SEARCH("(externo)",$G622)),"Terceirizada","Interna"))</f>
        <v/>
      </c>
      <c r="R622" s="36" t="str">
        <f aca="false">IF($J622="","",IF($M622="",$J622,$M622))</f>
        <v/>
      </c>
      <c r="S622" s="31" t="str">
        <f aca="false">IF($E622="","",IF(OR($K622="",$J622=""),0,IF($K622&lt;=$J622,1,0)))</f>
        <v/>
      </c>
      <c r="T622" s="31" t="str">
        <f aca="false">IF($E622="","",IF(OR($K622="",$R622=""),0,IF($K622&lt;=$R622,1,0)))</f>
        <v/>
      </c>
      <c r="U622" s="38" t="str">
        <f aca="false">IF(OR($K622="",$J622=""),"",MAX(0,$K622-$J622))</f>
        <v/>
      </c>
      <c r="V622" s="31" t="str">
        <f aca="false">IF($E622="","",IF(AND($M622&lt;&gt;"",$J622&lt;&gt;"",$M622&lt;&gt;$J622),1,0))</f>
        <v/>
      </c>
      <c r="W622" s="39" t="str">
        <f aca="false">IF($E622="","",IF($L622="Cancelada",0,IF(OR($K622&lt;&gt;"",$L622="Concluída"),1,0)))</f>
        <v/>
      </c>
    </row>
    <row r="623" customFormat="false" ht="15" hidden="false" customHeight="true" outlineLevel="0" collapsed="false">
      <c r="A623" s="31" t="str">
        <f aca="false">IF($E623="","",COUNTA($E$5:$E623))</f>
        <v/>
      </c>
      <c r="B623" s="32"/>
      <c r="C623" s="32"/>
      <c r="D623" s="32"/>
      <c r="E623" s="32"/>
      <c r="F623" s="33"/>
      <c r="G623" s="32"/>
      <c r="H623" s="34"/>
      <c r="I623" s="35"/>
      <c r="J623" s="36" t="str">
        <f aca="false">IF(OR($H623="",$I623=""),"",$H623+MATCH($I623,Listas!$F$5:$F$11,0)-1)</f>
        <v/>
      </c>
      <c r="K623" s="37"/>
      <c r="L623" s="33"/>
      <c r="M623" s="37"/>
      <c r="N623" s="32"/>
      <c r="O623" s="32"/>
      <c r="P623" s="38" t="str">
        <f aca="true">IF($E623="","",IF($L623="Cancelada","Cancelada",IF(OR($K623&lt;&gt;"",$L623="Concluída"),IF(OR($J623="",$K623="",$K623&lt;=$J623),"Concluída","Concluída com atraso"),IF($J623="","Na carteira",IF($J623&lt;TODAY(),"VENCIDA",IF($L623="Em execução","Em execução",IF($J623=TODAY(),"Hoje","Programada")))))))</f>
        <v/>
      </c>
      <c r="Q623" s="31" t="str">
        <f aca="false">IF($E623="","",IF(ISNUMBER(SEARCH("(externo)",$G623)),"Terceirizada","Interna"))</f>
        <v/>
      </c>
      <c r="R623" s="36" t="str">
        <f aca="false">IF($J623="","",IF($M623="",$J623,$M623))</f>
        <v/>
      </c>
      <c r="S623" s="31" t="str">
        <f aca="false">IF($E623="","",IF(OR($K623="",$J623=""),0,IF($K623&lt;=$J623,1,0)))</f>
        <v/>
      </c>
      <c r="T623" s="31" t="str">
        <f aca="false">IF($E623="","",IF(OR($K623="",$R623=""),0,IF($K623&lt;=$R623,1,0)))</f>
        <v/>
      </c>
      <c r="U623" s="38" t="str">
        <f aca="false">IF(OR($K623="",$J623=""),"",MAX(0,$K623-$J623))</f>
        <v/>
      </c>
      <c r="V623" s="31" t="str">
        <f aca="false">IF($E623="","",IF(AND($M623&lt;&gt;"",$J623&lt;&gt;"",$M623&lt;&gt;$J623),1,0))</f>
        <v/>
      </c>
      <c r="W623" s="39" t="str">
        <f aca="false">IF($E623="","",IF($L623="Cancelada",0,IF(OR($K623&lt;&gt;"",$L623="Concluída"),1,0)))</f>
        <v/>
      </c>
    </row>
    <row r="624" customFormat="false" ht="15" hidden="false" customHeight="true" outlineLevel="0" collapsed="false">
      <c r="A624" s="31" t="str">
        <f aca="false">IF($E624="","",COUNTA($E$5:$E624))</f>
        <v/>
      </c>
      <c r="B624" s="32"/>
      <c r="C624" s="32"/>
      <c r="D624" s="32"/>
      <c r="E624" s="32"/>
      <c r="F624" s="33"/>
      <c r="G624" s="32"/>
      <c r="H624" s="34"/>
      <c r="I624" s="35"/>
      <c r="J624" s="36" t="str">
        <f aca="false">IF(OR($H624="",$I624=""),"",$H624+MATCH($I624,Listas!$F$5:$F$11,0)-1)</f>
        <v/>
      </c>
      <c r="K624" s="37"/>
      <c r="L624" s="33"/>
      <c r="M624" s="37"/>
      <c r="N624" s="32"/>
      <c r="O624" s="32"/>
      <c r="P624" s="38" t="str">
        <f aca="true">IF($E624="","",IF($L624="Cancelada","Cancelada",IF(OR($K624&lt;&gt;"",$L624="Concluída"),IF(OR($J624="",$K624="",$K624&lt;=$J624),"Concluída","Concluída com atraso"),IF($J624="","Na carteira",IF($J624&lt;TODAY(),"VENCIDA",IF($L624="Em execução","Em execução",IF($J624=TODAY(),"Hoje","Programada")))))))</f>
        <v/>
      </c>
      <c r="Q624" s="31" t="str">
        <f aca="false">IF($E624="","",IF(ISNUMBER(SEARCH("(externo)",$G624)),"Terceirizada","Interna"))</f>
        <v/>
      </c>
      <c r="R624" s="36" t="str">
        <f aca="false">IF($J624="","",IF($M624="",$J624,$M624))</f>
        <v/>
      </c>
      <c r="S624" s="31" t="str">
        <f aca="false">IF($E624="","",IF(OR($K624="",$J624=""),0,IF($K624&lt;=$J624,1,0)))</f>
        <v/>
      </c>
      <c r="T624" s="31" t="str">
        <f aca="false">IF($E624="","",IF(OR($K624="",$R624=""),0,IF($K624&lt;=$R624,1,0)))</f>
        <v/>
      </c>
      <c r="U624" s="38" t="str">
        <f aca="false">IF(OR($K624="",$J624=""),"",MAX(0,$K624-$J624))</f>
        <v/>
      </c>
      <c r="V624" s="31" t="str">
        <f aca="false">IF($E624="","",IF(AND($M624&lt;&gt;"",$J624&lt;&gt;"",$M624&lt;&gt;$J624),1,0))</f>
        <v/>
      </c>
      <c r="W624" s="39" t="str">
        <f aca="false">IF($E624="","",IF($L624="Cancelada",0,IF(OR($K624&lt;&gt;"",$L624="Concluída"),1,0)))</f>
        <v/>
      </c>
    </row>
    <row r="625" customFormat="false" ht="15" hidden="false" customHeight="true" outlineLevel="0" collapsed="false">
      <c r="A625" s="31" t="str">
        <f aca="false">IF($E625="","",COUNTA($E$5:$E625))</f>
        <v/>
      </c>
      <c r="B625" s="32"/>
      <c r="C625" s="32"/>
      <c r="D625" s="32"/>
      <c r="E625" s="32"/>
      <c r="F625" s="33"/>
      <c r="G625" s="32"/>
      <c r="H625" s="34"/>
      <c r="I625" s="35"/>
      <c r="J625" s="36" t="str">
        <f aca="false">IF(OR($H625="",$I625=""),"",$H625+MATCH($I625,Listas!$F$5:$F$11,0)-1)</f>
        <v/>
      </c>
      <c r="K625" s="37"/>
      <c r="L625" s="33"/>
      <c r="M625" s="37"/>
      <c r="N625" s="32"/>
      <c r="O625" s="32"/>
      <c r="P625" s="38" t="str">
        <f aca="true">IF($E625="","",IF($L625="Cancelada","Cancelada",IF(OR($K625&lt;&gt;"",$L625="Concluída"),IF(OR($J625="",$K625="",$K625&lt;=$J625),"Concluída","Concluída com atraso"),IF($J625="","Na carteira",IF($J625&lt;TODAY(),"VENCIDA",IF($L625="Em execução","Em execução",IF($J625=TODAY(),"Hoje","Programada")))))))</f>
        <v/>
      </c>
      <c r="Q625" s="31" t="str">
        <f aca="false">IF($E625="","",IF(ISNUMBER(SEARCH("(externo)",$G625)),"Terceirizada","Interna"))</f>
        <v/>
      </c>
      <c r="R625" s="36" t="str">
        <f aca="false">IF($J625="","",IF($M625="",$J625,$M625))</f>
        <v/>
      </c>
      <c r="S625" s="31" t="str">
        <f aca="false">IF($E625="","",IF(OR($K625="",$J625=""),0,IF($K625&lt;=$J625,1,0)))</f>
        <v/>
      </c>
      <c r="T625" s="31" t="str">
        <f aca="false">IF($E625="","",IF(OR($K625="",$R625=""),0,IF($K625&lt;=$R625,1,0)))</f>
        <v/>
      </c>
      <c r="U625" s="38" t="str">
        <f aca="false">IF(OR($K625="",$J625=""),"",MAX(0,$K625-$J625))</f>
        <v/>
      </c>
      <c r="V625" s="31" t="str">
        <f aca="false">IF($E625="","",IF(AND($M625&lt;&gt;"",$J625&lt;&gt;"",$M625&lt;&gt;$J625),1,0))</f>
        <v/>
      </c>
      <c r="W625" s="39" t="str">
        <f aca="false">IF($E625="","",IF($L625="Cancelada",0,IF(OR($K625&lt;&gt;"",$L625="Concluída"),1,0)))</f>
        <v/>
      </c>
    </row>
    <row r="626" customFormat="false" ht="15" hidden="false" customHeight="true" outlineLevel="0" collapsed="false">
      <c r="A626" s="31" t="str">
        <f aca="false">IF($E626="","",COUNTA($E$5:$E626))</f>
        <v/>
      </c>
      <c r="B626" s="32"/>
      <c r="C626" s="32"/>
      <c r="D626" s="32"/>
      <c r="E626" s="32"/>
      <c r="F626" s="33"/>
      <c r="G626" s="32"/>
      <c r="H626" s="34"/>
      <c r="I626" s="35"/>
      <c r="J626" s="36" t="str">
        <f aca="false">IF(OR($H626="",$I626=""),"",$H626+MATCH($I626,Listas!$F$5:$F$11,0)-1)</f>
        <v/>
      </c>
      <c r="K626" s="37"/>
      <c r="L626" s="33"/>
      <c r="M626" s="37"/>
      <c r="N626" s="32"/>
      <c r="O626" s="32"/>
      <c r="P626" s="38" t="str">
        <f aca="true">IF($E626="","",IF($L626="Cancelada","Cancelada",IF(OR($K626&lt;&gt;"",$L626="Concluída"),IF(OR($J626="",$K626="",$K626&lt;=$J626),"Concluída","Concluída com atraso"),IF($J626="","Na carteira",IF($J626&lt;TODAY(),"VENCIDA",IF($L626="Em execução","Em execução",IF($J626=TODAY(),"Hoje","Programada")))))))</f>
        <v/>
      </c>
      <c r="Q626" s="31" t="str">
        <f aca="false">IF($E626="","",IF(ISNUMBER(SEARCH("(externo)",$G626)),"Terceirizada","Interna"))</f>
        <v/>
      </c>
      <c r="R626" s="36" t="str">
        <f aca="false">IF($J626="","",IF($M626="",$J626,$M626))</f>
        <v/>
      </c>
      <c r="S626" s="31" t="str">
        <f aca="false">IF($E626="","",IF(OR($K626="",$J626=""),0,IF($K626&lt;=$J626,1,0)))</f>
        <v/>
      </c>
      <c r="T626" s="31" t="str">
        <f aca="false">IF($E626="","",IF(OR($K626="",$R626=""),0,IF($K626&lt;=$R626,1,0)))</f>
        <v/>
      </c>
      <c r="U626" s="38" t="str">
        <f aca="false">IF(OR($K626="",$J626=""),"",MAX(0,$K626-$J626))</f>
        <v/>
      </c>
      <c r="V626" s="31" t="str">
        <f aca="false">IF($E626="","",IF(AND($M626&lt;&gt;"",$J626&lt;&gt;"",$M626&lt;&gt;$J626),1,0))</f>
        <v/>
      </c>
      <c r="W626" s="39" t="str">
        <f aca="false">IF($E626="","",IF($L626="Cancelada",0,IF(OR($K626&lt;&gt;"",$L626="Concluída"),1,0)))</f>
        <v/>
      </c>
    </row>
    <row r="627" customFormat="false" ht="15" hidden="false" customHeight="true" outlineLevel="0" collapsed="false">
      <c r="A627" s="31" t="str">
        <f aca="false">IF($E627="","",COUNTA($E$5:$E627))</f>
        <v/>
      </c>
      <c r="B627" s="32"/>
      <c r="C627" s="32"/>
      <c r="D627" s="32"/>
      <c r="E627" s="32"/>
      <c r="F627" s="33"/>
      <c r="G627" s="32"/>
      <c r="H627" s="34"/>
      <c r="I627" s="35"/>
      <c r="J627" s="36" t="str">
        <f aca="false">IF(OR($H627="",$I627=""),"",$H627+MATCH($I627,Listas!$F$5:$F$11,0)-1)</f>
        <v/>
      </c>
      <c r="K627" s="37"/>
      <c r="L627" s="33"/>
      <c r="M627" s="37"/>
      <c r="N627" s="32"/>
      <c r="O627" s="32"/>
      <c r="P627" s="38" t="str">
        <f aca="true">IF($E627="","",IF($L627="Cancelada","Cancelada",IF(OR($K627&lt;&gt;"",$L627="Concluída"),IF(OR($J627="",$K627="",$K627&lt;=$J627),"Concluída","Concluída com atraso"),IF($J627="","Na carteira",IF($J627&lt;TODAY(),"VENCIDA",IF($L627="Em execução","Em execução",IF($J627=TODAY(),"Hoje","Programada")))))))</f>
        <v/>
      </c>
      <c r="Q627" s="31" t="str">
        <f aca="false">IF($E627="","",IF(ISNUMBER(SEARCH("(externo)",$G627)),"Terceirizada","Interna"))</f>
        <v/>
      </c>
      <c r="R627" s="36" t="str">
        <f aca="false">IF($J627="","",IF($M627="",$J627,$M627))</f>
        <v/>
      </c>
      <c r="S627" s="31" t="str">
        <f aca="false">IF($E627="","",IF(OR($K627="",$J627=""),0,IF($K627&lt;=$J627,1,0)))</f>
        <v/>
      </c>
      <c r="T627" s="31" t="str">
        <f aca="false">IF($E627="","",IF(OR($K627="",$R627=""),0,IF($K627&lt;=$R627,1,0)))</f>
        <v/>
      </c>
      <c r="U627" s="38" t="str">
        <f aca="false">IF(OR($K627="",$J627=""),"",MAX(0,$K627-$J627))</f>
        <v/>
      </c>
      <c r="V627" s="31" t="str">
        <f aca="false">IF($E627="","",IF(AND($M627&lt;&gt;"",$J627&lt;&gt;"",$M627&lt;&gt;$J627),1,0))</f>
        <v/>
      </c>
      <c r="W627" s="39" t="str">
        <f aca="false">IF($E627="","",IF($L627="Cancelada",0,IF(OR($K627&lt;&gt;"",$L627="Concluída"),1,0)))</f>
        <v/>
      </c>
    </row>
    <row r="628" customFormat="false" ht="15" hidden="false" customHeight="true" outlineLevel="0" collapsed="false">
      <c r="A628" s="31" t="str">
        <f aca="false">IF($E628="","",COUNTA($E$5:$E628))</f>
        <v/>
      </c>
      <c r="B628" s="32"/>
      <c r="C628" s="32"/>
      <c r="D628" s="32"/>
      <c r="E628" s="32"/>
      <c r="F628" s="33"/>
      <c r="G628" s="32"/>
      <c r="H628" s="34"/>
      <c r="I628" s="35"/>
      <c r="J628" s="36" t="str">
        <f aca="false">IF(OR($H628="",$I628=""),"",$H628+MATCH($I628,Listas!$F$5:$F$11,0)-1)</f>
        <v/>
      </c>
      <c r="K628" s="37"/>
      <c r="L628" s="33"/>
      <c r="M628" s="37"/>
      <c r="N628" s="32"/>
      <c r="O628" s="32"/>
      <c r="P628" s="38" t="str">
        <f aca="true">IF($E628="","",IF($L628="Cancelada","Cancelada",IF(OR($K628&lt;&gt;"",$L628="Concluída"),IF(OR($J628="",$K628="",$K628&lt;=$J628),"Concluída","Concluída com atraso"),IF($J628="","Na carteira",IF($J628&lt;TODAY(),"VENCIDA",IF($L628="Em execução","Em execução",IF($J628=TODAY(),"Hoje","Programada")))))))</f>
        <v/>
      </c>
      <c r="Q628" s="31" t="str">
        <f aca="false">IF($E628="","",IF(ISNUMBER(SEARCH("(externo)",$G628)),"Terceirizada","Interna"))</f>
        <v/>
      </c>
      <c r="R628" s="36" t="str">
        <f aca="false">IF($J628="","",IF($M628="",$J628,$M628))</f>
        <v/>
      </c>
      <c r="S628" s="31" t="str">
        <f aca="false">IF($E628="","",IF(OR($K628="",$J628=""),0,IF($K628&lt;=$J628,1,0)))</f>
        <v/>
      </c>
      <c r="T628" s="31" t="str">
        <f aca="false">IF($E628="","",IF(OR($K628="",$R628=""),0,IF($K628&lt;=$R628,1,0)))</f>
        <v/>
      </c>
      <c r="U628" s="38" t="str">
        <f aca="false">IF(OR($K628="",$J628=""),"",MAX(0,$K628-$J628))</f>
        <v/>
      </c>
      <c r="V628" s="31" t="str">
        <f aca="false">IF($E628="","",IF(AND($M628&lt;&gt;"",$J628&lt;&gt;"",$M628&lt;&gt;$J628),1,0))</f>
        <v/>
      </c>
      <c r="W628" s="39" t="str">
        <f aca="false">IF($E628="","",IF($L628="Cancelada",0,IF(OR($K628&lt;&gt;"",$L628="Concluída"),1,0)))</f>
        <v/>
      </c>
    </row>
    <row r="629" customFormat="false" ht="15" hidden="false" customHeight="true" outlineLevel="0" collapsed="false">
      <c r="A629" s="31" t="str">
        <f aca="false">IF($E629="","",COUNTA($E$5:$E629))</f>
        <v/>
      </c>
      <c r="B629" s="32"/>
      <c r="C629" s="32"/>
      <c r="D629" s="32"/>
      <c r="E629" s="32"/>
      <c r="F629" s="33"/>
      <c r="G629" s="32"/>
      <c r="H629" s="34"/>
      <c r="I629" s="35"/>
      <c r="J629" s="36" t="str">
        <f aca="false">IF(OR($H629="",$I629=""),"",$H629+MATCH($I629,Listas!$F$5:$F$11,0)-1)</f>
        <v/>
      </c>
      <c r="K629" s="37"/>
      <c r="L629" s="33"/>
      <c r="M629" s="37"/>
      <c r="N629" s="32"/>
      <c r="O629" s="32"/>
      <c r="P629" s="38" t="str">
        <f aca="true">IF($E629="","",IF($L629="Cancelada","Cancelada",IF(OR($K629&lt;&gt;"",$L629="Concluída"),IF(OR($J629="",$K629="",$K629&lt;=$J629),"Concluída","Concluída com atraso"),IF($J629="","Na carteira",IF($J629&lt;TODAY(),"VENCIDA",IF($L629="Em execução","Em execução",IF($J629=TODAY(),"Hoje","Programada")))))))</f>
        <v/>
      </c>
      <c r="Q629" s="31" t="str">
        <f aca="false">IF($E629="","",IF(ISNUMBER(SEARCH("(externo)",$G629)),"Terceirizada","Interna"))</f>
        <v/>
      </c>
      <c r="R629" s="36" t="str">
        <f aca="false">IF($J629="","",IF($M629="",$J629,$M629))</f>
        <v/>
      </c>
      <c r="S629" s="31" t="str">
        <f aca="false">IF($E629="","",IF(OR($K629="",$J629=""),0,IF($K629&lt;=$J629,1,0)))</f>
        <v/>
      </c>
      <c r="T629" s="31" t="str">
        <f aca="false">IF($E629="","",IF(OR($K629="",$R629=""),0,IF($K629&lt;=$R629,1,0)))</f>
        <v/>
      </c>
      <c r="U629" s="38" t="str">
        <f aca="false">IF(OR($K629="",$J629=""),"",MAX(0,$K629-$J629))</f>
        <v/>
      </c>
      <c r="V629" s="31" t="str">
        <f aca="false">IF($E629="","",IF(AND($M629&lt;&gt;"",$J629&lt;&gt;"",$M629&lt;&gt;$J629),1,0))</f>
        <v/>
      </c>
      <c r="W629" s="39" t="str">
        <f aca="false">IF($E629="","",IF($L629="Cancelada",0,IF(OR($K629&lt;&gt;"",$L629="Concluída"),1,0)))</f>
        <v/>
      </c>
    </row>
    <row r="630" customFormat="false" ht="15" hidden="false" customHeight="true" outlineLevel="0" collapsed="false">
      <c r="A630" s="31" t="str">
        <f aca="false">IF($E630="","",COUNTA($E$5:$E630))</f>
        <v/>
      </c>
      <c r="B630" s="32"/>
      <c r="C630" s="32"/>
      <c r="D630" s="32"/>
      <c r="E630" s="32"/>
      <c r="F630" s="33"/>
      <c r="G630" s="32"/>
      <c r="H630" s="34"/>
      <c r="I630" s="35"/>
      <c r="J630" s="36" t="str">
        <f aca="false">IF(OR($H630="",$I630=""),"",$H630+MATCH($I630,Listas!$F$5:$F$11,0)-1)</f>
        <v/>
      </c>
      <c r="K630" s="37"/>
      <c r="L630" s="33"/>
      <c r="M630" s="37"/>
      <c r="N630" s="32"/>
      <c r="O630" s="32"/>
      <c r="P630" s="38" t="str">
        <f aca="true">IF($E630="","",IF($L630="Cancelada","Cancelada",IF(OR($K630&lt;&gt;"",$L630="Concluída"),IF(OR($J630="",$K630="",$K630&lt;=$J630),"Concluída","Concluída com atraso"),IF($J630="","Na carteira",IF($J630&lt;TODAY(),"VENCIDA",IF($L630="Em execução","Em execução",IF($J630=TODAY(),"Hoje","Programada")))))))</f>
        <v/>
      </c>
      <c r="Q630" s="31" t="str">
        <f aca="false">IF($E630="","",IF(ISNUMBER(SEARCH("(externo)",$G630)),"Terceirizada","Interna"))</f>
        <v/>
      </c>
      <c r="R630" s="36" t="str">
        <f aca="false">IF($J630="","",IF($M630="",$J630,$M630))</f>
        <v/>
      </c>
      <c r="S630" s="31" t="str">
        <f aca="false">IF($E630="","",IF(OR($K630="",$J630=""),0,IF($K630&lt;=$J630,1,0)))</f>
        <v/>
      </c>
      <c r="T630" s="31" t="str">
        <f aca="false">IF($E630="","",IF(OR($K630="",$R630=""),0,IF($K630&lt;=$R630,1,0)))</f>
        <v/>
      </c>
      <c r="U630" s="38" t="str">
        <f aca="false">IF(OR($K630="",$J630=""),"",MAX(0,$K630-$J630))</f>
        <v/>
      </c>
      <c r="V630" s="31" t="str">
        <f aca="false">IF($E630="","",IF(AND($M630&lt;&gt;"",$J630&lt;&gt;"",$M630&lt;&gt;$J630),1,0))</f>
        <v/>
      </c>
      <c r="W630" s="39" t="str">
        <f aca="false">IF($E630="","",IF($L630="Cancelada",0,IF(OR($K630&lt;&gt;"",$L630="Concluída"),1,0)))</f>
        <v/>
      </c>
    </row>
    <row r="631" customFormat="false" ht="15" hidden="false" customHeight="true" outlineLevel="0" collapsed="false">
      <c r="A631" s="31" t="str">
        <f aca="false">IF($E631="","",COUNTA($E$5:$E631))</f>
        <v/>
      </c>
      <c r="B631" s="32"/>
      <c r="C631" s="32"/>
      <c r="D631" s="32"/>
      <c r="E631" s="32"/>
      <c r="F631" s="33"/>
      <c r="G631" s="32"/>
      <c r="H631" s="34"/>
      <c r="I631" s="35"/>
      <c r="J631" s="36" t="str">
        <f aca="false">IF(OR($H631="",$I631=""),"",$H631+MATCH($I631,Listas!$F$5:$F$11,0)-1)</f>
        <v/>
      </c>
      <c r="K631" s="37"/>
      <c r="L631" s="33"/>
      <c r="M631" s="37"/>
      <c r="N631" s="32"/>
      <c r="O631" s="32"/>
      <c r="P631" s="38" t="str">
        <f aca="true">IF($E631="","",IF($L631="Cancelada","Cancelada",IF(OR($K631&lt;&gt;"",$L631="Concluída"),IF(OR($J631="",$K631="",$K631&lt;=$J631),"Concluída","Concluída com atraso"),IF($J631="","Na carteira",IF($J631&lt;TODAY(),"VENCIDA",IF($L631="Em execução","Em execução",IF($J631=TODAY(),"Hoje","Programada")))))))</f>
        <v/>
      </c>
      <c r="Q631" s="31" t="str">
        <f aca="false">IF($E631="","",IF(ISNUMBER(SEARCH("(externo)",$G631)),"Terceirizada","Interna"))</f>
        <v/>
      </c>
      <c r="R631" s="36" t="str">
        <f aca="false">IF($J631="","",IF($M631="",$J631,$M631))</f>
        <v/>
      </c>
      <c r="S631" s="31" t="str">
        <f aca="false">IF($E631="","",IF(OR($K631="",$J631=""),0,IF($K631&lt;=$J631,1,0)))</f>
        <v/>
      </c>
      <c r="T631" s="31" t="str">
        <f aca="false">IF($E631="","",IF(OR($K631="",$R631=""),0,IF($K631&lt;=$R631,1,0)))</f>
        <v/>
      </c>
      <c r="U631" s="38" t="str">
        <f aca="false">IF(OR($K631="",$J631=""),"",MAX(0,$K631-$J631))</f>
        <v/>
      </c>
      <c r="V631" s="31" t="str">
        <f aca="false">IF($E631="","",IF(AND($M631&lt;&gt;"",$J631&lt;&gt;"",$M631&lt;&gt;$J631),1,0))</f>
        <v/>
      </c>
      <c r="W631" s="39" t="str">
        <f aca="false">IF($E631="","",IF($L631="Cancelada",0,IF(OR($K631&lt;&gt;"",$L631="Concluída"),1,0)))</f>
        <v/>
      </c>
    </row>
    <row r="632" customFormat="false" ht="15" hidden="false" customHeight="true" outlineLevel="0" collapsed="false">
      <c r="A632" s="31" t="str">
        <f aca="false">IF($E632="","",COUNTA($E$5:$E632))</f>
        <v/>
      </c>
      <c r="B632" s="32"/>
      <c r="C632" s="32"/>
      <c r="D632" s="32"/>
      <c r="E632" s="32"/>
      <c r="F632" s="33"/>
      <c r="G632" s="32"/>
      <c r="H632" s="34"/>
      <c r="I632" s="35"/>
      <c r="J632" s="36" t="str">
        <f aca="false">IF(OR($H632="",$I632=""),"",$H632+MATCH($I632,Listas!$F$5:$F$11,0)-1)</f>
        <v/>
      </c>
      <c r="K632" s="37"/>
      <c r="L632" s="33"/>
      <c r="M632" s="37"/>
      <c r="N632" s="32"/>
      <c r="O632" s="32"/>
      <c r="P632" s="38" t="str">
        <f aca="true">IF($E632="","",IF($L632="Cancelada","Cancelada",IF(OR($K632&lt;&gt;"",$L632="Concluída"),IF(OR($J632="",$K632="",$K632&lt;=$J632),"Concluída","Concluída com atraso"),IF($J632="","Na carteira",IF($J632&lt;TODAY(),"VENCIDA",IF($L632="Em execução","Em execução",IF($J632=TODAY(),"Hoje","Programada")))))))</f>
        <v/>
      </c>
      <c r="Q632" s="31" t="str">
        <f aca="false">IF($E632="","",IF(ISNUMBER(SEARCH("(externo)",$G632)),"Terceirizada","Interna"))</f>
        <v/>
      </c>
      <c r="R632" s="36" t="str">
        <f aca="false">IF($J632="","",IF($M632="",$J632,$M632))</f>
        <v/>
      </c>
      <c r="S632" s="31" t="str">
        <f aca="false">IF($E632="","",IF(OR($K632="",$J632=""),0,IF($K632&lt;=$J632,1,0)))</f>
        <v/>
      </c>
      <c r="T632" s="31" t="str">
        <f aca="false">IF($E632="","",IF(OR($K632="",$R632=""),0,IF($K632&lt;=$R632,1,0)))</f>
        <v/>
      </c>
      <c r="U632" s="38" t="str">
        <f aca="false">IF(OR($K632="",$J632=""),"",MAX(0,$K632-$J632))</f>
        <v/>
      </c>
      <c r="V632" s="31" t="str">
        <f aca="false">IF($E632="","",IF(AND($M632&lt;&gt;"",$J632&lt;&gt;"",$M632&lt;&gt;$J632),1,0))</f>
        <v/>
      </c>
      <c r="W632" s="39" t="str">
        <f aca="false">IF($E632="","",IF($L632="Cancelada",0,IF(OR($K632&lt;&gt;"",$L632="Concluída"),1,0)))</f>
        <v/>
      </c>
    </row>
    <row r="633" customFormat="false" ht="15" hidden="false" customHeight="true" outlineLevel="0" collapsed="false">
      <c r="A633" s="31" t="str">
        <f aca="false">IF($E633="","",COUNTA($E$5:$E633))</f>
        <v/>
      </c>
      <c r="B633" s="32"/>
      <c r="C633" s="32"/>
      <c r="D633" s="32"/>
      <c r="E633" s="32"/>
      <c r="F633" s="33"/>
      <c r="G633" s="32"/>
      <c r="H633" s="34"/>
      <c r="I633" s="35"/>
      <c r="J633" s="36" t="str">
        <f aca="false">IF(OR($H633="",$I633=""),"",$H633+MATCH($I633,Listas!$F$5:$F$11,0)-1)</f>
        <v/>
      </c>
      <c r="K633" s="37"/>
      <c r="L633" s="33"/>
      <c r="M633" s="37"/>
      <c r="N633" s="32"/>
      <c r="O633" s="32"/>
      <c r="P633" s="38" t="str">
        <f aca="true">IF($E633="","",IF($L633="Cancelada","Cancelada",IF(OR($K633&lt;&gt;"",$L633="Concluída"),IF(OR($J633="",$K633="",$K633&lt;=$J633),"Concluída","Concluída com atraso"),IF($J633="","Na carteira",IF($J633&lt;TODAY(),"VENCIDA",IF($L633="Em execução","Em execução",IF($J633=TODAY(),"Hoje","Programada")))))))</f>
        <v/>
      </c>
      <c r="Q633" s="31" t="str">
        <f aca="false">IF($E633="","",IF(ISNUMBER(SEARCH("(externo)",$G633)),"Terceirizada","Interna"))</f>
        <v/>
      </c>
      <c r="R633" s="36" t="str">
        <f aca="false">IF($J633="","",IF($M633="",$J633,$M633))</f>
        <v/>
      </c>
      <c r="S633" s="31" t="str">
        <f aca="false">IF($E633="","",IF(OR($K633="",$J633=""),0,IF($K633&lt;=$J633,1,0)))</f>
        <v/>
      </c>
      <c r="T633" s="31" t="str">
        <f aca="false">IF($E633="","",IF(OR($K633="",$R633=""),0,IF($K633&lt;=$R633,1,0)))</f>
        <v/>
      </c>
      <c r="U633" s="38" t="str">
        <f aca="false">IF(OR($K633="",$J633=""),"",MAX(0,$K633-$J633))</f>
        <v/>
      </c>
      <c r="V633" s="31" t="str">
        <f aca="false">IF($E633="","",IF(AND($M633&lt;&gt;"",$J633&lt;&gt;"",$M633&lt;&gt;$J633),1,0))</f>
        <v/>
      </c>
      <c r="W633" s="39" t="str">
        <f aca="false">IF($E633="","",IF($L633="Cancelada",0,IF(OR($K633&lt;&gt;"",$L633="Concluída"),1,0)))</f>
        <v/>
      </c>
    </row>
    <row r="634" customFormat="false" ht="15" hidden="false" customHeight="true" outlineLevel="0" collapsed="false">
      <c r="A634" s="31" t="str">
        <f aca="false">IF($E634="","",COUNTA($E$5:$E634))</f>
        <v/>
      </c>
      <c r="B634" s="32"/>
      <c r="C634" s="32"/>
      <c r="D634" s="32"/>
      <c r="E634" s="32"/>
      <c r="F634" s="33"/>
      <c r="G634" s="32"/>
      <c r="H634" s="34"/>
      <c r="I634" s="35"/>
      <c r="J634" s="36" t="str">
        <f aca="false">IF(OR($H634="",$I634=""),"",$H634+MATCH($I634,Listas!$F$5:$F$11,0)-1)</f>
        <v/>
      </c>
      <c r="K634" s="37"/>
      <c r="L634" s="33"/>
      <c r="M634" s="37"/>
      <c r="N634" s="32"/>
      <c r="O634" s="32"/>
      <c r="P634" s="38" t="str">
        <f aca="true">IF($E634="","",IF($L634="Cancelada","Cancelada",IF(OR($K634&lt;&gt;"",$L634="Concluída"),IF(OR($J634="",$K634="",$K634&lt;=$J634),"Concluída","Concluída com atraso"),IF($J634="","Na carteira",IF($J634&lt;TODAY(),"VENCIDA",IF($L634="Em execução","Em execução",IF($J634=TODAY(),"Hoje","Programada")))))))</f>
        <v/>
      </c>
      <c r="Q634" s="31" t="str">
        <f aca="false">IF($E634="","",IF(ISNUMBER(SEARCH("(externo)",$G634)),"Terceirizada","Interna"))</f>
        <v/>
      </c>
      <c r="R634" s="36" t="str">
        <f aca="false">IF($J634="","",IF($M634="",$J634,$M634))</f>
        <v/>
      </c>
      <c r="S634" s="31" t="str">
        <f aca="false">IF($E634="","",IF(OR($K634="",$J634=""),0,IF($K634&lt;=$J634,1,0)))</f>
        <v/>
      </c>
      <c r="T634" s="31" t="str">
        <f aca="false">IF($E634="","",IF(OR($K634="",$R634=""),0,IF($K634&lt;=$R634,1,0)))</f>
        <v/>
      </c>
      <c r="U634" s="38" t="str">
        <f aca="false">IF(OR($K634="",$J634=""),"",MAX(0,$K634-$J634))</f>
        <v/>
      </c>
      <c r="V634" s="31" t="str">
        <f aca="false">IF($E634="","",IF(AND($M634&lt;&gt;"",$J634&lt;&gt;"",$M634&lt;&gt;$J634),1,0))</f>
        <v/>
      </c>
      <c r="W634" s="39" t="str">
        <f aca="false">IF($E634="","",IF($L634="Cancelada",0,IF(OR($K634&lt;&gt;"",$L634="Concluída"),1,0)))</f>
        <v/>
      </c>
    </row>
    <row r="635" customFormat="false" ht="15" hidden="false" customHeight="true" outlineLevel="0" collapsed="false">
      <c r="A635" s="31" t="str">
        <f aca="false">IF($E635="","",COUNTA($E$5:$E635))</f>
        <v/>
      </c>
      <c r="B635" s="32"/>
      <c r="C635" s="32"/>
      <c r="D635" s="32"/>
      <c r="E635" s="32"/>
      <c r="F635" s="33"/>
      <c r="G635" s="32"/>
      <c r="H635" s="34"/>
      <c r="I635" s="35"/>
      <c r="J635" s="36" t="str">
        <f aca="false">IF(OR($H635="",$I635=""),"",$H635+MATCH($I635,Listas!$F$5:$F$11,0)-1)</f>
        <v/>
      </c>
      <c r="K635" s="37"/>
      <c r="L635" s="33"/>
      <c r="M635" s="37"/>
      <c r="N635" s="32"/>
      <c r="O635" s="32"/>
      <c r="P635" s="38" t="str">
        <f aca="true">IF($E635="","",IF($L635="Cancelada","Cancelada",IF(OR($K635&lt;&gt;"",$L635="Concluída"),IF(OR($J635="",$K635="",$K635&lt;=$J635),"Concluída","Concluída com atraso"),IF($J635="","Na carteira",IF($J635&lt;TODAY(),"VENCIDA",IF($L635="Em execução","Em execução",IF($J635=TODAY(),"Hoje","Programada")))))))</f>
        <v/>
      </c>
      <c r="Q635" s="31" t="str">
        <f aca="false">IF($E635="","",IF(ISNUMBER(SEARCH("(externo)",$G635)),"Terceirizada","Interna"))</f>
        <v/>
      </c>
      <c r="R635" s="36" t="str">
        <f aca="false">IF($J635="","",IF($M635="",$J635,$M635))</f>
        <v/>
      </c>
      <c r="S635" s="31" t="str">
        <f aca="false">IF($E635="","",IF(OR($K635="",$J635=""),0,IF($K635&lt;=$J635,1,0)))</f>
        <v/>
      </c>
      <c r="T635" s="31" t="str">
        <f aca="false">IF($E635="","",IF(OR($K635="",$R635=""),0,IF($K635&lt;=$R635,1,0)))</f>
        <v/>
      </c>
      <c r="U635" s="38" t="str">
        <f aca="false">IF(OR($K635="",$J635=""),"",MAX(0,$K635-$J635))</f>
        <v/>
      </c>
      <c r="V635" s="31" t="str">
        <f aca="false">IF($E635="","",IF(AND($M635&lt;&gt;"",$J635&lt;&gt;"",$M635&lt;&gt;$J635),1,0))</f>
        <v/>
      </c>
      <c r="W635" s="39" t="str">
        <f aca="false">IF($E635="","",IF($L635="Cancelada",0,IF(OR($K635&lt;&gt;"",$L635="Concluída"),1,0)))</f>
        <v/>
      </c>
    </row>
    <row r="636" customFormat="false" ht="15" hidden="false" customHeight="true" outlineLevel="0" collapsed="false">
      <c r="A636" s="31" t="str">
        <f aca="false">IF($E636="","",COUNTA($E$5:$E636))</f>
        <v/>
      </c>
      <c r="B636" s="32"/>
      <c r="C636" s="32"/>
      <c r="D636" s="32"/>
      <c r="E636" s="32"/>
      <c r="F636" s="33"/>
      <c r="G636" s="32"/>
      <c r="H636" s="34"/>
      <c r="I636" s="35"/>
      <c r="J636" s="36" t="str">
        <f aca="false">IF(OR($H636="",$I636=""),"",$H636+MATCH($I636,Listas!$F$5:$F$11,0)-1)</f>
        <v/>
      </c>
      <c r="K636" s="37"/>
      <c r="L636" s="33"/>
      <c r="M636" s="37"/>
      <c r="N636" s="32"/>
      <c r="O636" s="32"/>
      <c r="P636" s="38" t="str">
        <f aca="true">IF($E636="","",IF($L636="Cancelada","Cancelada",IF(OR($K636&lt;&gt;"",$L636="Concluída"),IF(OR($J636="",$K636="",$K636&lt;=$J636),"Concluída","Concluída com atraso"),IF($J636="","Na carteira",IF($J636&lt;TODAY(),"VENCIDA",IF($L636="Em execução","Em execução",IF($J636=TODAY(),"Hoje","Programada")))))))</f>
        <v/>
      </c>
      <c r="Q636" s="31" t="str">
        <f aca="false">IF($E636="","",IF(ISNUMBER(SEARCH("(externo)",$G636)),"Terceirizada","Interna"))</f>
        <v/>
      </c>
      <c r="R636" s="36" t="str">
        <f aca="false">IF($J636="","",IF($M636="",$J636,$M636))</f>
        <v/>
      </c>
      <c r="S636" s="31" t="str">
        <f aca="false">IF($E636="","",IF(OR($K636="",$J636=""),0,IF($K636&lt;=$J636,1,0)))</f>
        <v/>
      </c>
      <c r="T636" s="31" t="str">
        <f aca="false">IF($E636="","",IF(OR($K636="",$R636=""),0,IF($K636&lt;=$R636,1,0)))</f>
        <v/>
      </c>
      <c r="U636" s="38" t="str">
        <f aca="false">IF(OR($K636="",$J636=""),"",MAX(0,$K636-$J636))</f>
        <v/>
      </c>
      <c r="V636" s="31" t="str">
        <f aca="false">IF($E636="","",IF(AND($M636&lt;&gt;"",$J636&lt;&gt;"",$M636&lt;&gt;$J636),1,0))</f>
        <v/>
      </c>
      <c r="W636" s="39" t="str">
        <f aca="false">IF($E636="","",IF($L636="Cancelada",0,IF(OR($K636&lt;&gt;"",$L636="Concluída"),1,0)))</f>
        <v/>
      </c>
    </row>
    <row r="637" customFormat="false" ht="15" hidden="false" customHeight="true" outlineLevel="0" collapsed="false">
      <c r="A637" s="31" t="str">
        <f aca="false">IF($E637="","",COUNTA($E$5:$E637))</f>
        <v/>
      </c>
      <c r="B637" s="32"/>
      <c r="C637" s="32"/>
      <c r="D637" s="32"/>
      <c r="E637" s="32"/>
      <c r="F637" s="33"/>
      <c r="G637" s="32"/>
      <c r="H637" s="34"/>
      <c r="I637" s="35"/>
      <c r="J637" s="36" t="str">
        <f aca="false">IF(OR($H637="",$I637=""),"",$H637+MATCH($I637,Listas!$F$5:$F$11,0)-1)</f>
        <v/>
      </c>
      <c r="K637" s="37"/>
      <c r="L637" s="33"/>
      <c r="M637" s="37"/>
      <c r="N637" s="32"/>
      <c r="O637" s="32"/>
      <c r="P637" s="38" t="str">
        <f aca="true">IF($E637="","",IF($L637="Cancelada","Cancelada",IF(OR($K637&lt;&gt;"",$L637="Concluída"),IF(OR($J637="",$K637="",$K637&lt;=$J637),"Concluída","Concluída com atraso"),IF($J637="","Na carteira",IF($J637&lt;TODAY(),"VENCIDA",IF($L637="Em execução","Em execução",IF($J637=TODAY(),"Hoje","Programada")))))))</f>
        <v/>
      </c>
      <c r="Q637" s="31" t="str">
        <f aca="false">IF($E637="","",IF(ISNUMBER(SEARCH("(externo)",$G637)),"Terceirizada","Interna"))</f>
        <v/>
      </c>
      <c r="R637" s="36" t="str">
        <f aca="false">IF($J637="","",IF($M637="",$J637,$M637))</f>
        <v/>
      </c>
      <c r="S637" s="31" t="str">
        <f aca="false">IF($E637="","",IF(OR($K637="",$J637=""),0,IF($K637&lt;=$J637,1,0)))</f>
        <v/>
      </c>
      <c r="T637" s="31" t="str">
        <f aca="false">IF($E637="","",IF(OR($K637="",$R637=""),0,IF($K637&lt;=$R637,1,0)))</f>
        <v/>
      </c>
      <c r="U637" s="38" t="str">
        <f aca="false">IF(OR($K637="",$J637=""),"",MAX(0,$K637-$J637))</f>
        <v/>
      </c>
      <c r="V637" s="31" t="str">
        <f aca="false">IF($E637="","",IF(AND($M637&lt;&gt;"",$J637&lt;&gt;"",$M637&lt;&gt;$J637),1,0))</f>
        <v/>
      </c>
      <c r="W637" s="39" t="str">
        <f aca="false">IF($E637="","",IF($L637="Cancelada",0,IF(OR($K637&lt;&gt;"",$L637="Concluída"),1,0)))</f>
        <v/>
      </c>
    </row>
    <row r="638" customFormat="false" ht="15" hidden="false" customHeight="true" outlineLevel="0" collapsed="false">
      <c r="A638" s="31" t="str">
        <f aca="false">IF($E638="","",COUNTA($E$5:$E638))</f>
        <v/>
      </c>
      <c r="B638" s="32"/>
      <c r="C638" s="32"/>
      <c r="D638" s="32"/>
      <c r="E638" s="32"/>
      <c r="F638" s="33"/>
      <c r="G638" s="32"/>
      <c r="H638" s="34"/>
      <c r="I638" s="35"/>
      <c r="J638" s="36" t="str">
        <f aca="false">IF(OR($H638="",$I638=""),"",$H638+MATCH($I638,Listas!$F$5:$F$11,0)-1)</f>
        <v/>
      </c>
      <c r="K638" s="37"/>
      <c r="L638" s="33"/>
      <c r="M638" s="37"/>
      <c r="N638" s="32"/>
      <c r="O638" s="32"/>
      <c r="P638" s="38" t="str">
        <f aca="true">IF($E638="","",IF($L638="Cancelada","Cancelada",IF(OR($K638&lt;&gt;"",$L638="Concluída"),IF(OR($J638="",$K638="",$K638&lt;=$J638),"Concluída","Concluída com atraso"),IF($J638="","Na carteira",IF($J638&lt;TODAY(),"VENCIDA",IF($L638="Em execução","Em execução",IF($J638=TODAY(),"Hoje","Programada")))))))</f>
        <v/>
      </c>
      <c r="Q638" s="31" t="str">
        <f aca="false">IF($E638="","",IF(ISNUMBER(SEARCH("(externo)",$G638)),"Terceirizada","Interna"))</f>
        <v/>
      </c>
      <c r="R638" s="36" t="str">
        <f aca="false">IF($J638="","",IF($M638="",$J638,$M638))</f>
        <v/>
      </c>
      <c r="S638" s="31" t="str">
        <f aca="false">IF($E638="","",IF(OR($K638="",$J638=""),0,IF($K638&lt;=$J638,1,0)))</f>
        <v/>
      </c>
      <c r="T638" s="31" t="str">
        <f aca="false">IF($E638="","",IF(OR($K638="",$R638=""),0,IF($K638&lt;=$R638,1,0)))</f>
        <v/>
      </c>
      <c r="U638" s="38" t="str">
        <f aca="false">IF(OR($K638="",$J638=""),"",MAX(0,$K638-$J638))</f>
        <v/>
      </c>
      <c r="V638" s="31" t="str">
        <f aca="false">IF($E638="","",IF(AND($M638&lt;&gt;"",$J638&lt;&gt;"",$M638&lt;&gt;$J638),1,0))</f>
        <v/>
      </c>
      <c r="W638" s="39" t="str">
        <f aca="false">IF($E638="","",IF($L638="Cancelada",0,IF(OR($K638&lt;&gt;"",$L638="Concluída"),1,0)))</f>
        <v/>
      </c>
    </row>
    <row r="639" customFormat="false" ht="15" hidden="false" customHeight="true" outlineLevel="0" collapsed="false">
      <c r="A639" s="31" t="str">
        <f aca="false">IF($E639="","",COUNTA($E$5:$E639))</f>
        <v/>
      </c>
      <c r="B639" s="32"/>
      <c r="C639" s="32"/>
      <c r="D639" s="32"/>
      <c r="E639" s="32"/>
      <c r="F639" s="33"/>
      <c r="G639" s="32"/>
      <c r="H639" s="34"/>
      <c r="I639" s="35"/>
      <c r="J639" s="36" t="str">
        <f aca="false">IF(OR($H639="",$I639=""),"",$H639+MATCH($I639,Listas!$F$5:$F$11,0)-1)</f>
        <v/>
      </c>
      <c r="K639" s="37"/>
      <c r="L639" s="33"/>
      <c r="M639" s="37"/>
      <c r="N639" s="32"/>
      <c r="O639" s="32"/>
      <c r="P639" s="38" t="str">
        <f aca="true">IF($E639="","",IF($L639="Cancelada","Cancelada",IF(OR($K639&lt;&gt;"",$L639="Concluída"),IF(OR($J639="",$K639="",$K639&lt;=$J639),"Concluída","Concluída com atraso"),IF($J639="","Na carteira",IF($J639&lt;TODAY(),"VENCIDA",IF($L639="Em execução","Em execução",IF($J639=TODAY(),"Hoje","Programada")))))))</f>
        <v/>
      </c>
      <c r="Q639" s="31" t="str">
        <f aca="false">IF($E639="","",IF(ISNUMBER(SEARCH("(externo)",$G639)),"Terceirizada","Interna"))</f>
        <v/>
      </c>
      <c r="R639" s="36" t="str">
        <f aca="false">IF($J639="","",IF($M639="",$J639,$M639))</f>
        <v/>
      </c>
      <c r="S639" s="31" t="str">
        <f aca="false">IF($E639="","",IF(OR($K639="",$J639=""),0,IF($K639&lt;=$J639,1,0)))</f>
        <v/>
      </c>
      <c r="T639" s="31" t="str">
        <f aca="false">IF($E639="","",IF(OR($K639="",$R639=""),0,IF($K639&lt;=$R639,1,0)))</f>
        <v/>
      </c>
      <c r="U639" s="38" t="str">
        <f aca="false">IF(OR($K639="",$J639=""),"",MAX(0,$K639-$J639))</f>
        <v/>
      </c>
      <c r="V639" s="31" t="str">
        <f aca="false">IF($E639="","",IF(AND($M639&lt;&gt;"",$J639&lt;&gt;"",$M639&lt;&gt;$J639),1,0))</f>
        <v/>
      </c>
      <c r="W639" s="39" t="str">
        <f aca="false">IF($E639="","",IF($L639="Cancelada",0,IF(OR($K639&lt;&gt;"",$L639="Concluída"),1,0)))</f>
        <v/>
      </c>
    </row>
    <row r="640" customFormat="false" ht="15" hidden="false" customHeight="true" outlineLevel="0" collapsed="false">
      <c r="A640" s="31" t="str">
        <f aca="false">IF($E640="","",COUNTA($E$5:$E640))</f>
        <v/>
      </c>
      <c r="B640" s="32"/>
      <c r="C640" s="32"/>
      <c r="D640" s="32"/>
      <c r="E640" s="32"/>
      <c r="F640" s="33"/>
      <c r="G640" s="32"/>
      <c r="H640" s="34"/>
      <c r="I640" s="35"/>
      <c r="J640" s="36" t="str">
        <f aca="false">IF(OR($H640="",$I640=""),"",$H640+MATCH($I640,Listas!$F$5:$F$11,0)-1)</f>
        <v/>
      </c>
      <c r="K640" s="37"/>
      <c r="L640" s="33"/>
      <c r="M640" s="37"/>
      <c r="N640" s="32"/>
      <c r="O640" s="32"/>
      <c r="P640" s="38" t="str">
        <f aca="true">IF($E640="","",IF($L640="Cancelada","Cancelada",IF(OR($K640&lt;&gt;"",$L640="Concluída"),IF(OR($J640="",$K640="",$K640&lt;=$J640),"Concluída","Concluída com atraso"),IF($J640="","Na carteira",IF($J640&lt;TODAY(),"VENCIDA",IF($L640="Em execução","Em execução",IF($J640=TODAY(),"Hoje","Programada")))))))</f>
        <v/>
      </c>
      <c r="Q640" s="31" t="str">
        <f aca="false">IF($E640="","",IF(ISNUMBER(SEARCH("(externo)",$G640)),"Terceirizada","Interna"))</f>
        <v/>
      </c>
      <c r="R640" s="36" t="str">
        <f aca="false">IF($J640="","",IF($M640="",$J640,$M640))</f>
        <v/>
      </c>
      <c r="S640" s="31" t="str">
        <f aca="false">IF($E640="","",IF(OR($K640="",$J640=""),0,IF($K640&lt;=$J640,1,0)))</f>
        <v/>
      </c>
      <c r="T640" s="31" t="str">
        <f aca="false">IF($E640="","",IF(OR($K640="",$R640=""),0,IF($K640&lt;=$R640,1,0)))</f>
        <v/>
      </c>
      <c r="U640" s="38" t="str">
        <f aca="false">IF(OR($K640="",$J640=""),"",MAX(0,$K640-$J640))</f>
        <v/>
      </c>
      <c r="V640" s="31" t="str">
        <f aca="false">IF($E640="","",IF(AND($M640&lt;&gt;"",$J640&lt;&gt;"",$M640&lt;&gt;$J640),1,0))</f>
        <v/>
      </c>
      <c r="W640" s="39" t="str">
        <f aca="false">IF($E640="","",IF($L640="Cancelada",0,IF(OR($K640&lt;&gt;"",$L640="Concluída"),1,0)))</f>
        <v/>
      </c>
    </row>
    <row r="641" customFormat="false" ht="15" hidden="false" customHeight="true" outlineLevel="0" collapsed="false">
      <c r="A641" s="31" t="str">
        <f aca="false">IF($E641="","",COUNTA($E$5:$E641))</f>
        <v/>
      </c>
      <c r="B641" s="32"/>
      <c r="C641" s="32"/>
      <c r="D641" s="32"/>
      <c r="E641" s="32"/>
      <c r="F641" s="33"/>
      <c r="G641" s="32"/>
      <c r="H641" s="34"/>
      <c r="I641" s="35"/>
      <c r="J641" s="36" t="str">
        <f aca="false">IF(OR($H641="",$I641=""),"",$H641+MATCH($I641,Listas!$F$5:$F$11,0)-1)</f>
        <v/>
      </c>
      <c r="K641" s="37"/>
      <c r="L641" s="33"/>
      <c r="M641" s="37"/>
      <c r="N641" s="32"/>
      <c r="O641" s="32"/>
      <c r="P641" s="38" t="str">
        <f aca="true">IF($E641="","",IF($L641="Cancelada","Cancelada",IF(OR($K641&lt;&gt;"",$L641="Concluída"),IF(OR($J641="",$K641="",$K641&lt;=$J641),"Concluída","Concluída com atraso"),IF($J641="","Na carteira",IF($J641&lt;TODAY(),"VENCIDA",IF($L641="Em execução","Em execução",IF($J641=TODAY(),"Hoje","Programada")))))))</f>
        <v/>
      </c>
      <c r="Q641" s="31" t="str">
        <f aca="false">IF($E641="","",IF(ISNUMBER(SEARCH("(externo)",$G641)),"Terceirizada","Interna"))</f>
        <v/>
      </c>
      <c r="R641" s="36" t="str">
        <f aca="false">IF($J641="","",IF($M641="",$J641,$M641))</f>
        <v/>
      </c>
      <c r="S641" s="31" t="str">
        <f aca="false">IF($E641="","",IF(OR($K641="",$J641=""),0,IF($K641&lt;=$J641,1,0)))</f>
        <v/>
      </c>
      <c r="T641" s="31" t="str">
        <f aca="false">IF($E641="","",IF(OR($K641="",$R641=""),0,IF($K641&lt;=$R641,1,0)))</f>
        <v/>
      </c>
      <c r="U641" s="38" t="str">
        <f aca="false">IF(OR($K641="",$J641=""),"",MAX(0,$K641-$J641))</f>
        <v/>
      </c>
      <c r="V641" s="31" t="str">
        <f aca="false">IF($E641="","",IF(AND($M641&lt;&gt;"",$J641&lt;&gt;"",$M641&lt;&gt;$J641),1,0))</f>
        <v/>
      </c>
      <c r="W641" s="39" t="str">
        <f aca="false">IF($E641="","",IF($L641="Cancelada",0,IF(OR($K641&lt;&gt;"",$L641="Concluída"),1,0)))</f>
        <v/>
      </c>
    </row>
    <row r="642" customFormat="false" ht="15" hidden="false" customHeight="true" outlineLevel="0" collapsed="false">
      <c r="A642" s="31" t="str">
        <f aca="false">IF($E642="","",COUNTA($E$5:$E642))</f>
        <v/>
      </c>
      <c r="B642" s="32"/>
      <c r="C642" s="32"/>
      <c r="D642" s="32"/>
      <c r="E642" s="32"/>
      <c r="F642" s="33"/>
      <c r="G642" s="32"/>
      <c r="H642" s="34"/>
      <c r="I642" s="35"/>
      <c r="J642" s="36" t="str">
        <f aca="false">IF(OR($H642="",$I642=""),"",$H642+MATCH($I642,Listas!$F$5:$F$11,0)-1)</f>
        <v/>
      </c>
      <c r="K642" s="37"/>
      <c r="L642" s="33"/>
      <c r="M642" s="37"/>
      <c r="N642" s="32"/>
      <c r="O642" s="32"/>
      <c r="P642" s="38" t="str">
        <f aca="true">IF($E642="","",IF($L642="Cancelada","Cancelada",IF(OR($K642&lt;&gt;"",$L642="Concluída"),IF(OR($J642="",$K642="",$K642&lt;=$J642),"Concluída","Concluída com atraso"),IF($J642="","Na carteira",IF($J642&lt;TODAY(),"VENCIDA",IF($L642="Em execução","Em execução",IF($J642=TODAY(),"Hoje","Programada")))))))</f>
        <v/>
      </c>
      <c r="Q642" s="31" t="str">
        <f aca="false">IF($E642="","",IF(ISNUMBER(SEARCH("(externo)",$G642)),"Terceirizada","Interna"))</f>
        <v/>
      </c>
      <c r="R642" s="36" t="str">
        <f aca="false">IF($J642="","",IF($M642="",$J642,$M642))</f>
        <v/>
      </c>
      <c r="S642" s="31" t="str">
        <f aca="false">IF($E642="","",IF(OR($K642="",$J642=""),0,IF($K642&lt;=$J642,1,0)))</f>
        <v/>
      </c>
      <c r="T642" s="31" t="str">
        <f aca="false">IF($E642="","",IF(OR($K642="",$R642=""),0,IF($K642&lt;=$R642,1,0)))</f>
        <v/>
      </c>
      <c r="U642" s="38" t="str">
        <f aca="false">IF(OR($K642="",$J642=""),"",MAX(0,$K642-$J642))</f>
        <v/>
      </c>
      <c r="V642" s="31" t="str">
        <f aca="false">IF($E642="","",IF(AND($M642&lt;&gt;"",$J642&lt;&gt;"",$M642&lt;&gt;$J642),1,0))</f>
        <v/>
      </c>
      <c r="W642" s="39" t="str">
        <f aca="false">IF($E642="","",IF($L642="Cancelada",0,IF(OR($K642&lt;&gt;"",$L642="Concluída"),1,0)))</f>
        <v/>
      </c>
    </row>
    <row r="643" customFormat="false" ht="15" hidden="false" customHeight="true" outlineLevel="0" collapsed="false">
      <c r="A643" s="31" t="str">
        <f aca="false">IF($E643="","",COUNTA($E$5:$E643))</f>
        <v/>
      </c>
      <c r="B643" s="32"/>
      <c r="C643" s="32"/>
      <c r="D643" s="32"/>
      <c r="E643" s="32"/>
      <c r="F643" s="33"/>
      <c r="G643" s="32"/>
      <c r="H643" s="34"/>
      <c r="I643" s="35"/>
      <c r="J643" s="36" t="str">
        <f aca="false">IF(OR($H643="",$I643=""),"",$H643+MATCH($I643,Listas!$F$5:$F$11,0)-1)</f>
        <v/>
      </c>
      <c r="K643" s="37"/>
      <c r="L643" s="33"/>
      <c r="M643" s="37"/>
      <c r="N643" s="32"/>
      <c r="O643" s="32"/>
      <c r="P643" s="38" t="str">
        <f aca="true">IF($E643="","",IF($L643="Cancelada","Cancelada",IF(OR($K643&lt;&gt;"",$L643="Concluída"),IF(OR($J643="",$K643="",$K643&lt;=$J643),"Concluída","Concluída com atraso"),IF($J643="","Na carteira",IF($J643&lt;TODAY(),"VENCIDA",IF($L643="Em execução","Em execução",IF($J643=TODAY(),"Hoje","Programada")))))))</f>
        <v/>
      </c>
      <c r="Q643" s="31" t="str">
        <f aca="false">IF($E643="","",IF(ISNUMBER(SEARCH("(externo)",$G643)),"Terceirizada","Interna"))</f>
        <v/>
      </c>
      <c r="R643" s="36" t="str">
        <f aca="false">IF($J643="","",IF($M643="",$J643,$M643))</f>
        <v/>
      </c>
      <c r="S643" s="31" t="str">
        <f aca="false">IF($E643="","",IF(OR($K643="",$J643=""),0,IF($K643&lt;=$J643,1,0)))</f>
        <v/>
      </c>
      <c r="T643" s="31" t="str">
        <f aca="false">IF($E643="","",IF(OR($K643="",$R643=""),0,IF($K643&lt;=$R643,1,0)))</f>
        <v/>
      </c>
      <c r="U643" s="38" t="str">
        <f aca="false">IF(OR($K643="",$J643=""),"",MAX(0,$K643-$J643))</f>
        <v/>
      </c>
      <c r="V643" s="31" t="str">
        <f aca="false">IF($E643="","",IF(AND($M643&lt;&gt;"",$J643&lt;&gt;"",$M643&lt;&gt;$J643),1,0))</f>
        <v/>
      </c>
      <c r="W643" s="39" t="str">
        <f aca="false">IF($E643="","",IF($L643="Cancelada",0,IF(OR($K643&lt;&gt;"",$L643="Concluída"),1,0)))</f>
        <v/>
      </c>
    </row>
    <row r="644" customFormat="false" ht="15" hidden="false" customHeight="true" outlineLevel="0" collapsed="false">
      <c r="A644" s="31" t="str">
        <f aca="false">IF($E644="","",COUNTA($E$5:$E644))</f>
        <v/>
      </c>
      <c r="B644" s="32"/>
      <c r="C644" s="32"/>
      <c r="D644" s="32"/>
      <c r="E644" s="32"/>
      <c r="F644" s="33"/>
      <c r="G644" s="32"/>
      <c r="H644" s="34"/>
      <c r="I644" s="35"/>
      <c r="J644" s="36" t="str">
        <f aca="false">IF(OR($H644="",$I644=""),"",$H644+MATCH($I644,Listas!$F$5:$F$11,0)-1)</f>
        <v/>
      </c>
      <c r="K644" s="37"/>
      <c r="L644" s="33"/>
      <c r="M644" s="37"/>
      <c r="N644" s="32"/>
      <c r="O644" s="32"/>
      <c r="P644" s="38" t="str">
        <f aca="true">IF($E644="","",IF($L644="Cancelada","Cancelada",IF(OR($K644&lt;&gt;"",$L644="Concluída"),IF(OR($J644="",$K644="",$K644&lt;=$J644),"Concluída","Concluída com atraso"),IF($J644="","Na carteira",IF($J644&lt;TODAY(),"VENCIDA",IF($L644="Em execução","Em execução",IF($J644=TODAY(),"Hoje","Programada")))))))</f>
        <v/>
      </c>
      <c r="Q644" s="31" t="str">
        <f aca="false">IF($E644="","",IF(ISNUMBER(SEARCH("(externo)",$G644)),"Terceirizada","Interna"))</f>
        <v/>
      </c>
      <c r="R644" s="36" t="str">
        <f aca="false">IF($J644="","",IF($M644="",$J644,$M644))</f>
        <v/>
      </c>
      <c r="S644" s="31" t="str">
        <f aca="false">IF($E644="","",IF(OR($K644="",$J644=""),0,IF($K644&lt;=$J644,1,0)))</f>
        <v/>
      </c>
      <c r="T644" s="31" t="str">
        <f aca="false">IF($E644="","",IF(OR($K644="",$R644=""),0,IF($K644&lt;=$R644,1,0)))</f>
        <v/>
      </c>
      <c r="U644" s="38" t="str">
        <f aca="false">IF(OR($K644="",$J644=""),"",MAX(0,$K644-$J644))</f>
        <v/>
      </c>
      <c r="V644" s="31" t="str">
        <f aca="false">IF($E644="","",IF(AND($M644&lt;&gt;"",$J644&lt;&gt;"",$M644&lt;&gt;$J644),1,0))</f>
        <v/>
      </c>
      <c r="W644" s="39" t="str">
        <f aca="false">IF($E644="","",IF($L644="Cancelada",0,IF(OR($K644&lt;&gt;"",$L644="Concluída"),1,0)))</f>
        <v/>
      </c>
    </row>
    <row r="645" customFormat="false" ht="15" hidden="false" customHeight="true" outlineLevel="0" collapsed="false">
      <c r="A645" s="31" t="str">
        <f aca="false">IF($E645="","",COUNTA($E$5:$E645))</f>
        <v/>
      </c>
      <c r="B645" s="32"/>
      <c r="C645" s="32"/>
      <c r="D645" s="32"/>
      <c r="E645" s="32"/>
      <c r="F645" s="33"/>
      <c r="G645" s="32"/>
      <c r="H645" s="34"/>
      <c r="I645" s="35"/>
      <c r="J645" s="36" t="str">
        <f aca="false">IF(OR($H645="",$I645=""),"",$H645+MATCH($I645,Listas!$F$5:$F$11,0)-1)</f>
        <v/>
      </c>
      <c r="K645" s="37"/>
      <c r="L645" s="33"/>
      <c r="M645" s="37"/>
      <c r="N645" s="32"/>
      <c r="O645" s="32"/>
      <c r="P645" s="38" t="str">
        <f aca="true">IF($E645="","",IF($L645="Cancelada","Cancelada",IF(OR($K645&lt;&gt;"",$L645="Concluída"),IF(OR($J645="",$K645="",$K645&lt;=$J645),"Concluída","Concluída com atraso"),IF($J645="","Na carteira",IF($J645&lt;TODAY(),"VENCIDA",IF($L645="Em execução","Em execução",IF($J645=TODAY(),"Hoje","Programada")))))))</f>
        <v/>
      </c>
      <c r="Q645" s="31" t="str">
        <f aca="false">IF($E645="","",IF(ISNUMBER(SEARCH("(externo)",$G645)),"Terceirizada","Interna"))</f>
        <v/>
      </c>
      <c r="R645" s="36" t="str">
        <f aca="false">IF($J645="","",IF($M645="",$J645,$M645))</f>
        <v/>
      </c>
      <c r="S645" s="31" t="str">
        <f aca="false">IF($E645="","",IF(OR($K645="",$J645=""),0,IF($K645&lt;=$J645,1,0)))</f>
        <v/>
      </c>
      <c r="T645" s="31" t="str">
        <f aca="false">IF($E645="","",IF(OR($K645="",$R645=""),0,IF($K645&lt;=$R645,1,0)))</f>
        <v/>
      </c>
      <c r="U645" s="38" t="str">
        <f aca="false">IF(OR($K645="",$J645=""),"",MAX(0,$K645-$J645))</f>
        <v/>
      </c>
      <c r="V645" s="31" t="str">
        <f aca="false">IF($E645="","",IF(AND($M645&lt;&gt;"",$J645&lt;&gt;"",$M645&lt;&gt;$J645),1,0))</f>
        <v/>
      </c>
      <c r="W645" s="39" t="str">
        <f aca="false">IF($E645="","",IF($L645="Cancelada",0,IF(OR($K645&lt;&gt;"",$L645="Concluída"),1,0)))</f>
        <v/>
      </c>
    </row>
    <row r="646" customFormat="false" ht="15" hidden="false" customHeight="true" outlineLevel="0" collapsed="false">
      <c r="A646" s="31" t="str">
        <f aca="false">IF($E646="","",COUNTA($E$5:$E646))</f>
        <v/>
      </c>
      <c r="B646" s="32"/>
      <c r="C646" s="32"/>
      <c r="D646" s="32"/>
      <c r="E646" s="32"/>
      <c r="F646" s="33"/>
      <c r="G646" s="32"/>
      <c r="H646" s="34"/>
      <c r="I646" s="35"/>
      <c r="J646" s="36" t="str">
        <f aca="false">IF(OR($H646="",$I646=""),"",$H646+MATCH($I646,Listas!$F$5:$F$11,0)-1)</f>
        <v/>
      </c>
      <c r="K646" s="37"/>
      <c r="L646" s="33"/>
      <c r="M646" s="37"/>
      <c r="N646" s="32"/>
      <c r="O646" s="32"/>
      <c r="P646" s="38" t="str">
        <f aca="true">IF($E646="","",IF($L646="Cancelada","Cancelada",IF(OR($K646&lt;&gt;"",$L646="Concluída"),IF(OR($J646="",$K646="",$K646&lt;=$J646),"Concluída","Concluída com atraso"),IF($J646="","Na carteira",IF($J646&lt;TODAY(),"VENCIDA",IF($L646="Em execução","Em execução",IF($J646=TODAY(),"Hoje","Programada")))))))</f>
        <v/>
      </c>
      <c r="Q646" s="31" t="str">
        <f aca="false">IF($E646="","",IF(ISNUMBER(SEARCH("(externo)",$G646)),"Terceirizada","Interna"))</f>
        <v/>
      </c>
      <c r="R646" s="36" t="str">
        <f aca="false">IF($J646="","",IF($M646="",$J646,$M646))</f>
        <v/>
      </c>
      <c r="S646" s="31" t="str">
        <f aca="false">IF($E646="","",IF(OR($K646="",$J646=""),0,IF($K646&lt;=$J646,1,0)))</f>
        <v/>
      </c>
      <c r="T646" s="31" t="str">
        <f aca="false">IF($E646="","",IF(OR($K646="",$R646=""),0,IF($K646&lt;=$R646,1,0)))</f>
        <v/>
      </c>
      <c r="U646" s="38" t="str">
        <f aca="false">IF(OR($K646="",$J646=""),"",MAX(0,$K646-$J646))</f>
        <v/>
      </c>
      <c r="V646" s="31" t="str">
        <f aca="false">IF($E646="","",IF(AND($M646&lt;&gt;"",$J646&lt;&gt;"",$M646&lt;&gt;$J646),1,0))</f>
        <v/>
      </c>
      <c r="W646" s="39" t="str">
        <f aca="false">IF($E646="","",IF($L646="Cancelada",0,IF(OR($K646&lt;&gt;"",$L646="Concluída"),1,0)))</f>
        <v/>
      </c>
    </row>
    <row r="647" customFormat="false" ht="15" hidden="false" customHeight="true" outlineLevel="0" collapsed="false">
      <c r="A647" s="31" t="str">
        <f aca="false">IF($E647="","",COUNTA($E$5:$E647))</f>
        <v/>
      </c>
      <c r="B647" s="32"/>
      <c r="C647" s="32"/>
      <c r="D647" s="32"/>
      <c r="E647" s="32"/>
      <c r="F647" s="33"/>
      <c r="G647" s="32"/>
      <c r="H647" s="34"/>
      <c r="I647" s="35"/>
      <c r="J647" s="36" t="str">
        <f aca="false">IF(OR($H647="",$I647=""),"",$H647+MATCH($I647,Listas!$F$5:$F$11,0)-1)</f>
        <v/>
      </c>
      <c r="K647" s="37"/>
      <c r="L647" s="33"/>
      <c r="M647" s="37"/>
      <c r="N647" s="32"/>
      <c r="O647" s="32"/>
      <c r="P647" s="38" t="str">
        <f aca="true">IF($E647="","",IF($L647="Cancelada","Cancelada",IF(OR($K647&lt;&gt;"",$L647="Concluída"),IF(OR($J647="",$K647="",$K647&lt;=$J647),"Concluída","Concluída com atraso"),IF($J647="","Na carteira",IF($J647&lt;TODAY(),"VENCIDA",IF($L647="Em execução","Em execução",IF($J647=TODAY(),"Hoje","Programada")))))))</f>
        <v/>
      </c>
      <c r="Q647" s="31" t="str">
        <f aca="false">IF($E647="","",IF(ISNUMBER(SEARCH("(externo)",$G647)),"Terceirizada","Interna"))</f>
        <v/>
      </c>
      <c r="R647" s="36" t="str">
        <f aca="false">IF($J647="","",IF($M647="",$J647,$M647))</f>
        <v/>
      </c>
      <c r="S647" s="31" t="str">
        <f aca="false">IF($E647="","",IF(OR($K647="",$J647=""),0,IF($K647&lt;=$J647,1,0)))</f>
        <v/>
      </c>
      <c r="T647" s="31" t="str">
        <f aca="false">IF($E647="","",IF(OR($K647="",$R647=""),0,IF($K647&lt;=$R647,1,0)))</f>
        <v/>
      </c>
      <c r="U647" s="38" t="str">
        <f aca="false">IF(OR($K647="",$J647=""),"",MAX(0,$K647-$J647))</f>
        <v/>
      </c>
      <c r="V647" s="31" t="str">
        <f aca="false">IF($E647="","",IF(AND($M647&lt;&gt;"",$J647&lt;&gt;"",$M647&lt;&gt;$J647),1,0))</f>
        <v/>
      </c>
      <c r="W647" s="39" t="str">
        <f aca="false">IF($E647="","",IF($L647="Cancelada",0,IF(OR($K647&lt;&gt;"",$L647="Concluída"),1,0)))</f>
        <v/>
      </c>
    </row>
    <row r="648" customFormat="false" ht="15" hidden="false" customHeight="true" outlineLevel="0" collapsed="false">
      <c r="A648" s="31" t="str">
        <f aca="false">IF($E648="","",COUNTA($E$5:$E648))</f>
        <v/>
      </c>
      <c r="B648" s="32"/>
      <c r="C648" s="32"/>
      <c r="D648" s="32"/>
      <c r="E648" s="32"/>
      <c r="F648" s="33"/>
      <c r="G648" s="32"/>
      <c r="H648" s="34"/>
      <c r="I648" s="35"/>
      <c r="J648" s="36" t="str">
        <f aca="false">IF(OR($H648="",$I648=""),"",$H648+MATCH($I648,Listas!$F$5:$F$11,0)-1)</f>
        <v/>
      </c>
      <c r="K648" s="37"/>
      <c r="L648" s="33"/>
      <c r="M648" s="37"/>
      <c r="N648" s="32"/>
      <c r="O648" s="32"/>
      <c r="P648" s="38" t="str">
        <f aca="true">IF($E648="","",IF($L648="Cancelada","Cancelada",IF(OR($K648&lt;&gt;"",$L648="Concluída"),IF(OR($J648="",$K648="",$K648&lt;=$J648),"Concluída","Concluída com atraso"),IF($J648="","Na carteira",IF($J648&lt;TODAY(),"VENCIDA",IF($L648="Em execução","Em execução",IF($J648=TODAY(),"Hoje","Programada")))))))</f>
        <v/>
      </c>
      <c r="Q648" s="31" t="str">
        <f aca="false">IF($E648="","",IF(ISNUMBER(SEARCH("(externo)",$G648)),"Terceirizada","Interna"))</f>
        <v/>
      </c>
      <c r="R648" s="36" t="str">
        <f aca="false">IF($J648="","",IF($M648="",$J648,$M648))</f>
        <v/>
      </c>
      <c r="S648" s="31" t="str">
        <f aca="false">IF($E648="","",IF(OR($K648="",$J648=""),0,IF($K648&lt;=$J648,1,0)))</f>
        <v/>
      </c>
      <c r="T648" s="31" t="str">
        <f aca="false">IF($E648="","",IF(OR($K648="",$R648=""),0,IF($K648&lt;=$R648,1,0)))</f>
        <v/>
      </c>
      <c r="U648" s="38" t="str">
        <f aca="false">IF(OR($K648="",$J648=""),"",MAX(0,$K648-$J648))</f>
        <v/>
      </c>
      <c r="V648" s="31" t="str">
        <f aca="false">IF($E648="","",IF(AND($M648&lt;&gt;"",$J648&lt;&gt;"",$M648&lt;&gt;$J648),1,0))</f>
        <v/>
      </c>
      <c r="W648" s="39" t="str">
        <f aca="false">IF($E648="","",IF($L648="Cancelada",0,IF(OR($K648&lt;&gt;"",$L648="Concluída"),1,0)))</f>
        <v/>
      </c>
    </row>
    <row r="649" customFormat="false" ht="15" hidden="false" customHeight="true" outlineLevel="0" collapsed="false">
      <c r="A649" s="31" t="str">
        <f aca="false">IF($E649="","",COUNTA($E$5:$E649))</f>
        <v/>
      </c>
      <c r="B649" s="32"/>
      <c r="C649" s="32"/>
      <c r="D649" s="32"/>
      <c r="E649" s="32"/>
      <c r="F649" s="33"/>
      <c r="G649" s="32"/>
      <c r="H649" s="34"/>
      <c r="I649" s="35"/>
      <c r="J649" s="36" t="str">
        <f aca="false">IF(OR($H649="",$I649=""),"",$H649+MATCH($I649,Listas!$F$5:$F$11,0)-1)</f>
        <v/>
      </c>
      <c r="K649" s="37"/>
      <c r="L649" s="33"/>
      <c r="M649" s="37"/>
      <c r="N649" s="32"/>
      <c r="O649" s="32"/>
      <c r="P649" s="38" t="str">
        <f aca="true">IF($E649="","",IF($L649="Cancelada","Cancelada",IF(OR($K649&lt;&gt;"",$L649="Concluída"),IF(OR($J649="",$K649="",$K649&lt;=$J649),"Concluída","Concluída com atraso"),IF($J649="","Na carteira",IF($J649&lt;TODAY(),"VENCIDA",IF($L649="Em execução","Em execução",IF($J649=TODAY(),"Hoje","Programada")))))))</f>
        <v/>
      </c>
      <c r="Q649" s="31" t="str">
        <f aca="false">IF($E649="","",IF(ISNUMBER(SEARCH("(externo)",$G649)),"Terceirizada","Interna"))</f>
        <v/>
      </c>
      <c r="R649" s="36" t="str">
        <f aca="false">IF($J649="","",IF($M649="",$J649,$M649))</f>
        <v/>
      </c>
      <c r="S649" s="31" t="str">
        <f aca="false">IF($E649="","",IF(OR($K649="",$J649=""),0,IF($K649&lt;=$J649,1,0)))</f>
        <v/>
      </c>
      <c r="T649" s="31" t="str">
        <f aca="false">IF($E649="","",IF(OR($K649="",$R649=""),0,IF($K649&lt;=$R649,1,0)))</f>
        <v/>
      </c>
      <c r="U649" s="38" t="str">
        <f aca="false">IF(OR($K649="",$J649=""),"",MAX(0,$K649-$J649))</f>
        <v/>
      </c>
      <c r="V649" s="31" t="str">
        <f aca="false">IF($E649="","",IF(AND($M649&lt;&gt;"",$J649&lt;&gt;"",$M649&lt;&gt;$J649),1,0))</f>
        <v/>
      </c>
      <c r="W649" s="39" t="str">
        <f aca="false">IF($E649="","",IF($L649="Cancelada",0,IF(OR($K649&lt;&gt;"",$L649="Concluída"),1,0)))</f>
        <v/>
      </c>
    </row>
    <row r="650" customFormat="false" ht="15" hidden="false" customHeight="true" outlineLevel="0" collapsed="false">
      <c r="A650" s="31" t="str">
        <f aca="false">IF($E650="","",COUNTA($E$5:$E650))</f>
        <v/>
      </c>
      <c r="B650" s="32"/>
      <c r="C650" s="32"/>
      <c r="D650" s="32"/>
      <c r="E650" s="32"/>
      <c r="F650" s="33"/>
      <c r="G650" s="32"/>
      <c r="H650" s="34"/>
      <c r="I650" s="35"/>
      <c r="J650" s="36" t="str">
        <f aca="false">IF(OR($H650="",$I650=""),"",$H650+MATCH($I650,Listas!$F$5:$F$11,0)-1)</f>
        <v/>
      </c>
      <c r="K650" s="37"/>
      <c r="L650" s="33"/>
      <c r="M650" s="37"/>
      <c r="N650" s="32"/>
      <c r="O650" s="32"/>
      <c r="P650" s="38" t="str">
        <f aca="true">IF($E650="","",IF($L650="Cancelada","Cancelada",IF(OR($K650&lt;&gt;"",$L650="Concluída"),IF(OR($J650="",$K650="",$K650&lt;=$J650),"Concluída","Concluída com atraso"),IF($J650="","Na carteira",IF($J650&lt;TODAY(),"VENCIDA",IF($L650="Em execução","Em execução",IF($J650=TODAY(),"Hoje","Programada")))))))</f>
        <v/>
      </c>
      <c r="Q650" s="31" t="str">
        <f aca="false">IF($E650="","",IF(ISNUMBER(SEARCH("(externo)",$G650)),"Terceirizada","Interna"))</f>
        <v/>
      </c>
      <c r="R650" s="36" t="str">
        <f aca="false">IF($J650="","",IF($M650="",$J650,$M650))</f>
        <v/>
      </c>
      <c r="S650" s="31" t="str">
        <f aca="false">IF($E650="","",IF(OR($K650="",$J650=""),0,IF($K650&lt;=$J650,1,0)))</f>
        <v/>
      </c>
      <c r="T650" s="31" t="str">
        <f aca="false">IF($E650="","",IF(OR($K650="",$R650=""),0,IF($K650&lt;=$R650,1,0)))</f>
        <v/>
      </c>
      <c r="U650" s="38" t="str">
        <f aca="false">IF(OR($K650="",$J650=""),"",MAX(0,$K650-$J650))</f>
        <v/>
      </c>
      <c r="V650" s="31" t="str">
        <f aca="false">IF($E650="","",IF(AND($M650&lt;&gt;"",$J650&lt;&gt;"",$M650&lt;&gt;$J650),1,0))</f>
        <v/>
      </c>
      <c r="W650" s="39" t="str">
        <f aca="false">IF($E650="","",IF($L650="Cancelada",0,IF(OR($K650&lt;&gt;"",$L650="Concluída"),1,0)))</f>
        <v/>
      </c>
    </row>
    <row r="651" customFormat="false" ht="15" hidden="false" customHeight="true" outlineLevel="0" collapsed="false">
      <c r="A651" s="31" t="str">
        <f aca="false">IF($E651="","",COUNTA($E$5:$E651))</f>
        <v/>
      </c>
      <c r="B651" s="32"/>
      <c r="C651" s="32"/>
      <c r="D651" s="32"/>
      <c r="E651" s="32"/>
      <c r="F651" s="33"/>
      <c r="G651" s="32"/>
      <c r="H651" s="34"/>
      <c r="I651" s="35"/>
      <c r="J651" s="36" t="str">
        <f aca="false">IF(OR($H651="",$I651=""),"",$H651+MATCH($I651,Listas!$F$5:$F$11,0)-1)</f>
        <v/>
      </c>
      <c r="K651" s="37"/>
      <c r="L651" s="33"/>
      <c r="M651" s="37"/>
      <c r="N651" s="32"/>
      <c r="O651" s="32"/>
      <c r="P651" s="38" t="str">
        <f aca="true">IF($E651="","",IF($L651="Cancelada","Cancelada",IF(OR($K651&lt;&gt;"",$L651="Concluída"),IF(OR($J651="",$K651="",$K651&lt;=$J651),"Concluída","Concluída com atraso"),IF($J651="","Na carteira",IF($J651&lt;TODAY(),"VENCIDA",IF($L651="Em execução","Em execução",IF($J651=TODAY(),"Hoje","Programada")))))))</f>
        <v/>
      </c>
      <c r="Q651" s="31" t="str">
        <f aca="false">IF($E651="","",IF(ISNUMBER(SEARCH("(externo)",$G651)),"Terceirizada","Interna"))</f>
        <v/>
      </c>
      <c r="R651" s="36" t="str">
        <f aca="false">IF($J651="","",IF($M651="",$J651,$M651))</f>
        <v/>
      </c>
      <c r="S651" s="31" t="str">
        <f aca="false">IF($E651="","",IF(OR($K651="",$J651=""),0,IF($K651&lt;=$J651,1,0)))</f>
        <v/>
      </c>
      <c r="T651" s="31" t="str">
        <f aca="false">IF($E651="","",IF(OR($K651="",$R651=""),0,IF($K651&lt;=$R651,1,0)))</f>
        <v/>
      </c>
      <c r="U651" s="38" t="str">
        <f aca="false">IF(OR($K651="",$J651=""),"",MAX(0,$K651-$J651))</f>
        <v/>
      </c>
      <c r="V651" s="31" t="str">
        <f aca="false">IF($E651="","",IF(AND($M651&lt;&gt;"",$J651&lt;&gt;"",$M651&lt;&gt;$J651),1,0))</f>
        <v/>
      </c>
      <c r="W651" s="39" t="str">
        <f aca="false">IF($E651="","",IF($L651="Cancelada",0,IF(OR($K651&lt;&gt;"",$L651="Concluída"),1,0)))</f>
        <v/>
      </c>
    </row>
    <row r="652" customFormat="false" ht="15" hidden="false" customHeight="true" outlineLevel="0" collapsed="false">
      <c r="A652" s="31" t="str">
        <f aca="false">IF($E652="","",COUNTA($E$5:$E652))</f>
        <v/>
      </c>
      <c r="B652" s="32"/>
      <c r="C652" s="32"/>
      <c r="D652" s="32"/>
      <c r="E652" s="32"/>
      <c r="F652" s="33"/>
      <c r="G652" s="32"/>
      <c r="H652" s="34"/>
      <c r="I652" s="35"/>
      <c r="J652" s="36" t="str">
        <f aca="false">IF(OR($H652="",$I652=""),"",$H652+MATCH($I652,Listas!$F$5:$F$11,0)-1)</f>
        <v/>
      </c>
      <c r="K652" s="37"/>
      <c r="L652" s="33"/>
      <c r="M652" s="37"/>
      <c r="N652" s="32"/>
      <c r="O652" s="32"/>
      <c r="P652" s="38" t="str">
        <f aca="true">IF($E652="","",IF($L652="Cancelada","Cancelada",IF(OR($K652&lt;&gt;"",$L652="Concluída"),IF(OR($J652="",$K652="",$K652&lt;=$J652),"Concluída","Concluída com atraso"),IF($J652="","Na carteira",IF($J652&lt;TODAY(),"VENCIDA",IF($L652="Em execução","Em execução",IF($J652=TODAY(),"Hoje","Programada")))))))</f>
        <v/>
      </c>
      <c r="Q652" s="31" t="str">
        <f aca="false">IF($E652="","",IF(ISNUMBER(SEARCH("(externo)",$G652)),"Terceirizada","Interna"))</f>
        <v/>
      </c>
      <c r="R652" s="36" t="str">
        <f aca="false">IF($J652="","",IF($M652="",$J652,$M652))</f>
        <v/>
      </c>
      <c r="S652" s="31" t="str">
        <f aca="false">IF($E652="","",IF(OR($K652="",$J652=""),0,IF($K652&lt;=$J652,1,0)))</f>
        <v/>
      </c>
      <c r="T652" s="31" t="str">
        <f aca="false">IF($E652="","",IF(OR($K652="",$R652=""),0,IF($K652&lt;=$R652,1,0)))</f>
        <v/>
      </c>
      <c r="U652" s="38" t="str">
        <f aca="false">IF(OR($K652="",$J652=""),"",MAX(0,$K652-$J652))</f>
        <v/>
      </c>
      <c r="V652" s="31" t="str">
        <f aca="false">IF($E652="","",IF(AND($M652&lt;&gt;"",$J652&lt;&gt;"",$M652&lt;&gt;$J652),1,0))</f>
        <v/>
      </c>
      <c r="W652" s="39" t="str">
        <f aca="false">IF($E652="","",IF($L652="Cancelada",0,IF(OR($K652&lt;&gt;"",$L652="Concluída"),1,0)))</f>
        <v/>
      </c>
    </row>
    <row r="653" customFormat="false" ht="15" hidden="false" customHeight="true" outlineLevel="0" collapsed="false">
      <c r="A653" s="31" t="str">
        <f aca="false">IF($E653="","",COUNTA($E$5:$E653))</f>
        <v/>
      </c>
      <c r="B653" s="32"/>
      <c r="C653" s="32"/>
      <c r="D653" s="32"/>
      <c r="E653" s="32"/>
      <c r="F653" s="33"/>
      <c r="G653" s="32"/>
      <c r="H653" s="34"/>
      <c r="I653" s="35"/>
      <c r="J653" s="36" t="str">
        <f aca="false">IF(OR($H653="",$I653=""),"",$H653+MATCH($I653,Listas!$F$5:$F$11,0)-1)</f>
        <v/>
      </c>
      <c r="K653" s="37"/>
      <c r="L653" s="33"/>
      <c r="M653" s="37"/>
      <c r="N653" s="32"/>
      <c r="O653" s="32"/>
      <c r="P653" s="38" t="str">
        <f aca="true">IF($E653="","",IF($L653="Cancelada","Cancelada",IF(OR($K653&lt;&gt;"",$L653="Concluída"),IF(OR($J653="",$K653="",$K653&lt;=$J653),"Concluída","Concluída com atraso"),IF($J653="","Na carteira",IF($J653&lt;TODAY(),"VENCIDA",IF($L653="Em execução","Em execução",IF($J653=TODAY(),"Hoje","Programada")))))))</f>
        <v/>
      </c>
      <c r="Q653" s="31" t="str">
        <f aca="false">IF($E653="","",IF(ISNUMBER(SEARCH("(externo)",$G653)),"Terceirizada","Interna"))</f>
        <v/>
      </c>
      <c r="R653" s="36" t="str">
        <f aca="false">IF($J653="","",IF($M653="",$J653,$M653))</f>
        <v/>
      </c>
      <c r="S653" s="31" t="str">
        <f aca="false">IF($E653="","",IF(OR($K653="",$J653=""),0,IF($K653&lt;=$J653,1,0)))</f>
        <v/>
      </c>
      <c r="T653" s="31" t="str">
        <f aca="false">IF($E653="","",IF(OR($K653="",$R653=""),0,IF($K653&lt;=$R653,1,0)))</f>
        <v/>
      </c>
      <c r="U653" s="38" t="str">
        <f aca="false">IF(OR($K653="",$J653=""),"",MAX(0,$K653-$J653))</f>
        <v/>
      </c>
      <c r="V653" s="31" t="str">
        <f aca="false">IF($E653="","",IF(AND($M653&lt;&gt;"",$J653&lt;&gt;"",$M653&lt;&gt;$J653),1,0))</f>
        <v/>
      </c>
      <c r="W653" s="39" t="str">
        <f aca="false">IF($E653="","",IF($L653="Cancelada",0,IF(OR($K653&lt;&gt;"",$L653="Concluída"),1,0)))</f>
        <v/>
      </c>
    </row>
    <row r="654" customFormat="false" ht="15" hidden="false" customHeight="true" outlineLevel="0" collapsed="false">
      <c r="A654" s="31" t="str">
        <f aca="false">IF($E654="","",COUNTA($E$5:$E654))</f>
        <v/>
      </c>
      <c r="B654" s="32"/>
      <c r="C654" s="32"/>
      <c r="D654" s="32"/>
      <c r="E654" s="32"/>
      <c r="F654" s="33"/>
      <c r="G654" s="32"/>
      <c r="H654" s="34"/>
      <c r="I654" s="35"/>
      <c r="J654" s="36" t="str">
        <f aca="false">IF(OR($H654="",$I654=""),"",$H654+MATCH($I654,Listas!$F$5:$F$11,0)-1)</f>
        <v/>
      </c>
      <c r="K654" s="37"/>
      <c r="L654" s="33"/>
      <c r="M654" s="37"/>
      <c r="N654" s="32"/>
      <c r="O654" s="32"/>
      <c r="P654" s="38" t="str">
        <f aca="true">IF($E654="","",IF($L654="Cancelada","Cancelada",IF(OR($K654&lt;&gt;"",$L654="Concluída"),IF(OR($J654="",$K654="",$K654&lt;=$J654),"Concluída","Concluída com atraso"),IF($J654="","Na carteira",IF($J654&lt;TODAY(),"VENCIDA",IF($L654="Em execução","Em execução",IF($J654=TODAY(),"Hoje","Programada")))))))</f>
        <v/>
      </c>
      <c r="Q654" s="31" t="str">
        <f aca="false">IF($E654="","",IF(ISNUMBER(SEARCH("(externo)",$G654)),"Terceirizada","Interna"))</f>
        <v/>
      </c>
      <c r="R654" s="36" t="str">
        <f aca="false">IF($J654="","",IF($M654="",$J654,$M654))</f>
        <v/>
      </c>
      <c r="S654" s="31" t="str">
        <f aca="false">IF($E654="","",IF(OR($K654="",$J654=""),0,IF($K654&lt;=$J654,1,0)))</f>
        <v/>
      </c>
      <c r="T654" s="31" t="str">
        <f aca="false">IF($E654="","",IF(OR($K654="",$R654=""),0,IF($K654&lt;=$R654,1,0)))</f>
        <v/>
      </c>
      <c r="U654" s="38" t="str">
        <f aca="false">IF(OR($K654="",$J654=""),"",MAX(0,$K654-$J654))</f>
        <v/>
      </c>
      <c r="V654" s="31" t="str">
        <f aca="false">IF($E654="","",IF(AND($M654&lt;&gt;"",$J654&lt;&gt;"",$M654&lt;&gt;$J654),1,0))</f>
        <v/>
      </c>
      <c r="W654" s="39" t="str">
        <f aca="false">IF($E654="","",IF($L654="Cancelada",0,IF(OR($K654&lt;&gt;"",$L654="Concluída"),1,0)))</f>
        <v/>
      </c>
    </row>
    <row r="655" customFormat="false" ht="15" hidden="false" customHeight="true" outlineLevel="0" collapsed="false">
      <c r="A655" s="31" t="str">
        <f aca="false">IF($E655="","",COUNTA($E$5:$E655))</f>
        <v/>
      </c>
      <c r="B655" s="32"/>
      <c r="C655" s="32"/>
      <c r="D655" s="32"/>
      <c r="E655" s="32"/>
      <c r="F655" s="33"/>
      <c r="G655" s="32"/>
      <c r="H655" s="34"/>
      <c r="I655" s="35"/>
      <c r="J655" s="36" t="str">
        <f aca="false">IF(OR($H655="",$I655=""),"",$H655+MATCH($I655,Listas!$F$5:$F$11,0)-1)</f>
        <v/>
      </c>
      <c r="K655" s="37"/>
      <c r="L655" s="33"/>
      <c r="M655" s="37"/>
      <c r="N655" s="32"/>
      <c r="O655" s="32"/>
      <c r="P655" s="38" t="str">
        <f aca="true">IF($E655="","",IF($L655="Cancelada","Cancelada",IF(OR($K655&lt;&gt;"",$L655="Concluída"),IF(OR($J655="",$K655="",$K655&lt;=$J655),"Concluída","Concluída com atraso"),IF($J655="","Na carteira",IF($J655&lt;TODAY(),"VENCIDA",IF($L655="Em execução","Em execução",IF($J655=TODAY(),"Hoje","Programada")))))))</f>
        <v/>
      </c>
      <c r="Q655" s="31" t="str">
        <f aca="false">IF($E655="","",IF(ISNUMBER(SEARCH("(externo)",$G655)),"Terceirizada","Interna"))</f>
        <v/>
      </c>
      <c r="R655" s="36" t="str">
        <f aca="false">IF($J655="","",IF($M655="",$J655,$M655))</f>
        <v/>
      </c>
      <c r="S655" s="31" t="str">
        <f aca="false">IF($E655="","",IF(OR($K655="",$J655=""),0,IF($K655&lt;=$J655,1,0)))</f>
        <v/>
      </c>
      <c r="T655" s="31" t="str">
        <f aca="false">IF($E655="","",IF(OR($K655="",$R655=""),0,IF($K655&lt;=$R655,1,0)))</f>
        <v/>
      </c>
      <c r="U655" s="38" t="str">
        <f aca="false">IF(OR($K655="",$J655=""),"",MAX(0,$K655-$J655))</f>
        <v/>
      </c>
      <c r="V655" s="31" t="str">
        <f aca="false">IF($E655="","",IF(AND($M655&lt;&gt;"",$J655&lt;&gt;"",$M655&lt;&gt;$J655),1,0))</f>
        <v/>
      </c>
      <c r="W655" s="39" t="str">
        <f aca="false">IF($E655="","",IF($L655="Cancelada",0,IF(OR($K655&lt;&gt;"",$L655="Concluída"),1,0)))</f>
        <v/>
      </c>
    </row>
    <row r="656" customFormat="false" ht="15" hidden="false" customHeight="true" outlineLevel="0" collapsed="false">
      <c r="A656" s="31" t="str">
        <f aca="false">IF($E656="","",COUNTA($E$5:$E656))</f>
        <v/>
      </c>
      <c r="B656" s="32"/>
      <c r="C656" s="32"/>
      <c r="D656" s="32"/>
      <c r="E656" s="32"/>
      <c r="F656" s="33"/>
      <c r="G656" s="32"/>
      <c r="H656" s="34"/>
      <c r="I656" s="35"/>
      <c r="J656" s="36" t="str">
        <f aca="false">IF(OR($H656="",$I656=""),"",$H656+MATCH($I656,Listas!$F$5:$F$11,0)-1)</f>
        <v/>
      </c>
      <c r="K656" s="37"/>
      <c r="L656" s="33"/>
      <c r="M656" s="37"/>
      <c r="N656" s="32"/>
      <c r="O656" s="32"/>
      <c r="P656" s="38" t="str">
        <f aca="true">IF($E656="","",IF($L656="Cancelada","Cancelada",IF(OR($K656&lt;&gt;"",$L656="Concluída"),IF(OR($J656="",$K656="",$K656&lt;=$J656),"Concluída","Concluída com atraso"),IF($J656="","Na carteira",IF($J656&lt;TODAY(),"VENCIDA",IF($L656="Em execução","Em execução",IF($J656=TODAY(),"Hoje","Programada")))))))</f>
        <v/>
      </c>
      <c r="Q656" s="31" t="str">
        <f aca="false">IF($E656="","",IF(ISNUMBER(SEARCH("(externo)",$G656)),"Terceirizada","Interna"))</f>
        <v/>
      </c>
      <c r="R656" s="36" t="str">
        <f aca="false">IF($J656="","",IF($M656="",$J656,$M656))</f>
        <v/>
      </c>
      <c r="S656" s="31" t="str">
        <f aca="false">IF($E656="","",IF(OR($K656="",$J656=""),0,IF($K656&lt;=$J656,1,0)))</f>
        <v/>
      </c>
      <c r="T656" s="31" t="str">
        <f aca="false">IF($E656="","",IF(OR($K656="",$R656=""),0,IF($K656&lt;=$R656,1,0)))</f>
        <v/>
      </c>
      <c r="U656" s="38" t="str">
        <f aca="false">IF(OR($K656="",$J656=""),"",MAX(0,$K656-$J656))</f>
        <v/>
      </c>
      <c r="V656" s="31" t="str">
        <f aca="false">IF($E656="","",IF(AND($M656&lt;&gt;"",$J656&lt;&gt;"",$M656&lt;&gt;$J656),1,0))</f>
        <v/>
      </c>
      <c r="W656" s="39" t="str">
        <f aca="false">IF($E656="","",IF($L656="Cancelada",0,IF(OR($K656&lt;&gt;"",$L656="Concluída"),1,0)))</f>
        <v/>
      </c>
    </row>
    <row r="657" customFormat="false" ht="15" hidden="false" customHeight="true" outlineLevel="0" collapsed="false">
      <c r="A657" s="31" t="str">
        <f aca="false">IF($E657="","",COUNTA($E$5:$E657))</f>
        <v/>
      </c>
      <c r="B657" s="32"/>
      <c r="C657" s="32"/>
      <c r="D657" s="32"/>
      <c r="E657" s="32"/>
      <c r="F657" s="33"/>
      <c r="G657" s="32"/>
      <c r="H657" s="34"/>
      <c r="I657" s="35"/>
      <c r="J657" s="36" t="str">
        <f aca="false">IF(OR($H657="",$I657=""),"",$H657+MATCH($I657,Listas!$F$5:$F$11,0)-1)</f>
        <v/>
      </c>
      <c r="K657" s="37"/>
      <c r="L657" s="33"/>
      <c r="M657" s="37"/>
      <c r="N657" s="32"/>
      <c r="O657" s="32"/>
      <c r="P657" s="38" t="str">
        <f aca="true">IF($E657="","",IF($L657="Cancelada","Cancelada",IF(OR($K657&lt;&gt;"",$L657="Concluída"),IF(OR($J657="",$K657="",$K657&lt;=$J657),"Concluída","Concluída com atraso"),IF($J657="","Na carteira",IF($J657&lt;TODAY(),"VENCIDA",IF($L657="Em execução","Em execução",IF($J657=TODAY(),"Hoje","Programada")))))))</f>
        <v/>
      </c>
      <c r="Q657" s="31" t="str">
        <f aca="false">IF($E657="","",IF(ISNUMBER(SEARCH("(externo)",$G657)),"Terceirizada","Interna"))</f>
        <v/>
      </c>
      <c r="R657" s="36" t="str">
        <f aca="false">IF($J657="","",IF($M657="",$J657,$M657))</f>
        <v/>
      </c>
      <c r="S657" s="31" t="str">
        <f aca="false">IF($E657="","",IF(OR($K657="",$J657=""),0,IF($K657&lt;=$J657,1,0)))</f>
        <v/>
      </c>
      <c r="T657" s="31" t="str">
        <f aca="false">IF($E657="","",IF(OR($K657="",$R657=""),0,IF($K657&lt;=$R657,1,0)))</f>
        <v/>
      </c>
      <c r="U657" s="38" t="str">
        <f aca="false">IF(OR($K657="",$J657=""),"",MAX(0,$K657-$J657))</f>
        <v/>
      </c>
      <c r="V657" s="31" t="str">
        <f aca="false">IF($E657="","",IF(AND($M657&lt;&gt;"",$J657&lt;&gt;"",$M657&lt;&gt;$J657),1,0))</f>
        <v/>
      </c>
      <c r="W657" s="39" t="str">
        <f aca="false">IF($E657="","",IF($L657="Cancelada",0,IF(OR($K657&lt;&gt;"",$L657="Concluída"),1,0)))</f>
        <v/>
      </c>
    </row>
    <row r="658" customFormat="false" ht="15" hidden="false" customHeight="true" outlineLevel="0" collapsed="false">
      <c r="A658" s="31" t="str">
        <f aca="false">IF($E658="","",COUNTA($E$5:$E658))</f>
        <v/>
      </c>
      <c r="B658" s="32"/>
      <c r="C658" s="32"/>
      <c r="D658" s="32"/>
      <c r="E658" s="32"/>
      <c r="F658" s="33"/>
      <c r="G658" s="32"/>
      <c r="H658" s="34"/>
      <c r="I658" s="35"/>
      <c r="J658" s="36" t="str">
        <f aca="false">IF(OR($H658="",$I658=""),"",$H658+MATCH($I658,Listas!$F$5:$F$11,0)-1)</f>
        <v/>
      </c>
      <c r="K658" s="37"/>
      <c r="L658" s="33"/>
      <c r="M658" s="37"/>
      <c r="N658" s="32"/>
      <c r="O658" s="32"/>
      <c r="P658" s="38" t="str">
        <f aca="true">IF($E658="","",IF($L658="Cancelada","Cancelada",IF(OR($K658&lt;&gt;"",$L658="Concluída"),IF(OR($J658="",$K658="",$K658&lt;=$J658),"Concluída","Concluída com atraso"),IF($J658="","Na carteira",IF($J658&lt;TODAY(),"VENCIDA",IF($L658="Em execução","Em execução",IF($J658=TODAY(),"Hoje","Programada")))))))</f>
        <v/>
      </c>
      <c r="Q658" s="31" t="str">
        <f aca="false">IF($E658="","",IF(ISNUMBER(SEARCH("(externo)",$G658)),"Terceirizada","Interna"))</f>
        <v/>
      </c>
      <c r="R658" s="36" t="str">
        <f aca="false">IF($J658="","",IF($M658="",$J658,$M658))</f>
        <v/>
      </c>
      <c r="S658" s="31" t="str">
        <f aca="false">IF($E658="","",IF(OR($K658="",$J658=""),0,IF($K658&lt;=$J658,1,0)))</f>
        <v/>
      </c>
      <c r="T658" s="31" t="str">
        <f aca="false">IF($E658="","",IF(OR($K658="",$R658=""),0,IF($K658&lt;=$R658,1,0)))</f>
        <v/>
      </c>
      <c r="U658" s="38" t="str">
        <f aca="false">IF(OR($K658="",$J658=""),"",MAX(0,$K658-$J658))</f>
        <v/>
      </c>
      <c r="V658" s="31" t="str">
        <f aca="false">IF($E658="","",IF(AND($M658&lt;&gt;"",$J658&lt;&gt;"",$M658&lt;&gt;$J658),1,0))</f>
        <v/>
      </c>
      <c r="W658" s="39" t="str">
        <f aca="false">IF($E658="","",IF($L658="Cancelada",0,IF(OR($K658&lt;&gt;"",$L658="Concluída"),1,0)))</f>
        <v/>
      </c>
    </row>
    <row r="659" customFormat="false" ht="15" hidden="false" customHeight="true" outlineLevel="0" collapsed="false">
      <c r="A659" s="31" t="str">
        <f aca="false">IF($E659="","",COUNTA($E$5:$E659))</f>
        <v/>
      </c>
      <c r="B659" s="32"/>
      <c r="C659" s="32"/>
      <c r="D659" s="32"/>
      <c r="E659" s="32"/>
      <c r="F659" s="33"/>
      <c r="G659" s="32"/>
      <c r="H659" s="34"/>
      <c r="I659" s="35"/>
      <c r="J659" s="36" t="str">
        <f aca="false">IF(OR($H659="",$I659=""),"",$H659+MATCH($I659,Listas!$F$5:$F$11,0)-1)</f>
        <v/>
      </c>
      <c r="K659" s="37"/>
      <c r="L659" s="33"/>
      <c r="M659" s="37"/>
      <c r="N659" s="32"/>
      <c r="O659" s="32"/>
      <c r="P659" s="38" t="str">
        <f aca="true">IF($E659="","",IF($L659="Cancelada","Cancelada",IF(OR($K659&lt;&gt;"",$L659="Concluída"),IF(OR($J659="",$K659="",$K659&lt;=$J659),"Concluída","Concluída com atraso"),IF($J659="","Na carteira",IF($J659&lt;TODAY(),"VENCIDA",IF($L659="Em execução","Em execução",IF($J659=TODAY(),"Hoje","Programada")))))))</f>
        <v/>
      </c>
      <c r="Q659" s="31" t="str">
        <f aca="false">IF($E659="","",IF(ISNUMBER(SEARCH("(externo)",$G659)),"Terceirizada","Interna"))</f>
        <v/>
      </c>
      <c r="R659" s="36" t="str">
        <f aca="false">IF($J659="","",IF($M659="",$J659,$M659))</f>
        <v/>
      </c>
      <c r="S659" s="31" t="str">
        <f aca="false">IF($E659="","",IF(OR($K659="",$J659=""),0,IF($K659&lt;=$J659,1,0)))</f>
        <v/>
      </c>
      <c r="T659" s="31" t="str">
        <f aca="false">IF($E659="","",IF(OR($K659="",$R659=""),0,IF($K659&lt;=$R659,1,0)))</f>
        <v/>
      </c>
      <c r="U659" s="38" t="str">
        <f aca="false">IF(OR($K659="",$J659=""),"",MAX(0,$K659-$J659))</f>
        <v/>
      </c>
      <c r="V659" s="31" t="str">
        <f aca="false">IF($E659="","",IF(AND($M659&lt;&gt;"",$J659&lt;&gt;"",$M659&lt;&gt;$J659),1,0))</f>
        <v/>
      </c>
      <c r="W659" s="39" t="str">
        <f aca="false">IF($E659="","",IF($L659="Cancelada",0,IF(OR($K659&lt;&gt;"",$L659="Concluída"),1,0)))</f>
        <v/>
      </c>
    </row>
    <row r="660" customFormat="false" ht="15" hidden="false" customHeight="true" outlineLevel="0" collapsed="false">
      <c r="A660" s="31" t="str">
        <f aca="false">IF($E660="","",COUNTA($E$5:$E660))</f>
        <v/>
      </c>
      <c r="B660" s="32"/>
      <c r="C660" s="32"/>
      <c r="D660" s="32"/>
      <c r="E660" s="32"/>
      <c r="F660" s="33"/>
      <c r="G660" s="32"/>
      <c r="H660" s="34"/>
      <c r="I660" s="35"/>
      <c r="J660" s="36" t="str">
        <f aca="false">IF(OR($H660="",$I660=""),"",$H660+MATCH($I660,Listas!$F$5:$F$11,0)-1)</f>
        <v/>
      </c>
      <c r="K660" s="37"/>
      <c r="L660" s="33"/>
      <c r="M660" s="37"/>
      <c r="N660" s="32"/>
      <c r="O660" s="32"/>
      <c r="P660" s="38" t="str">
        <f aca="true">IF($E660="","",IF($L660="Cancelada","Cancelada",IF(OR($K660&lt;&gt;"",$L660="Concluída"),IF(OR($J660="",$K660="",$K660&lt;=$J660),"Concluída","Concluída com atraso"),IF($J660="","Na carteira",IF($J660&lt;TODAY(),"VENCIDA",IF($L660="Em execução","Em execução",IF($J660=TODAY(),"Hoje","Programada")))))))</f>
        <v/>
      </c>
      <c r="Q660" s="31" t="str">
        <f aca="false">IF($E660="","",IF(ISNUMBER(SEARCH("(externo)",$G660)),"Terceirizada","Interna"))</f>
        <v/>
      </c>
      <c r="R660" s="36" t="str">
        <f aca="false">IF($J660="","",IF($M660="",$J660,$M660))</f>
        <v/>
      </c>
      <c r="S660" s="31" t="str">
        <f aca="false">IF($E660="","",IF(OR($K660="",$J660=""),0,IF($K660&lt;=$J660,1,0)))</f>
        <v/>
      </c>
      <c r="T660" s="31" t="str">
        <f aca="false">IF($E660="","",IF(OR($K660="",$R660=""),0,IF($K660&lt;=$R660,1,0)))</f>
        <v/>
      </c>
      <c r="U660" s="38" t="str">
        <f aca="false">IF(OR($K660="",$J660=""),"",MAX(0,$K660-$J660))</f>
        <v/>
      </c>
      <c r="V660" s="31" t="str">
        <f aca="false">IF($E660="","",IF(AND($M660&lt;&gt;"",$J660&lt;&gt;"",$M660&lt;&gt;$J660),1,0))</f>
        <v/>
      </c>
      <c r="W660" s="39" t="str">
        <f aca="false">IF($E660="","",IF($L660="Cancelada",0,IF(OR($K660&lt;&gt;"",$L660="Concluída"),1,0)))</f>
        <v/>
      </c>
    </row>
    <row r="661" customFormat="false" ht="15" hidden="false" customHeight="true" outlineLevel="0" collapsed="false">
      <c r="A661" s="31" t="str">
        <f aca="false">IF($E661="","",COUNTA($E$5:$E661))</f>
        <v/>
      </c>
      <c r="B661" s="32"/>
      <c r="C661" s="32"/>
      <c r="D661" s="32"/>
      <c r="E661" s="32"/>
      <c r="F661" s="33"/>
      <c r="G661" s="32"/>
      <c r="H661" s="34"/>
      <c r="I661" s="35"/>
      <c r="J661" s="36" t="str">
        <f aca="false">IF(OR($H661="",$I661=""),"",$H661+MATCH($I661,Listas!$F$5:$F$11,0)-1)</f>
        <v/>
      </c>
      <c r="K661" s="37"/>
      <c r="L661" s="33"/>
      <c r="M661" s="37"/>
      <c r="N661" s="32"/>
      <c r="O661" s="32"/>
      <c r="P661" s="38" t="str">
        <f aca="true">IF($E661="","",IF($L661="Cancelada","Cancelada",IF(OR($K661&lt;&gt;"",$L661="Concluída"),IF(OR($J661="",$K661="",$K661&lt;=$J661),"Concluída","Concluída com atraso"),IF($J661="","Na carteira",IF($J661&lt;TODAY(),"VENCIDA",IF($L661="Em execução","Em execução",IF($J661=TODAY(),"Hoje","Programada")))))))</f>
        <v/>
      </c>
      <c r="Q661" s="31" t="str">
        <f aca="false">IF($E661="","",IF(ISNUMBER(SEARCH("(externo)",$G661)),"Terceirizada","Interna"))</f>
        <v/>
      </c>
      <c r="R661" s="36" t="str">
        <f aca="false">IF($J661="","",IF($M661="",$J661,$M661))</f>
        <v/>
      </c>
      <c r="S661" s="31" t="str">
        <f aca="false">IF($E661="","",IF(OR($K661="",$J661=""),0,IF($K661&lt;=$J661,1,0)))</f>
        <v/>
      </c>
      <c r="T661" s="31" t="str">
        <f aca="false">IF($E661="","",IF(OR($K661="",$R661=""),0,IF($K661&lt;=$R661,1,0)))</f>
        <v/>
      </c>
      <c r="U661" s="38" t="str">
        <f aca="false">IF(OR($K661="",$J661=""),"",MAX(0,$K661-$J661))</f>
        <v/>
      </c>
      <c r="V661" s="31" t="str">
        <f aca="false">IF($E661="","",IF(AND($M661&lt;&gt;"",$J661&lt;&gt;"",$M661&lt;&gt;$J661),1,0))</f>
        <v/>
      </c>
      <c r="W661" s="39" t="str">
        <f aca="false">IF($E661="","",IF($L661="Cancelada",0,IF(OR($K661&lt;&gt;"",$L661="Concluída"),1,0)))</f>
        <v/>
      </c>
    </row>
    <row r="662" customFormat="false" ht="15" hidden="false" customHeight="true" outlineLevel="0" collapsed="false">
      <c r="A662" s="31" t="str">
        <f aca="false">IF($E662="","",COUNTA($E$5:$E662))</f>
        <v/>
      </c>
      <c r="B662" s="32"/>
      <c r="C662" s="32"/>
      <c r="D662" s="32"/>
      <c r="E662" s="32"/>
      <c r="F662" s="33"/>
      <c r="G662" s="32"/>
      <c r="H662" s="34"/>
      <c r="I662" s="35"/>
      <c r="J662" s="36" t="str">
        <f aca="false">IF(OR($H662="",$I662=""),"",$H662+MATCH($I662,Listas!$F$5:$F$11,0)-1)</f>
        <v/>
      </c>
      <c r="K662" s="37"/>
      <c r="L662" s="33"/>
      <c r="M662" s="37"/>
      <c r="N662" s="32"/>
      <c r="O662" s="32"/>
      <c r="P662" s="38" t="str">
        <f aca="true">IF($E662="","",IF($L662="Cancelada","Cancelada",IF(OR($K662&lt;&gt;"",$L662="Concluída"),IF(OR($J662="",$K662="",$K662&lt;=$J662),"Concluída","Concluída com atraso"),IF($J662="","Na carteira",IF($J662&lt;TODAY(),"VENCIDA",IF($L662="Em execução","Em execução",IF($J662=TODAY(),"Hoje","Programada")))))))</f>
        <v/>
      </c>
      <c r="Q662" s="31" t="str">
        <f aca="false">IF($E662="","",IF(ISNUMBER(SEARCH("(externo)",$G662)),"Terceirizada","Interna"))</f>
        <v/>
      </c>
      <c r="R662" s="36" t="str">
        <f aca="false">IF($J662="","",IF($M662="",$J662,$M662))</f>
        <v/>
      </c>
      <c r="S662" s="31" t="str">
        <f aca="false">IF($E662="","",IF(OR($K662="",$J662=""),0,IF($K662&lt;=$J662,1,0)))</f>
        <v/>
      </c>
      <c r="T662" s="31" t="str">
        <f aca="false">IF($E662="","",IF(OR($K662="",$R662=""),0,IF($K662&lt;=$R662,1,0)))</f>
        <v/>
      </c>
      <c r="U662" s="38" t="str">
        <f aca="false">IF(OR($K662="",$J662=""),"",MAX(0,$K662-$J662))</f>
        <v/>
      </c>
      <c r="V662" s="31" t="str">
        <f aca="false">IF($E662="","",IF(AND($M662&lt;&gt;"",$J662&lt;&gt;"",$M662&lt;&gt;$J662),1,0))</f>
        <v/>
      </c>
      <c r="W662" s="39" t="str">
        <f aca="false">IF($E662="","",IF($L662="Cancelada",0,IF(OR($K662&lt;&gt;"",$L662="Concluída"),1,0)))</f>
        <v/>
      </c>
    </row>
    <row r="663" customFormat="false" ht="15" hidden="false" customHeight="true" outlineLevel="0" collapsed="false">
      <c r="A663" s="31" t="str">
        <f aca="false">IF($E663="","",COUNTA($E$5:$E663))</f>
        <v/>
      </c>
      <c r="B663" s="32"/>
      <c r="C663" s="32"/>
      <c r="D663" s="32"/>
      <c r="E663" s="32"/>
      <c r="F663" s="33"/>
      <c r="G663" s="32"/>
      <c r="H663" s="34"/>
      <c r="I663" s="35"/>
      <c r="J663" s="36" t="str">
        <f aca="false">IF(OR($H663="",$I663=""),"",$H663+MATCH($I663,Listas!$F$5:$F$11,0)-1)</f>
        <v/>
      </c>
      <c r="K663" s="37"/>
      <c r="L663" s="33"/>
      <c r="M663" s="37"/>
      <c r="N663" s="32"/>
      <c r="O663" s="32"/>
      <c r="P663" s="38" t="str">
        <f aca="true">IF($E663="","",IF($L663="Cancelada","Cancelada",IF(OR($K663&lt;&gt;"",$L663="Concluída"),IF(OR($J663="",$K663="",$K663&lt;=$J663),"Concluída","Concluída com atraso"),IF($J663="","Na carteira",IF($J663&lt;TODAY(),"VENCIDA",IF($L663="Em execução","Em execução",IF($J663=TODAY(),"Hoje","Programada")))))))</f>
        <v/>
      </c>
      <c r="Q663" s="31" t="str">
        <f aca="false">IF($E663="","",IF(ISNUMBER(SEARCH("(externo)",$G663)),"Terceirizada","Interna"))</f>
        <v/>
      </c>
      <c r="R663" s="36" t="str">
        <f aca="false">IF($J663="","",IF($M663="",$J663,$M663))</f>
        <v/>
      </c>
      <c r="S663" s="31" t="str">
        <f aca="false">IF($E663="","",IF(OR($K663="",$J663=""),0,IF($K663&lt;=$J663,1,0)))</f>
        <v/>
      </c>
      <c r="T663" s="31" t="str">
        <f aca="false">IF($E663="","",IF(OR($K663="",$R663=""),0,IF($K663&lt;=$R663,1,0)))</f>
        <v/>
      </c>
      <c r="U663" s="38" t="str">
        <f aca="false">IF(OR($K663="",$J663=""),"",MAX(0,$K663-$J663))</f>
        <v/>
      </c>
      <c r="V663" s="31" t="str">
        <f aca="false">IF($E663="","",IF(AND($M663&lt;&gt;"",$J663&lt;&gt;"",$M663&lt;&gt;$J663),1,0))</f>
        <v/>
      </c>
      <c r="W663" s="39" t="str">
        <f aca="false">IF($E663="","",IF($L663="Cancelada",0,IF(OR($K663&lt;&gt;"",$L663="Concluída"),1,0)))</f>
        <v/>
      </c>
    </row>
    <row r="664" customFormat="false" ht="15" hidden="false" customHeight="true" outlineLevel="0" collapsed="false">
      <c r="A664" s="31" t="str">
        <f aca="false">IF($E664="","",COUNTA($E$5:$E664))</f>
        <v/>
      </c>
      <c r="B664" s="32"/>
      <c r="C664" s="32"/>
      <c r="D664" s="32"/>
      <c r="E664" s="32"/>
      <c r="F664" s="33"/>
      <c r="G664" s="32"/>
      <c r="H664" s="34"/>
      <c r="I664" s="35"/>
      <c r="J664" s="36" t="str">
        <f aca="false">IF(OR($H664="",$I664=""),"",$H664+MATCH($I664,Listas!$F$5:$F$11,0)-1)</f>
        <v/>
      </c>
      <c r="K664" s="37"/>
      <c r="L664" s="33"/>
      <c r="M664" s="37"/>
      <c r="N664" s="32"/>
      <c r="O664" s="32"/>
      <c r="P664" s="38" t="str">
        <f aca="true">IF($E664="","",IF($L664="Cancelada","Cancelada",IF(OR($K664&lt;&gt;"",$L664="Concluída"),IF(OR($J664="",$K664="",$K664&lt;=$J664),"Concluída","Concluída com atraso"),IF($J664="","Na carteira",IF($J664&lt;TODAY(),"VENCIDA",IF($L664="Em execução","Em execução",IF($J664=TODAY(),"Hoje","Programada")))))))</f>
        <v/>
      </c>
      <c r="Q664" s="31" t="str">
        <f aca="false">IF($E664="","",IF(ISNUMBER(SEARCH("(externo)",$G664)),"Terceirizada","Interna"))</f>
        <v/>
      </c>
      <c r="R664" s="36" t="str">
        <f aca="false">IF($J664="","",IF($M664="",$J664,$M664))</f>
        <v/>
      </c>
      <c r="S664" s="31" t="str">
        <f aca="false">IF($E664="","",IF(OR($K664="",$J664=""),0,IF($K664&lt;=$J664,1,0)))</f>
        <v/>
      </c>
      <c r="T664" s="31" t="str">
        <f aca="false">IF($E664="","",IF(OR($K664="",$R664=""),0,IF($K664&lt;=$R664,1,0)))</f>
        <v/>
      </c>
      <c r="U664" s="38" t="str">
        <f aca="false">IF(OR($K664="",$J664=""),"",MAX(0,$K664-$J664))</f>
        <v/>
      </c>
      <c r="V664" s="31" t="str">
        <f aca="false">IF($E664="","",IF(AND($M664&lt;&gt;"",$J664&lt;&gt;"",$M664&lt;&gt;$J664),1,0))</f>
        <v/>
      </c>
      <c r="W664" s="39" t="str">
        <f aca="false">IF($E664="","",IF($L664="Cancelada",0,IF(OR($K664&lt;&gt;"",$L664="Concluída"),1,0)))</f>
        <v/>
      </c>
    </row>
    <row r="665" customFormat="false" ht="15" hidden="false" customHeight="true" outlineLevel="0" collapsed="false">
      <c r="A665" s="31" t="str">
        <f aca="false">IF($E665="","",COUNTA($E$5:$E665))</f>
        <v/>
      </c>
      <c r="B665" s="32"/>
      <c r="C665" s="32"/>
      <c r="D665" s="32"/>
      <c r="E665" s="32"/>
      <c r="F665" s="33"/>
      <c r="G665" s="32"/>
      <c r="H665" s="34"/>
      <c r="I665" s="35"/>
      <c r="J665" s="36" t="str">
        <f aca="false">IF(OR($H665="",$I665=""),"",$H665+MATCH($I665,Listas!$F$5:$F$11,0)-1)</f>
        <v/>
      </c>
      <c r="K665" s="37"/>
      <c r="L665" s="33"/>
      <c r="M665" s="37"/>
      <c r="N665" s="32"/>
      <c r="O665" s="32"/>
      <c r="P665" s="38" t="str">
        <f aca="true">IF($E665="","",IF($L665="Cancelada","Cancelada",IF(OR($K665&lt;&gt;"",$L665="Concluída"),IF(OR($J665="",$K665="",$K665&lt;=$J665),"Concluída","Concluída com atraso"),IF($J665="","Na carteira",IF($J665&lt;TODAY(),"VENCIDA",IF($L665="Em execução","Em execução",IF($J665=TODAY(),"Hoje","Programada")))))))</f>
        <v/>
      </c>
      <c r="Q665" s="31" t="str">
        <f aca="false">IF($E665="","",IF(ISNUMBER(SEARCH("(externo)",$G665)),"Terceirizada","Interna"))</f>
        <v/>
      </c>
      <c r="R665" s="36" t="str">
        <f aca="false">IF($J665="","",IF($M665="",$J665,$M665))</f>
        <v/>
      </c>
      <c r="S665" s="31" t="str">
        <f aca="false">IF($E665="","",IF(OR($K665="",$J665=""),0,IF($K665&lt;=$J665,1,0)))</f>
        <v/>
      </c>
      <c r="T665" s="31" t="str">
        <f aca="false">IF($E665="","",IF(OR($K665="",$R665=""),0,IF($K665&lt;=$R665,1,0)))</f>
        <v/>
      </c>
      <c r="U665" s="38" t="str">
        <f aca="false">IF(OR($K665="",$J665=""),"",MAX(0,$K665-$J665))</f>
        <v/>
      </c>
      <c r="V665" s="31" t="str">
        <f aca="false">IF($E665="","",IF(AND($M665&lt;&gt;"",$J665&lt;&gt;"",$M665&lt;&gt;$J665),1,0))</f>
        <v/>
      </c>
      <c r="W665" s="39" t="str">
        <f aca="false">IF($E665="","",IF($L665="Cancelada",0,IF(OR($K665&lt;&gt;"",$L665="Concluída"),1,0)))</f>
        <v/>
      </c>
    </row>
    <row r="666" customFormat="false" ht="15" hidden="false" customHeight="true" outlineLevel="0" collapsed="false">
      <c r="A666" s="31" t="str">
        <f aca="false">IF($E666="","",COUNTA($E$5:$E666))</f>
        <v/>
      </c>
      <c r="B666" s="32"/>
      <c r="C666" s="32"/>
      <c r="D666" s="32"/>
      <c r="E666" s="32"/>
      <c r="F666" s="33"/>
      <c r="G666" s="32"/>
      <c r="H666" s="34"/>
      <c r="I666" s="35"/>
      <c r="J666" s="36" t="str">
        <f aca="false">IF(OR($H666="",$I666=""),"",$H666+MATCH($I666,Listas!$F$5:$F$11,0)-1)</f>
        <v/>
      </c>
      <c r="K666" s="37"/>
      <c r="L666" s="33"/>
      <c r="M666" s="37"/>
      <c r="N666" s="32"/>
      <c r="O666" s="32"/>
      <c r="P666" s="38" t="str">
        <f aca="true">IF($E666="","",IF($L666="Cancelada","Cancelada",IF(OR($K666&lt;&gt;"",$L666="Concluída"),IF(OR($J666="",$K666="",$K666&lt;=$J666),"Concluída","Concluída com atraso"),IF($J666="","Na carteira",IF($J666&lt;TODAY(),"VENCIDA",IF($L666="Em execução","Em execução",IF($J666=TODAY(),"Hoje","Programada")))))))</f>
        <v/>
      </c>
      <c r="Q666" s="31" t="str">
        <f aca="false">IF($E666="","",IF(ISNUMBER(SEARCH("(externo)",$G666)),"Terceirizada","Interna"))</f>
        <v/>
      </c>
      <c r="R666" s="36" t="str">
        <f aca="false">IF($J666="","",IF($M666="",$J666,$M666))</f>
        <v/>
      </c>
      <c r="S666" s="31" t="str">
        <f aca="false">IF($E666="","",IF(OR($K666="",$J666=""),0,IF($K666&lt;=$J666,1,0)))</f>
        <v/>
      </c>
      <c r="T666" s="31" t="str">
        <f aca="false">IF($E666="","",IF(OR($K666="",$R666=""),0,IF($K666&lt;=$R666,1,0)))</f>
        <v/>
      </c>
      <c r="U666" s="38" t="str">
        <f aca="false">IF(OR($K666="",$J666=""),"",MAX(0,$K666-$J666))</f>
        <v/>
      </c>
      <c r="V666" s="31" t="str">
        <f aca="false">IF($E666="","",IF(AND($M666&lt;&gt;"",$J666&lt;&gt;"",$M666&lt;&gt;$J666),1,0))</f>
        <v/>
      </c>
      <c r="W666" s="39" t="str">
        <f aca="false">IF($E666="","",IF($L666="Cancelada",0,IF(OR($K666&lt;&gt;"",$L666="Concluída"),1,0)))</f>
        <v/>
      </c>
    </row>
    <row r="667" customFormat="false" ht="15" hidden="false" customHeight="true" outlineLevel="0" collapsed="false">
      <c r="A667" s="31" t="str">
        <f aca="false">IF($E667="","",COUNTA($E$5:$E667))</f>
        <v/>
      </c>
      <c r="B667" s="32"/>
      <c r="C667" s="32"/>
      <c r="D667" s="32"/>
      <c r="E667" s="32"/>
      <c r="F667" s="33"/>
      <c r="G667" s="32"/>
      <c r="H667" s="34"/>
      <c r="I667" s="35"/>
      <c r="J667" s="36" t="str">
        <f aca="false">IF(OR($H667="",$I667=""),"",$H667+MATCH($I667,Listas!$F$5:$F$11,0)-1)</f>
        <v/>
      </c>
      <c r="K667" s="37"/>
      <c r="L667" s="33"/>
      <c r="M667" s="37"/>
      <c r="N667" s="32"/>
      <c r="O667" s="32"/>
      <c r="P667" s="38" t="str">
        <f aca="true">IF($E667="","",IF($L667="Cancelada","Cancelada",IF(OR($K667&lt;&gt;"",$L667="Concluída"),IF(OR($J667="",$K667="",$K667&lt;=$J667),"Concluída","Concluída com atraso"),IF($J667="","Na carteira",IF($J667&lt;TODAY(),"VENCIDA",IF($L667="Em execução","Em execução",IF($J667=TODAY(),"Hoje","Programada")))))))</f>
        <v/>
      </c>
      <c r="Q667" s="31" t="str">
        <f aca="false">IF($E667="","",IF(ISNUMBER(SEARCH("(externo)",$G667)),"Terceirizada","Interna"))</f>
        <v/>
      </c>
      <c r="R667" s="36" t="str">
        <f aca="false">IF($J667="","",IF($M667="",$J667,$M667))</f>
        <v/>
      </c>
      <c r="S667" s="31" t="str">
        <f aca="false">IF($E667="","",IF(OR($K667="",$J667=""),0,IF($K667&lt;=$J667,1,0)))</f>
        <v/>
      </c>
      <c r="T667" s="31" t="str">
        <f aca="false">IF($E667="","",IF(OR($K667="",$R667=""),0,IF($K667&lt;=$R667,1,0)))</f>
        <v/>
      </c>
      <c r="U667" s="38" t="str">
        <f aca="false">IF(OR($K667="",$J667=""),"",MAX(0,$K667-$J667))</f>
        <v/>
      </c>
      <c r="V667" s="31" t="str">
        <f aca="false">IF($E667="","",IF(AND($M667&lt;&gt;"",$J667&lt;&gt;"",$M667&lt;&gt;$J667),1,0))</f>
        <v/>
      </c>
      <c r="W667" s="39" t="str">
        <f aca="false">IF($E667="","",IF($L667="Cancelada",0,IF(OR($K667&lt;&gt;"",$L667="Concluída"),1,0)))</f>
        <v/>
      </c>
    </row>
    <row r="668" customFormat="false" ht="15" hidden="false" customHeight="true" outlineLevel="0" collapsed="false">
      <c r="A668" s="31" t="str">
        <f aca="false">IF($E668="","",COUNTA($E$5:$E668))</f>
        <v/>
      </c>
      <c r="B668" s="32"/>
      <c r="C668" s="32"/>
      <c r="D668" s="32"/>
      <c r="E668" s="32"/>
      <c r="F668" s="33"/>
      <c r="G668" s="32"/>
      <c r="H668" s="34"/>
      <c r="I668" s="35"/>
      <c r="J668" s="36" t="str">
        <f aca="false">IF(OR($H668="",$I668=""),"",$H668+MATCH($I668,Listas!$F$5:$F$11,0)-1)</f>
        <v/>
      </c>
      <c r="K668" s="37"/>
      <c r="L668" s="33"/>
      <c r="M668" s="37"/>
      <c r="N668" s="32"/>
      <c r="O668" s="32"/>
      <c r="P668" s="38" t="str">
        <f aca="true">IF($E668="","",IF($L668="Cancelada","Cancelada",IF(OR($K668&lt;&gt;"",$L668="Concluída"),IF(OR($J668="",$K668="",$K668&lt;=$J668),"Concluída","Concluída com atraso"),IF($J668="","Na carteira",IF($J668&lt;TODAY(),"VENCIDA",IF($L668="Em execução","Em execução",IF($J668=TODAY(),"Hoje","Programada")))))))</f>
        <v/>
      </c>
      <c r="Q668" s="31" t="str">
        <f aca="false">IF($E668="","",IF(ISNUMBER(SEARCH("(externo)",$G668)),"Terceirizada","Interna"))</f>
        <v/>
      </c>
      <c r="R668" s="36" t="str">
        <f aca="false">IF($J668="","",IF($M668="",$J668,$M668))</f>
        <v/>
      </c>
      <c r="S668" s="31" t="str">
        <f aca="false">IF($E668="","",IF(OR($K668="",$J668=""),0,IF($K668&lt;=$J668,1,0)))</f>
        <v/>
      </c>
      <c r="T668" s="31" t="str">
        <f aca="false">IF($E668="","",IF(OR($K668="",$R668=""),0,IF($K668&lt;=$R668,1,0)))</f>
        <v/>
      </c>
      <c r="U668" s="38" t="str">
        <f aca="false">IF(OR($K668="",$J668=""),"",MAX(0,$K668-$J668))</f>
        <v/>
      </c>
      <c r="V668" s="31" t="str">
        <f aca="false">IF($E668="","",IF(AND($M668&lt;&gt;"",$J668&lt;&gt;"",$M668&lt;&gt;$J668),1,0))</f>
        <v/>
      </c>
      <c r="W668" s="39" t="str">
        <f aca="false">IF($E668="","",IF($L668="Cancelada",0,IF(OR($K668&lt;&gt;"",$L668="Concluída"),1,0)))</f>
        <v/>
      </c>
    </row>
    <row r="669" customFormat="false" ht="15" hidden="false" customHeight="true" outlineLevel="0" collapsed="false">
      <c r="A669" s="31" t="str">
        <f aca="false">IF($E669="","",COUNTA($E$5:$E669))</f>
        <v/>
      </c>
      <c r="B669" s="32"/>
      <c r="C669" s="32"/>
      <c r="D669" s="32"/>
      <c r="E669" s="32"/>
      <c r="F669" s="33"/>
      <c r="G669" s="32"/>
      <c r="H669" s="34"/>
      <c r="I669" s="35"/>
      <c r="J669" s="36" t="str">
        <f aca="false">IF(OR($H669="",$I669=""),"",$H669+MATCH($I669,Listas!$F$5:$F$11,0)-1)</f>
        <v/>
      </c>
      <c r="K669" s="37"/>
      <c r="L669" s="33"/>
      <c r="M669" s="37"/>
      <c r="N669" s="32"/>
      <c r="O669" s="32"/>
      <c r="P669" s="38" t="str">
        <f aca="true">IF($E669="","",IF($L669="Cancelada","Cancelada",IF(OR($K669&lt;&gt;"",$L669="Concluída"),IF(OR($J669="",$K669="",$K669&lt;=$J669),"Concluída","Concluída com atraso"),IF($J669="","Na carteira",IF($J669&lt;TODAY(),"VENCIDA",IF($L669="Em execução","Em execução",IF($J669=TODAY(),"Hoje","Programada")))))))</f>
        <v/>
      </c>
      <c r="Q669" s="31" t="str">
        <f aca="false">IF($E669="","",IF(ISNUMBER(SEARCH("(externo)",$G669)),"Terceirizada","Interna"))</f>
        <v/>
      </c>
      <c r="R669" s="36" t="str">
        <f aca="false">IF($J669="","",IF($M669="",$J669,$M669))</f>
        <v/>
      </c>
      <c r="S669" s="31" t="str">
        <f aca="false">IF($E669="","",IF(OR($K669="",$J669=""),0,IF($K669&lt;=$J669,1,0)))</f>
        <v/>
      </c>
      <c r="T669" s="31" t="str">
        <f aca="false">IF($E669="","",IF(OR($K669="",$R669=""),0,IF($K669&lt;=$R669,1,0)))</f>
        <v/>
      </c>
      <c r="U669" s="38" t="str">
        <f aca="false">IF(OR($K669="",$J669=""),"",MAX(0,$K669-$J669))</f>
        <v/>
      </c>
      <c r="V669" s="31" t="str">
        <f aca="false">IF($E669="","",IF(AND($M669&lt;&gt;"",$J669&lt;&gt;"",$M669&lt;&gt;$J669),1,0))</f>
        <v/>
      </c>
      <c r="W669" s="39" t="str">
        <f aca="false">IF($E669="","",IF($L669="Cancelada",0,IF(OR($K669&lt;&gt;"",$L669="Concluída"),1,0)))</f>
        <v/>
      </c>
    </row>
    <row r="670" customFormat="false" ht="15" hidden="false" customHeight="true" outlineLevel="0" collapsed="false">
      <c r="A670" s="31" t="str">
        <f aca="false">IF($E670="","",COUNTA($E$5:$E670))</f>
        <v/>
      </c>
      <c r="B670" s="32"/>
      <c r="C670" s="32"/>
      <c r="D670" s="32"/>
      <c r="E670" s="32"/>
      <c r="F670" s="33"/>
      <c r="G670" s="32"/>
      <c r="H670" s="34"/>
      <c r="I670" s="35"/>
      <c r="J670" s="36" t="str">
        <f aca="false">IF(OR($H670="",$I670=""),"",$H670+MATCH($I670,Listas!$F$5:$F$11,0)-1)</f>
        <v/>
      </c>
      <c r="K670" s="37"/>
      <c r="L670" s="33"/>
      <c r="M670" s="37"/>
      <c r="N670" s="32"/>
      <c r="O670" s="32"/>
      <c r="P670" s="38" t="str">
        <f aca="true">IF($E670="","",IF($L670="Cancelada","Cancelada",IF(OR($K670&lt;&gt;"",$L670="Concluída"),IF(OR($J670="",$K670="",$K670&lt;=$J670),"Concluída","Concluída com atraso"),IF($J670="","Na carteira",IF($J670&lt;TODAY(),"VENCIDA",IF($L670="Em execução","Em execução",IF($J670=TODAY(),"Hoje","Programada")))))))</f>
        <v/>
      </c>
      <c r="Q670" s="31" t="str">
        <f aca="false">IF($E670="","",IF(ISNUMBER(SEARCH("(externo)",$G670)),"Terceirizada","Interna"))</f>
        <v/>
      </c>
      <c r="R670" s="36" t="str">
        <f aca="false">IF($J670="","",IF($M670="",$J670,$M670))</f>
        <v/>
      </c>
      <c r="S670" s="31" t="str">
        <f aca="false">IF($E670="","",IF(OR($K670="",$J670=""),0,IF($K670&lt;=$J670,1,0)))</f>
        <v/>
      </c>
      <c r="T670" s="31" t="str">
        <f aca="false">IF($E670="","",IF(OR($K670="",$R670=""),0,IF($K670&lt;=$R670,1,0)))</f>
        <v/>
      </c>
      <c r="U670" s="38" t="str">
        <f aca="false">IF(OR($K670="",$J670=""),"",MAX(0,$K670-$J670))</f>
        <v/>
      </c>
      <c r="V670" s="31" t="str">
        <f aca="false">IF($E670="","",IF(AND($M670&lt;&gt;"",$J670&lt;&gt;"",$M670&lt;&gt;$J670),1,0))</f>
        <v/>
      </c>
      <c r="W670" s="39" t="str">
        <f aca="false">IF($E670="","",IF($L670="Cancelada",0,IF(OR($K670&lt;&gt;"",$L670="Concluída"),1,0)))</f>
        <v/>
      </c>
    </row>
    <row r="671" customFormat="false" ht="15" hidden="false" customHeight="true" outlineLevel="0" collapsed="false">
      <c r="A671" s="31" t="str">
        <f aca="false">IF($E671="","",COUNTA($E$5:$E671))</f>
        <v/>
      </c>
      <c r="B671" s="32"/>
      <c r="C671" s="32"/>
      <c r="D671" s="32"/>
      <c r="E671" s="32"/>
      <c r="F671" s="33"/>
      <c r="G671" s="32"/>
      <c r="H671" s="34"/>
      <c r="I671" s="35"/>
      <c r="J671" s="36" t="str">
        <f aca="false">IF(OR($H671="",$I671=""),"",$H671+MATCH($I671,Listas!$F$5:$F$11,0)-1)</f>
        <v/>
      </c>
      <c r="K671" s="37"/>
      <c r="L671" s="33"/>
      <c r="M671" s="37"/>
      <c r="N671" s="32"/>
      <c r="O671" s="32"/>
      <c r="P671" s="38" t="str">
        <f aca="true">IF($E671="","",IF($L671="Cancelada","Cancelada",IF(OR($K671&lt;&gt;"",$L671="Concluída"),IF(OR($J671="",$K671="",$K671&lt;=$J671),"Concluída","Concluída com atraso"),IF($J671="","Na carteira",IF($J671&lt;TODAY(),"VENCIDA",IF($L671="Em execução","Em execução",IF($J671=TODAY(),"Hoje","Programada")))))))</f>
        <v/>
      </c>
      <c r="Q671" s="31" t="str">
        <f aca="false">IF($E671="","",IF(ISNUMBER(SEARCH("(externo)",$G671)),"Terceirizada","Interna"))</f>
        <v/>
      </c>
      <c r="R671" s="36" t="str">
        <f aca="false">IF($J671="","",IF($M671="",$J671,$M671))</f>
        <v/>
      </c>
      <c r="S671" s="31" t="str">
        <f aca="false">IF($E671="","",IF(OR($K671="",$J671=""),0,IF($K671&lt;=$J671,1,0)))</f>
        <v/>
      </c>
      <c r="T671" s="31" t="str">
        <f aca="false">IF($E671="","",IF(OR($K671="",$R671=""),0,IF($K671&lt;=$R671,1,0)))</f>
        <v/>
      </c>
      <c r="U671" s="38" t="str">
        <f aca="false">IF(OR($K671="",$J671=""),"",MAX(0,$K671-$J671))</f>
        <v/>
      </c>
      <c r="V671" s="31" t="str">
        <f aca="false">IF($E671="","",IF(AND($M671&lt;&gt;"",$J671&lt;&gt;"",$M671&lt;&gt;$J671),1,0))</f>
        <v/>
      </c>
      <c r="W671" s="39" t="str">
        <f aca="false">IF($E671="","",IF($L671="Cancelada",0,IF(OR($K671&lt;&gt;"",$L671="Concluída"),1,0)))</f>
        <v/>
      </c>
    </row>
    <row r="672" customFormat="false" ht="15" hidden="false" customHeight="true" outlineLevel="0" collapsed="false">
      <c r="A672" s="31" t="str">
        <f aca="false">IF($E672="","",COUNTA($E$5:$E672))</f>
        <v/>
      </c>
      <c r="B672" s="32"/>
      <c r="C672" s="32"/>
      <c r="D672" s="32"/>
      <c r="E672" s="32"/>
      <c r="F672" s="33"/>
      <c r="G672" s="32"/>
      <c r="H672" s="34"/>
      <c r="I672" s="35"/>
      <c r="J672" s="36" t="str">
        <f aca="false">IF(OR($H672="",$I672=""),"",$H672+MATCH($I672,Listas!$F$5:$F$11,0)-1)</f>
        <v/>
      </c>
      <c r="K672" s="37"/>
      <c r="L672" s="33"/>
      <c r="M672" s="37"/>
      <c r="N672" s="32"/>
      <c r="O672" s="32"/>
      <c r="P672" s="38" t="str">
        <f aca="true">IF($E672="","",IF($L672="Cancelada","Cancelada",IF(OR($K672&lt;&gt;"",$L672="Concluída"),IF(OR($J672="",$K672="",$K672&lt;=$J672),"Concluída","Concluída com atraso"),IF($J672="","Na carteira",IF($J672&lt;TODAY(),"VENCIDA",IF($L672="Em execução","Em execução",IF($J672=TODAY(),"Hoje","Programada")))))))</f>
        <v/>
      </c>
      <c r="Q672" s="31" t="str">
        <f aca="false">IF($E672="","",IF(ISNUMBER(SEARCH("(externo)",$G672)),"Terceirizada","Interna"))</f>
        <v/>
      </c>
      <c r="R672" s="36" t="str">
        <f aca="false">IF($J672="","",IF($M672="",$J672,$M672))</f>
        <v/>
      </c>
      <c r="S672" s="31" t="str">
        <f aca="false">IF($E672="","",IF(OR($K672="",$J672=""),0,IF($K672&lt;=$J672,1,0)))</f>
        <v/>
      </c>
      <c r="T672" s="31" t="str">
        <f aca="false">IF($E672="","",IF(OR($K672="",$R672=""),0,IF($K672&lt;=$R672,1,0)))</f>
        <v/>
      </c>
      <c r="U672" s="38" t="str">
        <f aca="false">IF(OR($K672="",$J672=""),"",MAX(0,$K672-$J672))</f>
        <v/>
      </c>
      <c r="V672" s="31" t="str">
        <f aca="false">IF($E672="","",IF(AND($M672&lt;&gt;"",$J672&lt;&gt;"",$M672&lt;&gt;$J672),1,0))</f>
        <v/>
      </c>
      <c r="W672" s="39" t="str">
        <f aca="false">IF($E672="","",IF($L672="Cancelada",0,IF(OR($K672&lt;&gt;"",$L672="Concluída"),1,0)))</f>
        <v/>
      </c>
    </row>
    <row r="673" customFormat="false" ht="15" hidden="false" customHeight="true" outlineLevel="0" collapsed="false">
      <c r="A673" s="31" t="str">
        <f aca="false">IF($E673="","",COUNTA($E$5:$E673))</f>
        <v/>
      </c>
      <c r="B673" s="32"/>
      <c r="C673" s="32"/>
      <c r="D673" s="32"/>
      <c r="E673" s="32"/>
      <c r="F673" s="33"/>
      <c r="G673" s="32"/>
      <c r="H673" s="34"/>
      <c r="I673" s="35"/>
      <c r="J673" s="36" t="str">
        <f aca="false">IF(OR($H673="",$I673=""),"",$H673+MATCH($I673,Listas!$F$5:$F$11,0)-1)</f>
        <v/>
      </c>
      <c r="K673" s="37"/>
      <c r="L673" s="33"/>
      <c r="M673" s="37"/>
      <c r="N673" s="32"/>
      <c r="O673" s="32"/>
      <c r="P673" s="38" t="str">
        <f aca="true">IF($E673="","",IF($L673="Cancelada","Cancelada",IF(OR($K673&lt;&gt;"",$L673="Concluída"),IF(OR($J673="",$K673="",$K673&lt;=$J673),"Concluída","Concluída com atraso"),IF($J673="","Na carteira",IF($J673&lt;TODAY(),"VENCIDA",IF($L673="Em execução","Em execução",IF($J673=TODAY(),"Hoje","Programada")))))))</f>
        <v/>
      </c>
      <c r="Q673" s="31" t="str">
        <f aca="false">IF($E673="","",IF(ISNUMBER(SEARCH("(externo)",$G673)),"Terceirizada","Interna"))</f>
        <v/>
      </c>
      <c r="R673" s="36" t="str">
        <f aca="false">IF($J673="","",IF($M673="",$J673,$M673))</f>
        <v/>
      </c>
      <c r="S673" s="31" t="str">
        <f aca="false">IF($E673="","",IF(OR($K673="",$J673=""),0,IF($K673&lt;=$J673,1,0)))</f>
        <v/>
      </c>
      <c r="T673" s="31" t="str">
        <f aca="false">IF($E673="","",IF(OR($K673="",$R673=""),0,IF($K673&lt;=$R673,1,0)))</f>
        <v/>
      </c>
      <c r="U673" s="38" t="str">
        <f aca="false">IF(OR($K673="",$J673=""),"",MAX(0,$K673-$J673))</f>
        <v/>
      </c>
      <c r="V673" s="31" t="str">
        <f aca="false">IF($E673="","",IF(AND($M673&lt;&gt;"",$J673&lt;&gt;"",$M673&lt;&gt;$J673),1,0))</f>
        <v/>
      </c>
      <c r="W673" s="39" t="str">
        <f aca="false">IF($E673="","",IF($L673="Cancelada",0,IF(OR($K673&lt;&gt;"",$L673="Concluída"),1,0)))</f>
        <v/>
      </c>
    </row>
    <row r="674" customFormat="false" ht="15" hidden="false" customHeight="true" outlineLevel="0" collapsed="false">
      <c r="A674" s="31" t="str">
        <f aca="false">IF($E674="","",COUNTA($E$5:$E674))</f>
        <v/>
      </c>
      <c r="B674" s="32"/>
      <c r="C674" s="32"/>
      <c r="D674" s="32"/>
      <c r="E674" s="32"/>
      <c r="F674" s="33"/>
      <c r="G674" s="32"/>
      <c r="H674" s="34"/>
      <c r="I674" s="35"/>
      <c r="J674" s="36" t="str">
        <f aca="false">IF(OR($H674="",$I674=""),"",$H674+MATCH($I674,Listas!$F$5:$F$11,0)-1)</f>
        <v/>
      </c>
      <c r="K674" s="37"/>
      <c r="L674" s="33"/>
      <c r="M674" s="37"/>
      <c r="N674" s="32"/>
      <c r="O674" s="32"/>
      <c r="P674" s="38" t="str">
        <f aca="true">IF($E674="","",IF($L674="Cancelada","Cancelada",IF(OR($K674&lt;&gt;"",$L674="Concluída"),IF(OR($J674="",$K674="",$K674&lt;=$J674),"Concluída","Concluída com atraso"),IF($J674="","Na carteira",IF($J674&lt;TODAY(),"VENCIDA",IF($L674="Em execução","Em execução",IF($J674=TODAY(),"Hoje","Programada")))))))</f>
        <v/>
      </c>
      <c r="Q674" s="31" t="str">
        <f aca="false">IF($E674="","",IF(ISNUMBER(SEARCH("(externo)",$G674)),"Terceirizada","Interna"))</f>
        <v/>
      </c>
      <c r="R674" s="36" t="str">
        <f aca="false">IF($J674="","",IF($M674="",$J674,$M674))</f>
        <v/>
      </c>
      <c r="S674" s="31" t="str">
        <f aca="false">IF($E674="","",IF(OR($K674="",$J674=""),0,IF($K674&lt;=$J674,1,0)))</f>
        <v/>
      </c>
      <c r="T674" s="31" t="str">
        <f aca="false">IF($E674="","",IF(OR($K674="",$R674=""),0,IF($K674&lt;=$R674,1,0)))</f>
        <v/>
      </c>
      <c r="U674" s="38" t="str">
        <f aca="false">IF(OR($K674="",$J674=""),"",MAX(0,$K674-$J674))</f>
        <v/>
      </c>
      <c r="V674" s="31" t="str">
        <f aca="false">IF($E674="","",IF(AND($M674&lt;&gt;"",$J674&lt;&gt;"",$M674&lt;&gt;$J674),1,0))</f>
        <v/>
      </c>
      <c r="W674" s="39" t="str">
        <f aca="false">IF($E674="","",IF($L674="Cancelada",0,IF(OR($K674&lt;&gt;"",$L674="Concluída"),1,0)))</f>
        <v/>
      </c>
    </row>
    <row r="675" customFormat="false" ht="15" hidden="false" customHeight="true" outlineLevel="0" collapsed="false">
      <c r="A675" s="31" t="str">
        <f aca="false">IF($E675="","",COUNTA($E$5:$E675))</f>
        <v/>
      </c>
      <c r="B675" s="32"/>
      <c r="C675" s="32"/>
      <c r="D675" s="32"/>
      <c r="E675" s="32"/>
      <c r="F675" s="33"/>
      <c r="G675" s="32"/>
      <c r="H675" s="34"/>
      <c r="I675" s="35"/>
      <c r="J675" s="36" t="str">
        <f aca="false">IF(OR($H675="",$I675=""),"",$H675+MATCH($I675,Listas!$F$5:$F$11,0)-1)</f>
        <v/>
      </c>
      <c r="K675" s="37"/>
      <c r="L675" s="33"/>
      <c r="M675" s="37"/>
      <c r="N675" s="32"/>
      <c r="O675" s="32"/>
      <c r="P675" s="38" t="str">
        <f aca="true">IF($E675="","",IF($L675="Cancelada","Cancelada",IF(OR($K675&lt;&gt;"",$L675="Concluída"),IF(OR($J675="",$K675="",$K675&lt;=$J675),"Concluída","Concluída com atraso"),IF($J675="","Na carteira",IF($J675&lt;TODAY(),"VENCIDA",IF($L675="Em execução","Em execução",IF($J675=TODAY(),"Hoje","Programada")))))))</f>
        <v/>
      </c>
      <c r="Q675" s="31" t="str">
        <f aca="false">IF($E675="","",IF(ISNUMBER(SEARCH("(externo)",$G675)),"Terceirizada","Interna"))</f>
        <v/>
      </c>
      <c r="R675" s="36" t="str">
        <f aca="false">IF($J675="","",IF($M675="",$J675,$M675))</f>
        <v/>
      </c>
      <c r="S675" s="31" t="str">
        <f aca="false">IF($E675="","",IF(OR($K675="",$J675=""),0,IF($K675&lt;=$J675,1,0)))</f>
        <v/>
      </c>
      <c r="T675" s="31" t="str">
        <f aca="false">IF($E675="","",IF(OR($K675="",$R675=""),0,IF($K675&lt;=$R675,1,0)))</f>
        <v/>
      </c>
      <c r="U675" s="38" t="str">
        <f aca="false">IF(OR($K675="",$J675=""),"",MAX(0,$K675-$J675))</f>
        <v/>
      </c>
      <c r="V675" s="31" t="str">
        <f aca="false">IF($E675="","",IF(AND($M675&lt;&gt;"",$J675&lt;&gt;"",$M675&lt;&gt;$J675),1,0))</f>
        <v/>
      </c>
      <c r="W675" s="39" t="str">
        <f aca="false">IF($E675="","",IF($L675="Cancelada",0,IF(OR($K675&lt;&gt;"",$L675="Concluída"),1,0)))</f>
        <v/>
      </c>
    </row>
    <row r="676" customFormat="false" ht="15" hidden="false" customHeight="true" outlineLevel="0" collapsed="false">
      <c r="A676" s="31" t="str">
        <f aca="false">IF($E676="","",COUNTA($E$5:$E676))</f>
        <v/>
      </c>
      <c r="B676" s="32"/>
      <c r="C676" s="32"/>
      <c r="D676" s="32"/>
      <c r="E676" s="32"/>
      <c r="F676" s="33"/>
      <c r="G676" s="32"/>
      <c r="H676" s="34"/>
      <c r="I676" s="35"/>
      <c r="J676" s="36" t="str">
        <f aca="false">IF(OR($H676="",$I676=""),"",$H676+MATCH($I676,Listas!$F$5:$F$11,0)-1)</f>
        <v/>
      </c>
      <c r="K676" s="37"/>
      <c r="L676" s="33"/>
      <c r="M676" s="37"/>
      <c r="N676" s="32"/>
      <c r="O676" s="32"/>
      <c r="P676" s="38" t="str">
        <f aca="true">IF($E676="","",IF($L676="Cancelada","Cancelada",IF(OR($K676&lt;&gt;"",$L676="Concluída"),IF(OR($J676="",$K676="",$K676&lt;=$J676),"Concluída","Concluída com atraso"),IF($J676="","Na carteira",IF($J676&lt;TODAY(),"VENCIDA",IF($L676="Em execução","Em execução",IF($J676=TODAY(),"Hoje","Programada")))))))</f>
        <v/>
      </c>
      <c r="Q676" s="31" t="str">
        <f aca="false">IF($E676="","",IF(ISNUMBER(SEARCH("(externo)",$G676)),"Terceirizada","Interna"))</f>
        <v/>
      </c>
      <c r="R676" s="36" t="str">
        <f aca="false">IF($J676="","",IF($M676="",$J676,$M676))</f>
        <v/>
      </c>
      <c r="S676" s="31" t="str">
        <f aca="false">IF($E676="","",IF(OR($K676="",$J676=""),0,IF($K676&lt;=$J676,1,0)))</f>
        <v/>
      </c>
      <c r="T676" s="31" t="str">
        <f aca="false">IF($E676="","",IF(OR($K676="",$R676=""),0,IF($K676&lt;=$R676,1,0)))</f>
        <v/>
      </c>
      <c r="U676" s="38" t="str">
        <f aca="false">IF(OR($K676="",$J676=""),"",MAX(0,$K676-$J676))</f>
        <v/>
      </c>
      <c r="V676" s="31" t="str">
        <f aca="false">IF($E676="","",IF(AND($M676&lt;&gt;"",$J676&lt;&gt;"",$M676&lt;&gt;$J676),1,0))</f>
        <v/>
      </c>
      <c r="W676" s="39" t="str">
        <f aca="false">IF($E676="","",IF($L676="Cancelada",0,IF(OR($K676&lt;&gt;"",$L676="Concluída"),1,0)))</f>
        <v/>
      </c>
    </row>
    <row r="677" customFormat="false" ht="15" hidden="false" customHeight="true" outlineLevel="0" collapsed="false">
      <c r="A677" s="31" t="str">
        <f aca="false">IF($E677="","",COUNTA($E$5:$E677))</f>
        <v/>
      </c>
      <c r="B677" s="32"/>
      <c r="C677" s="32"/>
      <c r="D677" s="32"/>
      <c r="E677" s="32"/>
      <c r="F677" s="33"/>
      <c r="G677" s="32"/>
      <c r="H677" s="34"/>
      <c r="I677" s="35"/>
      <c r="J677" s="36" t="str">
        <f aca="false">IF(OR($H677="",$I677=""),"",$H677+MATCH($I677,Listas!$F$5:$F$11,0)-1)</f>
        <v/>
      </c>
      <c r="K677" s="37"/>
      <c r="L677" s="33"/>
      <c r="M677" s="37"/>
      <c r="N677" s="32"/>
      <c r="O677" s="32"/>
      <c r="P677" s="38" t="str">
        <f aca="true">IF($E677="","",IF($L677="Cancelada","Cancelada",IF(OR($K677&lt;&gt;"",$L677="Concluída"),IF(OR($J677="",$K677="",$K677&lt;=$J677),"Concluída","Concluída com atraso"),IF($J677="","Na carteira",IF($J677&lt;TODAY(),"VENCIDA",IF($L677="Em execução","Em execução",IF($J677=TODAY(),"Hoje","Programada")))))))</f>
        <v/>
      </c>
      <c r="Q677" s="31" t="str">
        <f aca="false">IF($E677="","",IF(ISNUMBER(SEARCH("(externo)",$G677)),"Terceirizada","Interna"))</f>
        <v/>
      </c>
      <c r="R677" s="36" t="str">
        <f aca="false">IF($J677="","",IF($M677="",$J677,$M677))</f>
        <v/>
      </c>
      <c r="S677" s="31" t="str">
        <f aca="false">IF($E677="","",IF(OR($K677="",$J677=""),0,IF($K677&lt;=$J677,1,0)))</f>
        <v/>
      </c>
      <c r="T677" s="31" t="str">
        <f aca="false">IF($E677="","",IF(OR($K677="",$R677=""),0,IF($K677&lt;=$R677,1,0)))</f>
        <v/>
      </c>
      <c r="U677" s="38" t="str">
        <f aca="false">IF(OR($K677="",$J677=""),"",MAX(0,$K677-$J677))</f>
        <v/>
      </c>
      <c r="V677" s="31" t="str">
        <f aca="false">IF($E677="","",IF(AND($M677&lt;&gt;"",$J677&lt;&gt;"",$M677&lt;&gt;$J677),1,0))</f>
        <v/>
      </c>
      <c r="W677" s="39" t="str">
        <f aca="false">IF($E677="","",IF($L677="Cancelada",0,IF(OR($K677&lt;&gt;"",$L677="Concluída"),1,0)))</f>
        <v/>
      </c>
    </row>
    <row r="678" customFormat="false" ht="15" hidden="false" customHeight="true" outlineLevel="0" collapsed="false">
      <c r="A678" s="31" t="str">
        <f aca="false">IF($E678="","",COUNTA($E$5:$E678))</f>
        <v/>
      </c>
      <c r="B678" s="32"/>
      <c r="C678" s="32"/>
      <c r="D678" s="32"/>
      <c r="E678" s="32"/>
      <c r="F678" s="33"/>
      <c r="G678" s="32"/>
      <c r="H678" s="34"/>
      <c r="I678" s="35"/>
      <c r="J678" s="36" t="str">
        <f aca="false">IF(OR($H678="",$I678=""),"",$H678+MATCH($I678,Listas!$F$5:$F$11,0)-1)</f>
        <v/>
      </c>
      <c r="K678" s="37"/>
      <c r="L678" s="33"/>
      <c r="M678" s="37"/>
      <c r="N678" s="32"/>
      <c r="O678" s="32"/>
      <c r="P678" s="38" t="str">
        <f aca="true">IF($E678="","",IF($L678="Cancelada","Cancelada",IF(OR($K678&lt;&gt;"",$L678="Concluída"),IF(OR($J678="",$K678="",$K678&lt;=$J678),"Concluída","Concluída com atraso"),IF($J678="","Na carteira",IF($J678&lt;TODAY(),"VENCIDA",IF($L678="Em execução","Em execução",IF($J678=TODAY(),"Hoje","Programada")))))))</f>
        <v/>
      </c>
      <c r="Q678" s="31" t="str">
        <f aca="false">IF($E678="","",IF(ISNUMBER(SEARCH("(externo)",$G678)),"Terceirizada","Interna"))</f>
        <v/>
      </c>
      <c r="R678" s="36" t="str">
        <f aca="false">IF($J678="","",IF($M678="",$J678,$M678))</f>
        <v/>
      </c>
      <c r="S678" s="31" t="str">
        <f aca="false">IF($E678="","",IF(OR($K678="",$J678=""),0,IF($K678&lt;=$J678,1,0)))</f>
        <v/>
      </c>
      <c r="T678" s="31" t="str">
        <f aca="false">IF($E678="","",IF(OR($K678="",$R678=""),0,IF($K678&lt;=$R678,1,0)))</f>
        <v/>
      </c>
      <c r="U678" s="38" t="str">
        <f aca="false">IF(OR($K678="",$J678=""),"",MAX(0,$K678-$J678))</f>
        <v/>
      </c>
      <c r="V678" s="31" t="str">
        <f aca="false">IF($E678="","",IF(AND($M678&lt;&gt;"",$J678&lt;&gt;"",$M678&lt;&gt;$J678),1,0))</f>
        <v/>
      </c>
      <c r="W678" s="39" t="str">
        <f aca="false">IF($E678="","",IF($L678="Cancelada",0,IF(OR($K678&lt;&gt;"",$L678="Concluída"),1,0)))</f>
        <v/>
      </c>
    </row>
    <row r="679" customFormat="false" ht="15" hidden="false" customHeight="true" outlineLevel="0" collapsed="false">
      <c r="A679" s="31" t="str">
        <f aca="false">IF($E679="","",COUNTA($E$5:$E679))</f>
        <v/>
      </c>
      <c r="B679" s="32"/>
      <c r="C679" s="32"/>
      <c r="D679" s="32"/>
      <c r="E679" s="32"/>
      <c r="F679" s="33"/>
      <c r="G679" s="32"/>
      <c r="H679" s="34"/>
      <c r="I679" s="35"/>
      <c r="J679" s="36" t="str">
        <f aca="false">IF(OR($H679="",$I679=""),"",$H679+MATCH($I679,Listas!$F$5:$F$11,0)-1)</f>
        <v/>
      </c>
      <c r="K679" s="37"/>
      <c r="L679" s="33"/>
      <c r="M679" s="37"/>
      <c r="N679" s="32"/>
      <c r="O679" s="32"/>
      <c r="P679" s="38" t="str">
        <f aca="true">IF($E679="","",IF($L679="Cancelada","Cancelada",IF(OR($K679&lt;&gt;"",$L679="Concluída"),IF(OR($J679="",$K679="",$K679&lt;=$J679),"Concluída","Concluída com atraso"),IF($J679="","Na carteira",IF($J679&lt;TODAY(),"VENCIDA",IF($L679="Em execução","Em execução",IF($J679=TODAY(),"Hoje","Programada")))))))</f>
        <v/>
      </c>
      <c r="Q679" s="31" t="str">
        <f aca="false">IF($E679="","",IF(ISNUMBER(SEARCH("(externo)",$G679)),"Terceirizada","Interna"))</f>
        <v/>
      </c>
      <c r="R679" s="36" t="str">
        <f aca="false">IF($J679="","",IF($M679="",$J679,$M679))</f>
        <v/>
      </c>
      <c r="S679" s="31" t="str">
        <f aca="false">IF($E679="","",IF(OR($K679="",$J679=""),0,IF($K679&lt;=$J679,1,0)))</f>
        <v/>
      </c>
      <c r="T679" s="31" t="str">
        <f aca="false">IF($E679="","",IF(OR($K679="",$R679=""),0,IF($K679&lt;=$R679,1,0)))</f>
        <v/>
      </c>
      <c r="U679" s="38" t="str">
        <f aca="false">IF(OR($K679="",$J679=""),"",MAX(0,$K679-$J679))</f>
        <v/>
      </c>
      <c r="V679" s="31" t="str">
        <f aca="false">IF($E679="","",IF(AND($M679&lt;&gt;"",$J679&lt;&gt;"",$M679&lt;&gt;$J679),1,0))</f>
        <v/>
      </c>
      <c r="W679" s="39" t="str">
        <f aca="false">IF($E679="","",IF($L679="Cancelada",0,IF(OR($K679&lt;&gt;"",$L679="Concluída"),1,0)))</f>
        <v/>
      </c>
    </row>
    <row r="680" customFormat="false" ht="15" hidden="false" customHeight="true" outlineLevel="0" collapsed="false">
      <c r="A680" s="31" t="str">
        <f aca="false">IF($E680="","",COUNTA($E$5:$E680))</f>
        <v/>
      </c>
      <c r="B680" s="32"/>
      <c r="C680" s="32"/>
      <c r="D680" s="32"/>
      <c r="E680" s="32"/>
      <c r="F680" s="33"/>
      <c r="G680" s="32"/>
      <c r="H680" s="34"/>
      <c r="I680" s="35"/>
      <c r="J680" s="36" t="str">
        <f aca="false">IF(OR($H680="",$I680=""),"",$H680+MATCH($I680,Listas!$F$5:$F$11,0)-1)</f>
        <v/>
      </c>
      <c r="K680" s="37"/>
      <c r="L680" s="33"/>
      <c r="M680" s="37"/>
      <c r="N680" s="32"/>
      <c r="O680" s="32"/>
      <c r="P680" s="38" t="str">
        <f aca="true">IF($E680="","",IF($L680="Cancelada","Cancelada",IF(OR($K680&lt;&gt;"",$L680="Concluída"),IF(OR($J680="",$K680="",$K680&lt;=$J680),"Concluída","Concluída com atraso"),IF($J680="","Na carteira",IF($J680&lt;TODAY(),"VENCIDA",IF($L680="Em execução","Em execução",IF($J680=TODAY(),"Hoje","Programada")))))))</f>
        <v/>
      </c>
      <c r="Q680" s="31" t="str">
        <f aca="false">IF($E680="","",IF(ISNUMBER(SEARCH("(externo)",$G680)),"Terceirizada","Interna"))</f>
        <v/>
      </c>
      <c r="R680" s="36" t="str">
        <f aca="false">IF($J680="","",IF($M680="",$J680,$M680))</f>
        <v/>
      </c>
      <c r="S680" s="31" t="str">
        <f aca="false">IF($E680="","",IF(OR($K680="",$J680=""),0,IF($K680&lt;=$J680,1,0)))</f>
        <v/>
      </c>
      <c r="T680" s="31" t="str">
        <f aca="false">IF($E680="","",IF(OR($K680="",$R680=""),0,IF($K680&lt;=$R680,1,0)))</f>
        <v/>
      </c>
      <c r="U680" s="38" t="str">
        <f aca="false">IF(OR($K680="",$J680=""),"",MAX(0,$K680-$J680))</f>
        <v/>
      </c>
      <c r="V680" s="31" t="str">
        <f aca="false">IF($E680="","",IF(AND($M680&lt;&gt;"",$J680&lt;&gt;"",$M680&lt;&gt;$J680),1,0))</f>
        <v/>
      </c>
      <c r="W680" s="39" t="str">
        <f aca="false">IF($E680="","",IF($L680="Cancelada",0,IF(OR($K680&lt;&gt;"",$L680="Concluída"),1,0)))</f>
        <v/>
      </c>
    </row>
    <row r="681" customFormat="false" ht="15" hidden="false" customHeight="true" outlineLevel="0" collapsed="false">
      <c r="A681" s="31" t="str">
        <f aca="false">IF($E681="","",COUNTA($E$5:$E681))</f>
        <v/>
      </c>
      <c r="B681" s="32"/>
      <c r="C681" s="32"/>
      <c r="D681" s="32"/>
      <c r="E681" s="32"/>
      <c r="F681" s="33"/>
      <c r="G681" s="32"/>
      <c r="H681" s="34"/>
      <c r="I681" s="35"/>
      <c r="J681" s="36" t="str">
        <f aca="false">IF(OR($H681="",$I681=""),"",$H681+MATCH($I681,Listas!$F$5:$F$11,0)-1)</f>
        <v/>
      </c>
      <c r="K681" s="37"/>
      <c r="L681" s="33"/>
      <c r="M681" s="37"/>
      <c r="N681" s="32"/>
      <c r="O681" s="32"/>
      <c r="P681" s="38" t="str">
        <f aca="true">IF($E681="","",IF($L681="Cancelada","Cancelada",IF(OR($K681&lt;&gt;"",$L681="Concluída"),IF(OR($J681="",$K681="",$K681&lt;=$J681),"Concluída","Concluída com atraso"),IF($J681="","Na carteira",IF($J681&lt;TODAY(),"VENCIDA",IF($L681="Em execução","Em execução",IF($J681=TODAY(),"Hoje","Programada")))))))</f>
        <v/>
      </c>
      <c r="Q681" s="31" t="str">
        <f aca="false">IF($E681="","",IF(ISNUMBER(SEARCH("(externo)",$G681)),"Terceirizada","Interna"))</f>
        <v/>
      </c>
      <c r="R681" s="36" t="str">
        <f aca="false">IF($J681="","",IF($M681="",$J681,$M681))</f>
        <v/>
      </c>
      <c r="S681" s="31" t="str">
        <f aca="false">IF($E681="","",IF(OR($K681="",$J681=""),0,IF($K681&lt;=$J681,1,0)))</f>
        <v/>
      </c>
      <c r="T681" s="31" t="str">
        <f aca="false">IF($E681="","",IF(OR($K681="",$R681=""),0,IF($K681&lt;=$R681,1,0)))</f>
        <v/>
      </c>
      <c r="U681" s="38" t="str">
        <f aca="false">IF(OR($K681="",$J681=""),"",MAX(0,$K681-$J681))</f>
        <v/>
      </c>
      <c r="V681" s="31" t="str">
        <f aca="false">IF($E681="","",IF(AND($M681&lt;&gt;"",$J681&lt;&gt;"",$M681&lt;&gt;$J681),1,0))</f>
        <v/>
      </c>
      <c r="W681" s="39" t="str">
        <f aca="false">IF($E681="","",IF($L681="Cancelada",0,IF(OR($K681&lt;&gt;"",$L681="Concluída"),1,0)))</f>
        <v/>
      </c>
    </row>
    <row r="682" customFormat="false" ht="15" hidden="false" customHeight="true" outlineLevel="0" collapsed="false">
      <c r="A682" s="31" t="str">
        <f aca="false">IF($E682="","",COUNTA($E$5:$E682))</f>
        <v/>
      </c>
      <c r="B682" s="32"/>
      <c r="C682" s="32"/>
      <c r="D682" s="32"/>
      <c r="E682" s="32"/>
      <c r="F682" s="33"/>
      <c r="G682" s="32"/>
      <c r="H682" s="34"/>
      <c r="I682" s="35"/>
      <c r="J682" s="36" t="str">
        <f aca="false">IF(OR($H682="",$I682=""),"",$H682+MATCH($I682,Listas!$F$5:$F$11,0)-1)</f>
        <v/>
      </c>
      <c r="K682" s="37"/>
      <c r="L682" s="33"/>
      <c r="M682" s="37"/>
      <c r="N682" s="32"/>
      <c r="O682" s="32"/>
      <c r="P682" s="38" t="str">
        <f aca="true">IF($E682="","",IF($L682="Cancelada","Cancelada",IF(OR($K682&lt;&gt;"",$L682="Concluída"),IF(OR($J682="",$K682="",$K682&lt;=$J682),"Concluída","Concluída com atraso"),IF($J682="","Na carteira",IF($J682&lt;TODAY(),"VENCIDA",IF($L682="Em execução","Em execução",IF($J682=TODAY(),"Hoje","Programada")))))))</f>
        <v/>
      </c>
      <c r="Q682" s="31" t="str">
        <f aca="false">IF($E682="","",IF(ISNUMBER(SEARCH("(externo)",$G682)),"Terceirizada","Interna"))</f>
        <v/>
      </c>
      <c r="R682" s="36" t="str">
        <f aca="false">IF($J682="","",IF($M682="",$J682,$M682))</f>
        <v/>
      </c>
      <c r="S682" s="31" t="str">
        <f aca="false">IF($E682="","",IF(OR($K682="",$J682=""),0,IF($K682&lt;=$J682,1,0)))</f>
        <v/>
      </c>
      <c r="T682" s="31" t="str">
        <f aca="false">IF($E682="","",IF(OR($K682="",$R682=""),0,IF($K682&lt;=$R682,1,0)))</f>
        <v/>
      </c>
      <c r="U682" s="38" t="str">
        <f aca="false">IF(OR($K682="",$J682=""),"",MAX(0,$K682-$J682))</f>
        <v/>
      </c>
      <c r="V682" s="31" t="str">
        <f aca="false">IF($E682="","",IF(AND($M682&lt;&gt;"",$J682&lt;&gt;"",$M682&lt;&gt;$J682),1,0))</f>
        <v/>
      </c>
      <c r="W682" s="39" t="str">
        <f aca="false">IF($E682="","",IF($L682="Cancelada",0,IF(OR($K682&lt;&gt;"",$L682="Concluída"),1,0)))</f>
        <v/>
      </c>
    </row>
    <row r="683" customFormat="false" ht="15" hidden="false" customHeight="true" outlineLevel="0" collapsed="false">
      <c r="A683" s="31" t="str">
        <f aca="false">IF($E683="","",COUNTA($E$5:$E683))</f>
        <v/>
      </c>
      <c r="B683" s="32"/>
      <c r="C683" s="32"/>
      <c r="D683" s="32"/>
      <c r="E683" s="32"/>
      <c r="F683" s="33"/>
      <c r="G683" s="32"/>
      <c r="H683" s="34"/>
      <c r="I683" s="35"/>
      <c r="J683" s="36" t="str">
        <f aca="false">IF(OR($H683="",$I683=""),"",$H683+MATCH($I683,Listas!$F$5:$F$11,0)-1)</f>
        <v/>
      </c>
      <c r="K683" s="37"/>
      <c r="L683" s="33"/>
      <c r="M683" s="37"/>
      <c r="N683" s="32"/>
      <c r="O683" s="32"/>
      <c r="P683" s="38" t="str">
        <f aca="true">IF($E683="","",IF($L683="Cancelada","Cancelada",IF(OR($K683&lt;&gt;"",$L683="Concluída"),IF(OR($J683="",$K683="",$K683&lt;=$J683),"Concluída","Concluída com atraso"),IF($J683="","Na carteira",IF($J683&lt;TODAY(),"VENCIDA",IF($L683="Em execução","Em execução",IF($J683=TODAY(),"Hoje","Programada")))))))</f>
        <v/>
      </c>
      <c r="Q683" s="31" t="str">
        <f aca="false">IF($E683="","",IF(ISNUMBER(SEARCH("(externo)",$G683)),"Terceirizada","Interna"))</f>
        <v/>
      </c>
      <c r="R683" s="36" t="str">
        <f aca="false">IF($J683="","",IF($M683="",$J683,$M683))</f>
        <v/>
      </c>
      <c r="S683" s="31" t="str">
        <f aca="false">IF($E683="","",IF(OR($K683="",$J683=""),0,IF($K683&lt;=$J683,1,0)))</f>
        <v/>
      </c>
      <c r="T683" s="31" t="str">
        <f aca="false">IF($E683="","",IF(OR($K683="",$R683=""),0,IF($K683&lt;=$R683,1,0)))</f>
        <v/>
      </c>
      <c r="U683" s="38" t="str">
        <f aca="false">IF(OR($K683="",$J683=""),"",MAX(0,$K683-$J683))</f>
        <v/>
      </c>
      <c r="V683" s="31" t="str">
        <f aca="false">IF($E683="","",IF(AND($M683&lt;&gt;"",$J683&lt;&gt;"",$M683&lt;&gt;$J683),1,0))</f>
        <v/>
      </c>
      <c r="W683" s="39" t="str">
        <f aca="false">IF($E683="","",IF($L683="Cancelada",0,IF(OR($K683&lt;&gt;"",$L683="Concluída"),1,0)))</f>
        <v/>
      </c>
    </row>
    <row r="684" customFormat="false" ht="15" hidden="false" customHeight="true" outlineLevel="0" collapsed="false">
      <c r="A684" s="31" t="str">
        <f aca="false">IF($E684="","",COUNTA($E$5:$E684))</f>
        <v/>
      </c>
      <c r="B684" s="32"/>
      <c r="C684" s="32"/>
      <c r="D684" s="32"/>
      <c r="E684" s="32"/>
      <c r="F684" s="33"/>
      <c r="G684" s="32"/>
      <c r="H684" s="34"/>
      <c r="I684" s="35"/>
      <c r="J684" s="36" t="str">
        <f aca="false">IF(OR($H684="",$I684=""),"",$H684+MATCH($I684,Listas!$F$5:$F$11,0)-1)</f>
        <v/>
      </c>
      <c r="K684" s="37"/>
      <c r="L684" s="33"/>
      <c r="M684" s="37"/>
      <c r="N684" s="32"/>
      <c r="O684" s="32"/>
      <c r="P684" s="38" t="str">
        <f aca="true">IF($E684="","",IF($L684="Cancelada","Cancelada",IF(OR($K684&lt;&gt;"",$L684="Concluída"),IF(OR($J684="",$K684="",$K684&lt;=$J684),"Concluída","Concluída com atraso"),IF($J684="","Na carteira",IF($J684&lt;TODAY(),"VENCIDA",IF($L684="Em execução","Em execução",IF($J684=TODAY(),"Hoje","Programada")))))))</f>
        <v/>
      </c>
      <c r="Q684" s="31" t="str">
        <f aca="false">IF($E684="","",IF(ISNUMBER(SEARCH("(externo)",$G684)),"Terceirizada","Interna"))</f>
        <v/>
      </c>
      <c r="R684" s="36" t="str">
        <f aca="false">IF($J684="","",IF($M684="",$J684,$M684))</f>
        <v/>
      </c>
      <c r="S684" s="31" t="str">
        <f aca="false">IF($E684="","",IF(OR($K684="",$J684=""),0,IF($K684&lt;=$J684,1,0)))</f>
        <v/>
      </c>
      <c r="T684" s="31" t="str">
        <f aca="false">IF($E684="","",IF(OR($K684="",$R684=""),0,IF($K684&lt;=$R684,1,0)))</f>
        <v/>
      </c>
      <c r="U684" s="38" t="str">
        <f aca="false">IF(OR($K684="",$J684=""),"",MAX(0,$K684-$J684))</f>
        <v/>
      </c>
      <c r="V684" s="31" t="str">
        <f aca="false">IF($E684="","",IF(AND($M684&lt;&gt;"",$J684&lt;&gt;"",$M684&lt;&gt;$J684),1,0))</f>
        <v/>
      </c>
      <c r="W684" s="39" t="str">
        <f aca="false">IF($E684="","",IF($L684="Cancelada",0,IF(OR($K684&lt;&gt;"",$L684="Concluída"),1,0)))</f>
        <v/>
      </c>
    </row>
    <row r="685" customFormat="false" ht="15" hidden="false" customHeight="true" outlineLevel="0" collapsed="false">
      <c r="A685" s="31" t="str">
        <f aca="false">IF($E685="","",COUNTA($E$5:$E685))</f>
        <v/>
      </c>
      <c r="B685" s="32"/>
      <c r="C685" s="32"/>
      <c r="D685" s="32"/>
      <c r="E685" s="32"/>
      <c r="F685" s="33"/>
      <c r="G685" s="32"/>
      <c r="H685" s="34"/>
      <c r="I685" s="35"/>
      <c r="J685" s="36" t="str">
        <f aca="false">IF(OR($H685="",$I685=""),"",$H685+MATCH($I685,Listas!$F$5:$F$11,0)-1)</f>
        <v/>
      </c>
      <c r="K685" s="37"/>
      <c r="L685" s="33"/>
      <c r="M685" s="37"/>
      <c r="N685" s="32"/>
      <c r="O685" s="32"/>
      <c r="P685" s="38" t="str">
        <f aca="true">IF($E685="","",IF($L685="Cancelada","Cancelada",IF(OR($K685&lt;&gt;"",$L685="Concluída"),IF(OR($J685="",$K685="",$K685&lt;=$J685),"Concluída","Concluída com atraso"),IF($J685="","Na carteira",IF($J685&lt;TODAY(),"VENCIDA",IF($L685="Em execução","Em execução",IF($J685=TODAY(),"Hoje","Programada")))))))</f>
        <v/>
      </c>
      <c r="Q685" s="31" t="str">
        <f aca="false">IF($E685="","",IF(ISNUMBER(SEARCH("(externo)",$G685)),"Terceirizada","Interna"))</f>
        <v/>
      </c>
      <c r="R685" s="36" t="str">
        <f aca="false">IF($J685="","",IF($M685="",$J685,$M685))</f>
        <v/>
      </c>
      <c r="S685" s="31" t="str">
        <f aca="false">IF($E685="","",IF(OR($K685="",$J685=""),0,IF($K685&lt;=$J685,1,0)))</f>
        <v/>
      </c>
      <c r="T685" s="31" t="str">
        <f aca="false">IF($E685="","",IF(OR($K685="",$R685=""),0,IF($K685&lt;=$R685,1,0)))</f>
        <v/>
      </c>
      <c r="U685" s="38" t="str">
        <f aca="false">IF(OR($K685="",$J685=""),"",MAX(0,$K685-$J685))</f>
        <v/>
      </c>
      <c r="V685" s="31" t="str">
        <f aca="false">IF($E685="","",IF(AND($M685&lt;&gt;"",$J685&lt;&gt;"",$M685&lt;&gt;$J685),1,0))</f>
        <v/>
      </c>
      <c r="W685" s="39" t="str">
        <f aca="false">IF($E685="","",IF($L685="Cancelada",0,IF(OR($K685&lt;&gt;"",$L685="Concluída"),1,0)))</f>
        <v/>
      </c>
    </row>
    <row r="686" customFormat="false" ht="15" hidden="false" customHeight="true" outlineLevel="0" collapsed="false">
      <c r="A686" s="31" t="str">
        <f aca="false">IF($E686="","",COUNTA($E$5:$E686))</f>
        <v/>
      </c>
      <c r="B686" s="32"/>
      <c r="C686" s="32"/>
      <c r="D686" s="32"/>
      <c r="E686" s="32"/>
      <c r="F686" s="33"/>
      <c r="G686" s="32"/>
      <c r="H686" s="34"/>
      <c r="I686" s="35"/>
      <c r="J686" s="36" t="str">
        <f aca="false">IF(OR($H686="",$I686=""),"",$H686+MATCH($I686,Listas!$F$5:$F$11,0)-1)</f>
        <v/>
      </c>
      <c r="K686" s="37"/>
      <c r="L686" s="33"/>
      <c r="M686" s="37"/>
      <c r="N686" s="32"/>
      <c r="O686" s="32"/>
      <c r="P686" s="38" t="str">
        <f aca="true">IF($E686="","",IF($L686="Cancelada","Cancelada",IF(OR($K686&lt;&gt;"",$L686="Concluída"),IF(OR($J686="",$K686="",$K686&lt;=$J686),"Concluída","Concluída com atraso"),IF($J686="","Na carteira",IF($J686&lt;TODAY(),"VENCIDA",IF($L686="Em execução","Em execução",IF($J686=TODAY(),"Hoje","Programada")))))))</f>
        <v/>
      </c>
      <c r="Q686" s="31" t="str">
        <f aca="false">IF($E686="","",IF(ISNUMBER(SEARCH("(externo)",$G686)),"Terceirizada","Interna"))</f>
        <v/>
      </c>
      <c r="R686" s="36" t="str">
        <f aca="false">IF($J686="","",IF($M686="",$J686,$M686))</f>
        <v/>
      </c>
      <c r="S686" s="31" t="str">
        <f aca="false">IF($E686="","",IF(OR($K686="",$J686=""),0,IF($K686&lt;=$J686,1,0)))</f>
        <v/>
      </c>
      <c r="T686" s="31" t="str">
        <f aca="false">IF($E686="","",IF(OR($K686="",$R686=""),0,IF($K686&lt;=$R686,1,0)))</f>
        <v/>
      </c>
      <c r="U686" s="38" t="str">
        <f aca="false">IF(OR($K686="",$J686=""),"",MAX(0,$K686-$J686))</f>
        <v/>
      </c>
      <c r="V686" s="31" t="str">
        <f aca="false">IF($E686="","",IF(AND($M686&lt;&gt;"",$J686&lt;&gt;"",$M686&lt;&gt;$J686),1,0))</f>
        <v/>
      </c>
      <c r="W686" s="39" t="str">
        <f aca="false">IF($E686="","",IF($L686="Cancelada",0,IF(OR($K686&lt;&gt;"",$L686="Concluída"),1,0)))</f>
        <v/>
      </c>
    </row>
    <row r="687" customFormat="false" ht="15" hidden="false" customHeight="true" outlineLevel="0" collapsed="false">
      <c r="A687" s="31" t="str">
        <f aca="false">IF($E687="","",COUNTA($E$5:$E687))</f>
        <v/>
      </c>
      <c r="B687" s="32"/>
      <c r="C687" s="32"/>
      <c r="D687" s="32"/>
      <c r="E687" s="32"/>
      <c r="F687" s="33"/>
      <c r="G687" s="32"/>
      <c r="H687" s="34"/>
      <c r="I687" s="35"/>
      <c r="J687" s="36" t="str">
        <f aca="false">IF(OR($H687="",$I687=""),"",$H687+MATCH($I687,Listas!$F$5:$F$11,0)-1)</f>
        <v/>
      </c>
      <c r="K687" s="37"/>
      <c r="L687" s="33"/>
      <c r="M687" s="37"/>
      <c r="N687" s="32"/>
      <c r="O687" s="32"/>
      <c r="P687" s="38" t="str">
        <f aca="true">IF($E687="","",IF($L687="Cancelada","Cancelada",IF(OR($K687&lt;&gt;"",$L687="Concluída"),IF(OR($J687="",$K687="",$K687&lt;=$J687),"Concluída","Concluída com atraso"),IF($J687="","Na carteira",IF($J687&lt;TODAY(),"VENCIDA",IF($L687="Em execução","Em execução",IF($J687=TODAY(),"Hoje","Programada")))))))</f>
        <v/>
      </c>
      <c r="Q687" s="31" t="str">
        <f aca="false">IF($E687="","",IF(ISNUMBER(SEARCH("(externo)",$G687)),"Terceirizada","Interna"))</f>
        <v/>
      </c>
      <c r="R687" s="36" t="str">
        <f aca="false">IF($J687="","",IF($M687="",$J687,$M687))</f>
        <v/>
      </c>
      <c r="S687" s="31" t="str">
        <f aca="false">IF($E687="","",IF(OR($K687="",$J687=""),0,IF($K687&lt;=$J687,1,0)))</f>
        <v/>
      </c>
      <c r="T687" s="31" t="str">
        <f aca="false">IF($E687="","",IF(OR($K687="",$R687=""),0,IF($K687&lt;=$R687,1,0)))</f>
        <v/>
      </c>
      <c r="U687" s="38" t="str">
        <f aca="false">IF(OR($K687="",$J687=""),"",MAX(0,$K687-$J687))</f>
        <v/>
      </c>
      <c r="V687" s="31" t="str">
        <f aca="false">IF($E687="","",IF(AND($M687&lt;&gt;"",$J687&lt;&gt;"",$M687&lt;&gt;$J687),1,0))</f>
        <v/>
      </c>
      <c r="W687" s="39" t="str">
        <f aca="false">IF($E687="","",IF($L687="Cancelada",0,IF(OR($K687&lt;&gt;"",$L687="Concluída"),1,0)))</f>
        <v/>
      </c>
    </row>
    <row r="688" customFormat="false" ht="15" hidden="false" customHeight="true" outlineLevel="0" collapsed="false">
      <c r="A688" s="31" t="str">
        <f aca="false">IF($E688="","",COUNTA($E$5:$E688))</f>
        <v/>
      </c>
      <c r="B688" s="32"/>
      <c r="C688" s="32"/>
      <c r="D688" s="32"/>
      <c r="E688" s="32"/>
      <c r="F688" s="33"/>
      <c r="G688" s="32"/>
      <c r="H688" s="34"/>
      <c r="I688" s="35"/>
      <c r="J688" s="36" t="str">
        <f aca="false">IF(OR($H688="",$I688=""),"",$H688+MATCH($I688,Listas!$F$5:$F$11,0)-1)</f>
        <v/>
      </c>
      <c r="K688" s="37"/>
      <c r="L688" s="33"/>
      <c r="M688" s="37"/>
      <c r="N688" s="32"/>
      <c r="O688" s="32"/>
      <c r="P688" s="38" t="str">
        <f aca="true">IF($E688="","",IF($L688="Cancelada","Cancelada",IF(OR($K688&lt;&gt;"",$L688="Concluída"),IF(OR($J688="",$K688="",$K688&lt;=$J688),"Concluída","Concluída com atraso"),IF($J688="","Na carteira",IF($J688&lt;TODAY(),"VENCIDA",IF($L688="Em execução","Em execução",IF($J688=TODAY(),"Hoje","Programada")))))))</f>
        <v/>
      </c>
      <c r="Q688" s="31" t="str">
        <f aca="false">IF($E688="","",IF(ISNUMBER(SEARCH("(externo)",$G688)),"Terceirizada","Interna"))</f>
        <v/>
      </c>
      <c r="R688" s="36" t="str">
        <f aca="false">IF($J688="","",IF($M688="",$J688,$M688))</f>
        <v/>
      </c>
      <c r="S688" s="31" t="str">
        <f aca="false">IF($E688="","",IF(OR($K688="",$J688=""),0,IF($K688&lt;=$J688,1,0)))</f>
        <v/>
      </c>
      <c r="T688" s="31" t="str">
        <f aca="false">IF($E688="","",IF(OR($K688="",$R688=""),0,IF($K688&lt;=$R688,1,0)))</f>
        <v/>
      </c>
      <c r="U688" s="38" t="str">
        <f aca="false">IF(OR($K688="",$J688=""),"",MAX(0,$K688-$J688))</f>
        <v/>
      </c>
      <c r="V688" s="31" t="str">
        <f aca="false">IF($E688="","",IF(AND($M688&lt;&gt;"",$J688&lt;&gt;"",$M688&lt;&gt;$J688),1,0))</f>
        <v/>
      </c>
      <c r="W688" s="39" t="str">
        <f aca="false">IF($E688="","",IF($L688="Cancelada",0,IF(OR($K688&lt;&gt;"",$L688="Concluída"),1,0)))</f>
        <v/>
      </c>
    </row>
    <row r="689" customFormat="false" ht="15" hidden="false" customHeight="true" outlineLevel="0" collapsed="false">
      <c r="A689" s="31" t="str">
        <f aca="false">IF($E689="","",COUNTA($E$5:$E689))</f>
        <v/>
      </c>
      <c r="B689" s="32"/>
      <c r="C689" s="32"/>
      <c r="D689" s="32"/>
      <c r="E689" s="32"/>
      <c r="F689" s="33"/>
      <c r="G689" s="32"/>
      <c r="H689" s="34"/>
      <c r="I689" s="35"/>
      <c r="J689" s="36" t="str">
        <f aca="false">IF(OR($H689="",$I689=""),"",$H689+MATCH($I689,Listas!$F$5:$F$11,0)-1)</f>
        <v/>
      </c>
      <c r="K689" s="37"/>
      <c r="L689" s="33"/>
      <c r="M689" s="37"/>
      <c r="N689" s="32"/>
      <c r="O689" s="32"/>
      <c r="P689" s="38" t="str">
        <f aca="true">IF($E689="","",IF($L689="Cancelada","Cancelada",IF(OR($K689&lt;&gt;"",$L689="Concluída"),IF(OR($J689="",$K689="",$K689&lt;=$J689),"Concluída","Concluída com atraso"),IF($J689="","Na carteira",IF($J689&lt;TODAY(),"VENCIDA",IF($L689="Em execução","Em execução",IF($J689=TODAY(),"Hoje","Programada")))))))</f>
        <v/>
      </c>
      <c r="Q689" s="31" t="str">
        <f aca="false">IF($E689="","",IF(ISNUMBER(SEARCH("(externo)",$G689)),"Terceirizada","Interna"))</f>
        <v/>
      </c>
      <c r="R689" s="36" t="str">
        <f aca="false">IF($J689="","",IF($M689="",$J689,$M689))</f>
        <v/>
      </c>
      <c r="S689" s="31" t="str">
        <f aca="false">IF($E689="","",IF(OR($K689="",$J689=""),0,IF($K689&lt;=$J689,1,0)))</f>
        <v/>
      </c>
      <c r="T689" s="31" t="str">
        <f aca="false">IF($E689="","",IF(OR($K689="",$R689=""),0,IF($K689&lt;=$R689,1,0)))</f>
        <v/>
      </c>
      <c r="U689" s="38" t="str">
        <f aca="false">IF(OR($K689="",$J689=""),"",MAX(0,$K689-$J689))</f>
        <v/>
      </c>
      <c r="V689" s="31" t="str">
        <f aca="false">IF($E689="","",IF(AND($M689&lt;&gt;"",$J689&lt;&gt;"",$M689&lt;&gt;$J689),1,0))</f>
        <v/>
      </c>
      <c r="W689" s="39" t="str">
        <f aca="false">IF($E689="","",IF($L689="Cancelada",0,IF(OR($K689&lt;&gt;"",$L689="Concluída"),1,0)))</f>
        <v/>
      </c>
    </row>
    <row r="690" customFormat="false" ht="15" hidden="false" customHeight="true" outlineLevel="0" collapsed="false">
      <c r="A690" s="31" t="str">
        <f aca="false">IF($E690="","",COUNTA($E$5:$E690))</f>
        <v/>
      </c>
      <c r="B690" s="32"/>
      <c r="C690" s="32"/>
      <c r="D690" s="32"/>
      <c r="E690" s="32"/>
      <c r="F690" s="33"/>
      <c r="G690" s="32"/>
      <c r="H690" s="34"/>
      <c r="I690" s="35"/>
      <c r="J690" s="36" t="str">
        <f aca="false">IF(OR($H690="",$I690=""),"",$H690+MATCH($I690,Listas!$F$5:$F$11,0)-1)</f>
        <v/>
      </c>
      <c r="K690" s="37"/>
      <c r="L690" s="33"/>
      <c r="M690" s="37"/>
      <c r="N690" s="32"/>
      <c r="O690" s="32"/>
      <c r="P690" s="38" t="str">
        <f aca="true">IF($E690="","",IF($L690="Cancelada","Cancelada",IF(OR($K690&lt;&gt;"",$L690="Concluída"),IF(OR($J690="",$K690="",$K690&lt;=$J690),"Concluída","Concluída com atraso"),IF($J690="","Na carteira",IF($J690&lt;TODAY(),"VENCIDA",IF($L690="Em execução","Em execução",IF($J690=TODAY(),"Hoje","Programada")))))))</f>
        <v/>
      </c>
      <c r="Q690" s="31" t="str">
        <f aca="false">IF($E690="","",IF(ISNUMBER(SEARCH("(externo)",$G690)),"Terceirizada","Interna"))</f>
        <v/>
      </c>
      <c r="R690" s="36" t="str">
        <f aca="false">IF($J690="","",IF($M690="",$J690,$M690))</f>
        <v/>
      </c>
      <c r="S690" s="31" t="str">
        <f aca="false">IF($E690="","",IF(OR($K690="",$J690=""),0,IF($K690&lt;=$J690,1,0)))</f>
        <v/>
      </c>
      <c r="T690" s="31" t="str">
        <f aca="false">IF($E690="","",IF(OR($K690="",$R690=""),0,IF($K690&lt;=$R690,1,0)))</f>
        <v/>
      </c>
      <c r="U690" s="38" t="str">
        <f aca="false">IF(OR($K690="",$J690=""),"",MAX(0,$K690-$J690))</f>
        <v/>
      </c>
      <c r="V690" s="31" t="str">
        <f aca="false">IF($E690="","",IF(AND($M690&lt;&gt;"",$J690&lt;&gt;"",$M690&lt;&gt;$J690),1,0))</f>
        <v/>
      </c>
      <c r="W690" s="39" t="str">
        <f aca="false">IF($E690="","",IF($L690="Cancelada",0,IF(OR($K690&lt;&gt;"",$L690="Concluída"),1,0)))</f>
        <v/>
      </c>
    </row>
    <row r="691" customFormat="false" ht="15" hidden="false" customHeight="true" outlineLevel="0" collapsed="false">
      <c r="A691" s="31" t="str">
        <f aca="false">IF($E691="","",COUNTA($E$5:$E691))</f>
        <v/>
      </c>
      <c r="B691" s="32"/>
      <c r="C691" s="32"/>
      <c r="D691" s="32"/>
      <c r="E691" s="32"/>
      <c r="F691" s="33"/>
      <c r="G691" s="32"/>
      <c r="H691" s="34"/>
      <c r="I691" s="35"/>
      <c r="J691" s="36" t="str">
        <f aca="false">IF(OR($H691="",$I691=""),"",$H691+MATCH($I691,Listas!$F$5:$F$11,0)-1)</f>
        <v/>
      </c>
      <c r="K691" s="37"/>
      <c r="L691" s="33"/>
      <c r="M691" s="37"/>
      <c r="N691" s="32"/>
      <c r="O691" s="32"/>
      <c r="P691" s="38" t="str">
        <f aca="true">IF($E691="","",IF($L691="Cancelada","Cancelada",IF(OR($K691&lt;&gt;"",$L691="Concluída"),IF(OR($J691="",$K691="",$K691&lt;=$J691),"Concluída","Concluída com atraso"),IF($J691="","Na carteira",IF($J691&lt;TODAY(),"VENCIDA",IF($L691="Em execução","Em execução",IF($J691=TODAY(),"Hoje","Programada")))))))</f>
        <v/>
      </c>
      <c r="Q691" s="31" t="str">
        <f aca="false">IF($E691="","",IF(ISNUMBER(SEARCH("(externo)",$G691)),"Terceirizada","Interna"))</f>
        <v/>
      </c>
      <c r="R691" s="36" t="str">
        <f aca="false">IF($J691="","",IF($M691="",$J691,$M691))</f>
        <v/>
      </c>
      <c r="S691" s="31" t="str">
        <f aca="false">IF($E691="","",IF(OR($K691="",$J691=""),0,IF($K691&lt;=$J691,1,0)))</f>
        <v/>
      </c>
      <c r="T691" s="31" t="str">
        <f aca="false">IF($E691="","",IF(OR($K691="",$R691=""),0,IF($K691&lt;=$R691,1,0)))</f>
        <v/>
      </c>
      <c r="U691" s="38" t="str">
        <f aca="false">IF(OR($K691="",$J691=""),"",MAX(0,$K691-$J691))</f>
        <v/>
      </c>
      <c r="V691" s="31" t="str">
        <f aca="false">IF($E691="","",IF(AND($M691&lt;&gt;"",$J691&lt;&gt;"",$M691&lt;&gt;$J691),1,0))</f>
        <v/>
      </c>
      <c r="W691" s="39" t="str">
        <f aca="false">IF($E691="","",IF($L691="Cancelada",0,IF(OR($K691&lt;&gt;"",$L691="Concluída"),1,0)))</f>
        <v/>
      </c>
    </row>
    <row r="692" customFormat="false" ht="15" hidden="false" customHeight="true" outlineLevel="0" collapsed="false">
      <c r="A692" s="31" t="str">
        <f aca="false">IF($E692="","",COUNTA($E$5:$E692))</f>
        <v/>
      </c>
      <c r="B692" s="32"/>
      <c r="C692" s="32"/>
      <c r="D692" s="32"/>
      <c r="E692" s="32"/>
      <c r="F692" s="33"/>
      <c r="G692" s="32"/>
      <c r="H692" s="34"/>
      <c r="I692" s="35"/>
      <c r="J692" s="36" t="str">
        <f aca="false">IF(OR($H692="",$I692=""),"",$H692+MATCH($I692,Listas!$F$5:$F$11,0)-1)</f>
        <v/>
      </c>
      <c r="K692" s="37"/>
      <c r="L692" s="33"/>
      <c r="M692" s="37"/>
      <c r="N692" s="32"/>
      <c r="O692" s="32"/>
      <c r="P692" s="38" t="str">
        <f aca="true">IF($E692="","",IF($L692="Cancelada","Cancelada",IF(OR($K692&lt;&gt;"",$L692="Concluída"),IF(OR($J692="",$K692="",$K692&lt;=$J692),"Concluída","Concluída com atraso"),IF($J692="","Na carteira",IF($J692&lt;TODAY(),"VENCIDA",IF($L692="Em execução","Em execução",IF($J692=TODAY(),"Hoje","Programada")))))))</f>
        <v/>
      </c>
      <c r="Q692" s="31" t="str">
        <f aca="false">IF($E692="","",IF(ISNUMBER(SEARCH("(externo)",$G692)),"Terceirizada","Interna"))</f>
        <v/>
      </c>
      <c r="R692" s="36" t="str">
        <f aca="false">IF($J692="","",IF($M692="",$J692,$M692))</f>
        <v/>
      </c>
      <c r="S692" s="31" t="str">
        <f aca="false">IF($E692="","",IF(OR($K692="",$J692=""),0,IF($K692&lt;=$J692,1,0)))</f>
        <v/>
      </c>
      <c r="T692" s="31" t="str">
        <f aca="false">IF($E692="","",IF(OR($K692="",$R692=""),0,IF($K692&lt;=$R692,1,0)))</f>
        <v/>
      </c>
      <c r="U692" s="38" t="str">
        <f aca="false">IF(OR($K692="",$J692=""),"",MAX(0,$K692-$J692))</f>
        <v/>
      </c>
      <c r="V692" s="31" t="str">
        <f aca="false">IF($E692="","",IF(AND($M692&lt;&gt;"",$J692&lt;&gt;"",$M692&lt;&gt;$J692),1,0))</f>
        <v/>
      </c>
      <c r="W692" s="39" t="str">
        <f aca="false">IF($E692="","",IF($L692="Cancelada",0,IF(OR($K692&lt;&gt;"",$L692="Concluída"),1,0)))</f>
        <v/>
      </c>
    </row>
    <row r="693" customFormat="false" ht="15" hidden="false" customHeight="true" outlineLevel="0" collapsed="false">
      <c r="A693" s="31" t="str">
        <f aca="false">IF($E693="","",COUNTA($E$5:$E693))</f>
        <v/>
      </c>
      <c r="B693" s="32"/>
      <c r="C693" s="32"/>
      <c r="D693" s="32"/>
      <c r="E693" s="32"/>
      <c r="F693" s="33"/>
      <c r="G693" s="32"/>
      <c r="H693" s="34"/>
      <c r="I693" s="35"/>
      <c r="J693" s="36" t="str">
        <f aca="false">IF(OR($H693="",$I693=""),"",$H693+MATCH($I693,Listas!$F$5:$F$11,0)-1)</f>
        <v/>
      </c>
      <c r="K693" s="37"/>
      <c r="L693" s="33"/>
      <c r="M693" s="37"/>
      <c r="N693" s="32"/>
      <c r="O693" s="32"/>
      <c r="P693" s="38" t="str">
        <f aca="true">IF($E693="","",IF($L693="Cancelada","Cancelada",IF(OR($K693&lt;&gt;"",$L693="Concluída"),IF(OR($J693="",$K693="",$K693&lt;=$J693),"Concluída","Concluída com atraso"),IF($J693="","Na carteira",IF($J693&lt;TODAY(),"VENCIDA",IF($L693="Em execução","Em execução",IF($J693=TODAY(),"Hoje","Programada")))))))</f>
        <v/>
      </c>
      <c r="Q693" s="31" t="str">
        <f aca="false">IF($E693="","",IF(ISNUMBER(SEARCH("(externo)",$G693)),"Terceirizada","Interna"))</f>
        <v/>
      </c>
      <c r="R693" s="36" t="str">
        <f aca="false">IF($J693="","",IF($M693="",$J693,$M693))</f>
        <v/>
      </c>
      <c r="S693" s="31" t="str">
        <f aca="false">IF($E693="","",IF(OR($K693="",$J693=""),0,IF($K693&lt;=$J693,1,0)))</f>
        <v/>
      </c>
      <c r="T693" s="31" t="str">
        <f aca="false">IF($E693="","",IF(OR($K693="",$R693=""),0,IF($K693&lt;=$R693,1,0)))</f>
        <v/>
      </c>
      <c r="U693" s="38" t="str">
        <f aca="false">IF(OR($K693="",$J693=""),"",MAX(0,$K693-$J693))</f>
        <v/>
      </c>
      <c r="V693" s="31" t="str">
        <f aca="false">IF($E693="","",IF(AND($M693&lt;&gt;"",$J693&lt;&gt;"",$M693&lt;&gt;$J693),1,0))</f>
        <v/>
      </c>
      <c r="W693" s="39" t="str">
        <f aca="false">IF($E693="","",IF($L693="Cancelada",0,IF(OR($K693&lt;&gt;"",$L693="Concluída"),1,0)))</f>
        <v/>
      </c>
    </row>
    <row r="694" customFormat="false" ht="15" hidden="false" customHeight="true" outlineLevel="0" collapsed="false">
      <c r="A694" s="31" t="str">
        <f aca="false">IF($E694="","",COUNTA($E$5:$E694))</f>
        <v/>
      </c>
      <c r="B694" s="32"/>
      <c r="C694" s="32"/>
      <c r="D694" s="32"/>
      <c r="E694" s="32"/>
      <c r="F694" s="33"/>
      <c r="G694" s="32"/>
      <c r="H694" s="34"/>
      <c r="I694" s="35"/>
      <c r="J694" s="36" t="str">
        <f aca="false">IF(OR($H694="",$I694=""),"",$H694+MATCH($I694,Listas!$F$5:$F$11,0)-1)</f>
        <v/>
      </c>
      <c r="K694" s="37"/>
      <c r="L694" s="33"/>
      <c r="M694" s="37"/>
      <c r="N694" s="32"/>
      <c r="O694" s="32"/>
      <c r="P694" s="38" t="str">
        <f aca="true">IF($E694="","",IF($L694="Cancelada","Cancelada",IF(OR($K694&lt;&gt;"",$L694="Concluída"),IF(OR($J694="",$K694="",$K694&lt;=$J694),"Concluída","Concluída com atraso"),IF($J694="","Na carteira",IF($J694&lt;TODAY(),"VENCIDA",IF($L694="Em execução","Em execução",IF($J694=TODAY(),"Hoje","Programada")))))))</f>
        <v/>
      </c>
      <c r="Q694" s="31" t="str">
        <f aca="false">IF($E694="","",IF(ISNUMBER(SEARCH("(externo)",$G694)),"Terceirizada","Interna"))</f>
        <v/>
      </c>
      <c r="R694" s="36" t="str">
        <f aca="false">IF($J694="","",IF($M694="",$J694,$M694))</f>
        <v/>
      </c>
      <c r="S694" s="31" t="str">
        <f aca="false">IF($E694="","",IF(OR($K694="",$J694=""),0,IF($K694&lt;=$J694,1,0)))</f>
        <v/>
      </c>
      <c r="T694" s="31" t="str">
        <f aca="false">IF($E694="","",IF(OR($K694="",$R694=""),0,IF($K694&lt;=$R694,1,0)))</f>
        <v/>
      </c>
      <c r="U694" s="38" t="str">
        <f aca="false">IF(OR($K694="",$J694=""),"",MAX(0,$K694-$J694))</f>
        <v/>
      </c>
      <c r="V694" s="31" t="str">
        <f aca="false">IF($E694="","",IF(AND($M694&lt;&gt;"",$J694&lt;&gt;"",$M694&lt;&gt;$J694),1,0))</f>
        <v/>
      </c>
      <c r="W694" s="39" t="str">
        <f aca="false">IF($E694="","",IF($L694="Cancelada",0,IF(OR($K694&lt;&gt;"",$L694="Concluída"),1,0)))</f>
        <v/>
      </c>
    </row>
    <row r="695" customFormat="false" ht="15" hidden="false" customHeight="true" outlineLevel="0" collapsed="false">
      <c r="A695" s="31" t="str">
        <f aca="false">IF($E695="","",COUNTA($E$5:$E695))</f>
        <v/>
      </c>
      <c r="B695" s="32"/>
      <c r="C695" s="32"/>
      <c r="D695" s="32"/>
      <c r="E695" s="32"/>
      <c r="F695" s="33"/>
      <c r="G695" s="32"/>
      <c r="H695" s="34"/>
      <c r="I695" s="35"/>
      <c r="J695" s="36" t="str">
        <f aca="false">IF(OR($H695="",$I695=""),"",$H695+MATCH($I695,Listas!$F$5:$F$11,0)-1)</f>
        <v/>
      </c>
      <c r="K695" s="37"/>
      <c r="L695" s="33"/>
      <c r="M695" s="37"/>
      <c r="N695" s="32"/>
      <c r="O695" s="32"/>
      <c r="P695" s="38" t="str">
        <f aca="true">IF($E695="","",IF($L695="Cancelada","Cancelada",IF(OR($K695&lt;&gt;"",$L695="Concluída"),IF(OR($J695="",$K695="",$K695&lt;=$J695),"Concluída","Concluída com atraso"),IF($J695="","Na carteira",IF($J695&lt;TODAY(),"VENCIDA",IF($L695="Em execução","Em execução",IF($J695=TODAY(),"Hoje","Programada")))))))</f>
        <v/>
      </c>
      <c r="Q695" s="31" t="str">
        <f aca="false">IF($E695="","",IF(ISNUMBER(SEARCH("(externo)",$G695)),"Terceirizada","Interna"))</f>
        <v/>
      </c>
      <c r="R695" s="36" t="str">
        <f aca="false">IF($J695="","",IF($M695="",$J695,$M695))</f>
        <v/>
      </c>
      <c r="S695" s="31" t="str">
        <f aca="false">IF($E695="","",IF(OR($K695="",$J695=""),0,IF($K695&lt;=$J695,1,0)))</f>
        <v/>
      </c>
      <c r="T695" s="31" t="str">
        <f aca="false">IF($E695="","",IF(OR($K695="",$R695=""),0,IF($K695&lt;=$R695,1,0)))</f>
        <v/>
      </c>
      <c r="U695" s="38" t="str">
        <f aca="false">IF(OR($K695="",$J695=""),"",MAX(0,$K695-$J695))</f>
        <v/>
      </c>
      <c r="V695" s="31" t="str">
        <f aca="false">IF($E695="","",IF(AND($M695&lt;&gt;"",$J695&lt;&gt;"",$M695&lt;&gt;$J695),1,0))</f>
        <v/>
      </c>
      <c r="W695" s="39" t="str">
        <f aca="false">IF($E695="","",IF($L695="Cancelada",0,IF(OR($K695&lt;&gt;"",$L695="Concluída"),1,0)))</f>
        <v/>
      </c>
    </row>
    <row r="696" customFormat="false" ht="15" hidden="false" customHeight="true" outlineLevel="0" collapsed="false">
      <c r="A696" s="31" t="str">
        <f aca="false">IF($E696="","",COUNTA($E$5:$E696))</f>
        <v/>
      </c>
      <c r="B696" s="32"/>
      <c r="C696" s="32"/>
      <c r="D696" s="32"/>
      <c r="E696" s="32"/>
      <c r="F696" s="33"/>
      <c r="G696" s="32"/>
      <c r="H696" s="34"/>
      <c r="I696" s="35"/>
      <c r="J696" s="36" t="str">
        <f aca="false">IF(OR($H696="",$I696=""),"",$H696+MATCH($I696,Listas!$F$5:$F$11,0)-1)</f>
        <v/>
      </c>
      <c r="K696" s="37"/>
      <c r="L696" s="33"/>
      <c r="M696" s="37"/>
      <c r="N696" s="32"/>
      <c r="O696" s="32"/>
      <c r="P696" s="38" t="str">
        <f aca="true">IF($E696="","",IF($L696="Cancelada","Cancelada",IF(OR($K696&lt;&gt;"",$L696="Concluída"),IF(OR($J696="",$K696="",$K696&lt;=$J696),"Concluída","Concluída com atraso"),IF($J696="","Na carteira",IF($J696&lt;TODAY(),"VENCIDA",IF($L696="Em execução","Em execução",IF($J696=TODAY(),"Hoje","Programada")))))))</f>
        <v/>
      </c>
      <c r="Q696" s="31" t="str">
        <f aca="false">IF($E696="","",IF(ISNUMBER(SEARCH("(externo)",$G696)),"Terceirizada","Interna"))</f>
        <v/>
      </c>
      <c r="R696" s="36" t="str">
        <f aca="false">IF($J696="","",IF($M696="",$J696,$M696))</f>
        <v/>
      </c>
      <c r="S696" s="31" t="str">
        <f aca="false">IF($E696="","",IF(OR($K696="",$J696=""),0,IF($K696&lt;=$J696,1,0)))</f>
        <v/>
      </c>
      <c r="T696" s="31" t="str">
        <f aca="false">IF($E696="","",IF(OR($K696="",$R696=""),0,IF($K696&lt;=$R696,1,0)))</f>
        <v/>
      </c>
      <c r="U696" s="38" t="str">
        <f aca="false">IF(OR($K696="",$J696=""),"",MAX(0,$K696-$J696))</f>
        <v/>
      </c>
      <c r="V696" s="31" t="str">
        <f aca="false">IF($E696="","",IF(AND($M696&lt;&gt;"",$J696&lt;&gt;"",$M696&lt;&gt;$J696),1,0))</f>
        <v/>
      </c>
      <c r="W696" s="39" t="str">
        <f aca="false">IF($E696="","",IF($L696="Cancelada",0,IF(OR($K696&lt;&gt;"",$L696="Concluída"),1,0)))</f>
        <v/>
      </c>
    </row>
    <row r="697" customFormat="false" ht="15" hidden="false" customHeight="true" outlineLevel="0" collapsed="false">
      <c r="A697" s="31" t="str">
        <f aca="false">IF($E697="","",COUNTA($E$5:$E697))</f>
        <v/>
      </c>
      <c r="B697" s="32"/>
      <c r="C697" s="32"/>
      <c r="D697" s="32"/>
      <c r="E697" s="32"/>
      <c r="F697" s="33"/>
      <c r="G697" s="32"/>
      <c r="H697" s="34"/>
      <c r="I697" s="35"/>
      <c r="J697" s="36" t="str">
        <f aca="false">IF(OR($H697="",$I697=""),"",$H697+MATCH($I697,Listas!$F$5:$F$11,0)-1)</f>
        <v/>
      </c>
      <c r="K697" s="37"/>
      <c r="L697" s="33"/>
      <c r="M697" s="37"/>
      <c r="N697" s="32"/>
      <c r="O697" s="32"/>
      <c r="P697" s="38" t="str">
        <f aca="true">IF($E697="","",IF($L697="Cancelada","Cancelada",IF(OR($K697&lt;&gt;"",$L697="Concluída"),IF(OR($J697="",$K697="",$K697&lt;=$J697),"Concluída","Concluída com atraso"),IF($J697="","Na carteira",IF($J697&lt;TODAY(),"VENCIDA",IF($L697="Em execução","Em execução",IF($J697=TODAY(),"Hoje","Programada")))))))</f>
        <v/>
      </c>
      <c r="Q697" s="31" t="str">
        <f aca="false">IF($E697="","",IF(ISNUMBER(SEARCH("(externo)",$G697)),"Terceirizada","Interna"))</f>
        <v/>
      </c>
      <c r="R697" s="36" t="str">
        <f aca="false">IF($J697="","",IF($M697="",$J697,$M697))</f>
        <v/>
      </c>
      <c r="S697" s="31" t="str">
        <f aca="false">IF($E697="","",IF(OR($K697="",$J697=""),0,IF($K697&lt;=$J697,1,0)))</f>
        <v/>
      </c>
      <c r="T697" s="31" t="str">
        <f aca="false">IF($E697="","",IF(OR($K697="",$R697=""),0,IF($K697&lt;=$R697,1,0)))</f>
        <v/>
      </c>
      <c r="U697" s="38" t="str">
        <f aca="false">IF(OR($K697="",$J697=""),"",MAX(0,$K697-$J697))</f>
        <v/>
      </c>
      <c r="V697" s="31" t="str">
        <f aca="false">IF($E697="","",IF(AND($M697&lt;&gt;"",$J697&lt;&gt;"",$M697&lt;&gt;$J697),1,0))</f>
        <v/>
      </c>
      <c r="W697" s="39" t="str">
        <f aca="false">IF($E697="","",IF($L697="Cancelada",0,IF(OR($K697&lt;&gt;"",$L697="Concluída"),1,0)))</f>
        <v/>
      </c>
    </row>
    <row r="698" customFormat="false" ht="15" hidden="false" customHeight="true" outlineLevel="0" collapsed="false">
      <c r="A698" s="31" t="str">
        <f aca="false">IF($E698="","",COUNTA($E$5:$E698))</f>
        <v/>
      </c>
      <c r="B698" s="32"/>
      <c r="C698" s="32"/>
      <c r="D698" s="32"/>
      <c r="E698" s="32"/>
      <c r="F698" s="33"/>
      <c r="G698" s="32"/>
      <c r="H698" s="34"/>
      <c r="I698" s="35"/>
      <c r="J698" s="36" t="str">
        <f aca="false">IF(OR($H698="",$I698=""),"",$H698+MATCH($I698,Listas!$F$5:$F$11,0)-1)</f>
        <v/>
      </c>
      <c r="K698" s="37"/>
      <c r="L698" s="33"/>
      <c r="M698" s="37"/>
      <c r="N698" s="32"/>
      <c r="O698" s="32"/>
      <c r="P698" s="38" t="str">
        <f aca="true">IF($E698="","",IF($L698="Cancelada","Cancelada",IF(OR($K698&lt;&gt;"",$L698="Concluída"),IF(OR($J698="",$K698="",$K698&lt;=$J698),"Concluída","Concluída com atraso"),IF($J698="","Na carteira",IF($J698&lt;TODAY(),"VENCIDA",IF($L698="Em execução","Em execução",IF($J698=TODAY(),"Hoje","Programada")))))))</f>
        <v/>
      </c>
      <c r="Q698" s="31" t="str">
        <f aca="false">IF($E698="","",IF(ISNUMBER(SEARCH("(externo)",$G698)),"Terceirizada","Interna"))</f>
        <v/>
      </c>
      <c r="R698" s="36" t="str">
        <f aca="false">IF($J698="","",IF($M698="",$J698,$M698))</f>
        <v/>
      </c>
      <c r="S698" s="31" t="str">
        <f aca="false">IF($E698="","",IF(OR($K698="",$J698=""),0,IF($K698&lt;=$J698,1,0)))</f>
        <v/>
      </c>
      <c r="T698" s="31" t="str">
        <f aca="false">IF($E698="","",IF(OR($K698="",$R698=""),0,IF($K698&lt;=$R698,1,0)))</f>
        <v/>
      </c>
      <c r="U698" s="38" t="str">
        <f aca="false">IF(OR($K698="",$J698=""),"",MAX(0,$K698-$J698))</f>
        <v/>
      </c>
      <c r="V698" s="31" t="str">
        <f aca="false">IF($E698="","",IF(AND($M698&lt;&gt;"",$J698&lt;&gt;"",$M698&lt;&gt;$J698),1,0))</f>
        <v/>
      </c>
      <c r="W698" s="39" t="str">
        <f aca="false">IF($E698="","",IF($L698="Cancelada",0,IF(OR($K698&lt;&gt;"",$L698="Concluída"),1,0)))</f>
        <v/>
      </c>
    </row>
    <row r="699" customFormat="false" ht="15" hidden="false" customHeight="true" outlineLevel="0" collapsed="false">
      <c r="A699" s="31" t="str">
        <f aca="false">IF($E699="","",COUNTA($E$5:$E699))</f>
        <v/>
      </c>
      <c r="B699" s="32"/>
      <c r="C699" s="32"/>
      <c r="D699" s="32"/>
      <c r="E699" s="32"/>
      <c r="F699" s="33"/>
      <c r="G699" s="32"/>
      <c r="H699" s="34"/>
      <c r="I699" s="35"/>
      <c r="J699" s="36" t="str">
        <f aca="false">IF(OR($H699="",$I699=""),"",$H699+MATCH($I699,Listas!$F$5:$F$11,0)-1)</f>
        <v/>
      </c>
      <c r="K699" s="37"/>
      <c r="L699" s="33"/>
      <c r="M699" s="37"/>
      <c r="N699" s="32"/>
      <c r="O699" s="32"/>
      <c r="P699" s="38" t="str">
        <f aca="true">IF($E699="","",IF($L699="Cancelada","Cancelada",IF(OR($K699&lt;&gt;"",$L699="Concluída"),IF(OR($J699="",$K699="",$K699&lt;=$J699),"Concluída","Concluída com atraso"),IF($J699="","Na carteira",IF($J699&lt;TODAY(),"VENCIDA",IF($L699="Em execução","Em execução",IF($J699=TODAY(),"Hoje","Programada")))))))</f>
        <v/>
      </c>
      <c r="Q699" s="31" t="str">
        <f aca="false">IF($E699="","",IF(ISNUMBER(SEARCH("(externo)",$G699)),"Terceirizada","Interna"))</f>
        <v/>
      </c>
      <c r="R699" s="36" t="str">
        <f aca="false">IF($J699="","",IF($M699="",$J699,$M699))</f>
        <v/>
      </c>
      <c r="S699" s="31" t="str">
        <f aca="false">IF($E699="","",IF(OR($K699="",$J699=""),0,IF($K699&lt;=$J699,1,0)))</f>
        <v/>
      </c>
      <c r="T699" s="31" t="str">
        <f aca="false">IF($E699="","",IF(OR($K699="",$R699=""),0,IF($K699&lt;=$R699,1,0)))</f>
        <v/>
      </c>
      <c r="U699" s="38" t="str">
        <f aca="false">IF(OR($K699="",$J699=""),"",MAX(0,$K699-$J699))</f>
        <v/>
      </c>
      <c r="V699" s="31" t="str">
        <f aca="false">IF($E699="","",IF(AND($M699&lt;&gt;"",$J699&lt;&gt;"",$M699&lt;&gt;$J699),1,0))</f>
        <v/>
      </c>
      <c r="W699" s="39" t="str">
        <f aca="false">IF($E699="","",IF($L699="Cancelada",0,IF(OR($K699&lt;&gt;"",$L699="Concluída"),1,0)))</f>
        <v/>
      </c>
    </row>
    <row r="700" customFormat="false" ht="15" hidden="false" customHeight="true" outlineLevel="0" collapsed="false">
      <c r="A700" s="31" t="str">
        <f aca="false">IF($E700="","",COUNTA($E$5:$E700))</f>
        <v/>
      </c>
      <c r="B700" s="32"/>
      <c r="C700" s="32"/>
      <c r="D700" s="32"/>
      <c r="E700" s="32"/>
      <c r="F700" s="33"/>
      <c r="G700" s="32"/>
      <c r="H700" s="34"/>
      <c r="I700" s="35"/>
      <c r="J700" s="36" t="str">
        <f aca="false">IF(OR($H700="",$I700=""),"",$H700+MATCH($I700,Listas!$F$5:$F$11,0)-1)</f>
        <v/>
      </c>
      <c r="K700" s="37"/>
      <c r="L700" s="33"/>
      <c r="M700" s="37"/>
      <c r="N700" s="32"/>
      <c r="O700" s="32"/>
      <c r="P700" s="38" t="str">
        <f aca="true">IF($E700="","",IF($L700="Cancelada","Cancelada",IF(OR($K700&lt;&gt;"",$L700="Concluída"),IF(OR($J700="",$K700="",$K700&lt;=$J700),"Concluída","Concluída com atraso"),IF($J700="","Na carteira",IF($J700&lt;TODAY(),"VENCIDA",IF($L700="Em execução","Em execução",IF($J700=TODAY(),"Hoje","Programada")))))))</f>
        <v/>
      </c>
      <c r="Q700" s="31" t="str">
        <f aca="false">IF($E700="","",IF(ISNUMBER(SEARCH("(externo)",$G700)),"Terceirizada","Interna"))</f>
        <v/>
      </c>
      <c r="R700" s="36" t="str">
        <f aca="false">IF($J700="","",IF($M700="",$J700,$M700))</f>
        <v/>
      </c>
      <c r="S700" s="31" t="str">
        <f aca="false">IF($E700="","",IF(OR($K700="",$J700=""),0,IF($K700&lt;=$J700,1,0)))</f>
        <v/>
      </c>
      <c r="T700" s="31" t="str">
        <f aca="false">IF($E700="","",IF(OR($K700="",$R700=""),0,IF($K700&lt;=$R700,1,0)))</f>
        <v/>
      </c>
      <c r="U700" s="38" t="str">
        <f aca="false">IF(OR($K700="",$J700=""),"",MAX(0,$K700-$J700))</f>
        <v/>
      </c>
      <c r="V700" s="31" t="str">
        <f aca="false">IF($E700="","",IF(AND($M700&lt;&gt;"",$J700&lt;&gt;"",$M700&lt;&gt;$J700),1,0))</f>
        <v/>
      </c>
      <c r="W700" s="39" t="str">
        <f aca="false">IF($E700="","",IF($L700="Cancelada",0,IF(OR($K700&lt;&gt;"",$L700="Concluída"),1,0)))</f>
        <v/>
      </c>
    </row>
    <row r="701" customFormat="false" ht="15" hidden="false" customHeight="true" outlineLevel="0" collapsed="false">
      <c r="A701" s="31" t="str">
        <f aca="false">IF($E701="","",COUNTA($E$5:$E701))</f>
        <v/>
      </c>
      <c r="B701" s="32"/>
      <c r="C701" s="32"/>
      <c r="D701" s="32"/>
      <c r="E701" s="32"/>
      <c r="F701" s="33"/>
      <c r="G701" s="32"/>
      <c r="H701" s="34"/>
      <c r="I701" s="35"/>
      <c r="J701" s="36" t="str">
        <f aca="false">IF(OR($H701="",$I701=""),"",$H701+MATCH($I701,Listas!$F$5:$F$11,0)-1)</f>
        <v/>
      </c>
      <c r="K701" s="37"/>
      <c r="L701" s="33"/>
      <c r="M701" s="37"/>
      <c r="N701" s="32"/>
      <c r="O701" s="32"/>
      <c r="P701" s="38" t="str">
        <f aca="true">IF($E701="","",IF($L701="Cancelada","Cancelada",IF(OR($K701&lt;&gt;"",$L701="Concluída"),IF(OR($J701="",$K701="",$K701&lt;=$J701),"Concluída","Concluída com atraso"),IF($J701="","Na carteira",IF($J701&lt;TODAY(),"VENCIDA",IF($L701="Em execução","Em execução",IF($J701=TODAY(),"Hoje","Programada")))))))</f>
        <v/>
      </c>
      <c r="Q701" s="31" t="str">
        <f aca="false">IF($E701="","",IF(ISNUMBER(SEARCH("(externo)",$G701)),"Terceirizada","Interna"))</f>
        <v/>
      </c>
      <c r="R701" s="36" t="str">
        <f aca="false">IF($J701="","",IF($M701="",$J701,$M701))</f>
        <v/>
      </c>
      <c r="S701" s="31" t="str">
        <f aca="false">IF($E701="","",IF(OR($K701="",$J701=""),0,IF($K701&lt;=$J701,1,0)))</f>
        <v/>
      </c>
      <c r="T701" s="31" t="str">
        <f aca="false">IF($E701="","",IF(OR($K701="",$R701=""),0,IF($K701&lt;=$R701,1,0)))</f>
        <v/>
      </c>
      <c r="U701" s="38" t="str">
        <f aca="false">IF(OR($K701="",$J701=""),"",MAX(0,$K701-$J701))</f>
        <v/>
      </c>
      <c r="V701" s="31" t="str">
        <f aca="false">IF($E701="","",IF(AND($M701&lt;&gt;"",$J701&lt;&gt;"",$M701&lt;&gt;$J701),1,0))</f>
        <v/>
      </c>
      <c r="W701" s="39" t="str">
        <f aca="false">IF($E701="","",IF($L701="Cancelada",0,IF(OR($K701&lt;&gt;"",$L701="Concluída"),1,0)))</f>
        <v/>
      </c>
    </row>
    <row r="702" customFormat="false" ht="15" hidden="false" customHeight="true" outlineLevel="0" collapsed="false">
      <c r="A702" s="31" t="str">
        <f aca="false">IF($E702="","",COUNTA($E$5:$E702))</f>
        <v/>
      </c>
      <c r="B702" s="32"/>
      <c r="C702" s="32"/>
      <c r="D702" s="32"/>
      <c r="E702" s="32"/>
      <c r="F702" s="33"/>
      <c r="G702" s="32"/>
      <c r="H702" s="34"/>
      <c r="I702" s="35"/>
      <c r="J702" s="36" t="str">
        <f aca="false">IF(OR($H702="",$I702=""),"",$H702+MATCH($I702,Listas!$F$5:$F$11,0)-1)</f>
        <v/>
      </c>
      <c r="K702" s="37"/>
      <c r="L702" s="33"/>
      <c r="M702" s="37"/>
      <c r="N702" s="32"/>
      <c r="O702" s="32"/>
      <c r="P702" s="38" t="str">
        <f aca="true">IF($E702="","",IF($L702="Cancelada","Cancelada",IF(OR($K702&lt;&gt;"",$L702="Concluída"),IF(OR($J702="",$K702="",$K702&lt;=$J702),"Concluída","Concluída com atraso"),IF($J702="","Na carteira",IF($J702&lt;TODAY(),"VENCIDA",IF($L702="Em execução","Em execução",IF($J702=TODAY(),"Hoje","Programada")))))))</f>
        <v/>
      </c>
      <c r="Q702" s="31" t="str">
        <f aca="false">IF($E702="","",IF(ISNUMBER(SEARCH("(externo)",$G702)),"Terceirizada","Interna"))</f>
        <v/>
      </c>
      <c r="R702" s="36" t="str">
        <f aca="false">IF($J702="","",IF($M702="",$J702,$M702))</f>
        <v/>
      </c>
      <c r="S702" s="31" t="str">
        <f aca="false">IF($E702="","",IF(OR($K702="",$J702=""),0,IF($K702&lt;=$J702,1,0)))</f>
        <v/>
      </c>
      <c r="T702" s="31" t="str">
        <f aca="false">IF($E702="","",IF(OR($K702="",$R702=""),0,IF($K702&lt;=$R702,1,0)))</f>
        <v/>
      </c>
      <c r="U702" s="38" t="str">
        <f aca="false">IF(OR($K702="",$J702=""),"",MAX(0,$K702-$J702))</f>
        <v/>
      </c>
      <c r="V702" s="31" t="str">
        <f aca="false">IF($E702="","",IF(AND($M702&lt;&gt;"",$J702&lt;&gt;"",$M702&lt;&gt;$J702),1,0))</f>
        <v/>
      </c>
      <c r="W702" s="39" t="str">
        <f aca="false">IF($E702="","",IF($L702="Cancelada",0,IF(OR($K702&lt;&gt;"",$L702="Concluída"),1,0)))</f>
        <v/>
      </c>
    </row>
    <row r="703" customFormat="false" ht="15" hidden="false" customHeight="true" outlineLevel="0" collapsed="false">
      <c r="A703" s="31" t="str">
        <f aca="false">IF($E703="","",COUNTA($E$5:$E703))</f>
        <v/>
      </c>
      <c r="B703" s="32"/>
      <c r="C703" s="32"/>
      <c r="D703" s="32"/>
      <c r="E703" s="32"/>
      <c r="F703" s="33"/>
      <c r="G703" s="32"/>
      <c r="H703" s="34"/>
      <c r="I703" s="35"/>
      <c r="J703" s="36" t="str">
        <f aca="false">IF(OR($H703="",$I703=""),"",$H703+MATCH($I703,Listas!$F$5:$F$11,0)-1)</f>
        <v/>
      </c>
      <c r="K703" s="37"/>
      <c r="L703" s="33"/>
      <c r="M703" s="37"/>
      <c r="N703" s="32"/>
      <c r="O703" s="32"/>
      <c r="P703" s="38" t="str">
        <f aca="true">IF($E703="","",IF($L703="Cancelada","Cancelada",IF(OR($K703&lt;&gt;"",$L703="Concluída"),IF(OR($J703="",$K703="",$K703&lt;=$J703),"Concluída","Concluída com atraso"),IF($J703="","Na carteira",IF($J703&lt;TODAY(),"VENCIDA",IF($L703="Em execução","Em execução",IF($J703=TODAY(),"Hoje","Programada")))))))</f>
        <v/>
      </c>
      <c r="Q703" s="31" t="str">
        <f aca="false">IF($E703="","",IF(ISNUMBER(SEARCH("(externo)",$G703)),"Terceirizada","Interna"))</f>
        <v/>
      </c>
      <c r="R703" s="36" t="str">
        <f aca="false">IF($J703="","",IF($M703="",$J703,$M703))</f>
        <v/>
      </c>
      <c r="S703" s="31" t="str">
        <f aca="false">IF($E703="","",IF(OR($K703="",$J703=""),0,IF($K703&lt;=$J703,1,0)))</f>
        <v/>
      </c>
      <c r="T703" s="31" t="str">
        <f aca="false">IF($E703="","",IF(OR($K703="",$R703=""),0,IF($K703&lt;=$R703,1,0)))</f>
        <v/>
      </c>
      <c r="U703" s="38" t="str">
        <f aca="false">IF(OR($K703="",$J703=""),"",MAX(0,$K703-$J703))</f>
        <v/>
      </c>
      <c r="V703" s="31" t="str">
        <f aca="false">IF($E703="","",IF(AND($M703&lt;&gt;"",$J703&lt;&gt;"",$M703&lt;&gt;$J703),1,0))</f>
        <v/>
      </c>
      <c r="W703" s="39" t="str">
        <f aca="false">IF($E703="","",IF($L703="Cancelada",0,IF(OR($K703&lt;&gt;"",$L703="Concluída"),1,0)))</f>
        <v/>
      </c>
    </row>
    <row r="704" customFormat="false" ht="15" hidden="false" customHeight="true" outlineLevel="0" collapsed="false">
      <c r="A704" s="31" t="str">
        <f aca="false">IF($E704="","",COUNTA($E$5:$E704))</f>
        <v/>
      </c>
      <c r="B704" s="32"/>
      <c r="C704" s="32"/>
      <c r="D704" s="32"/>
      <c r="E704" s="32"/>
      <c r="F704" s="33"/>
      <c r="G704" s="32"/>
      <c r="H704" s="34"/>
      <c r="I704" s="35"/>
      <c r="J704" s="36" t="str">
        <f aca="false">IF(OR($H704="",$I704=""),"",$H704+MATCH($I704,Listas!$F$5:$F$11,0)-1)</f>
        <v/>
      </c>
      <c r="K704" s="37"/>
      <c r="L704" s="33"/>
      <c r="M704" s="37"/>
      <c r="N704" s="32"/>
      <c r="O704" s="32"/>
      <c r="P704" s="38" t="str">
        <f aca="true">IF($E704="","",IF($L704="Cancelada","Cancelada",IF(OR($K704&lt;&gt;"",$L704="Concluída"),IF(OR($J704="",$K704="",$K704&lt;=$J704),"Concluída","Concluída com atraso"),IF($J704="","Na carteira",IF($J704&lt;TODAY(),"VENCIDA",IF($L704="Em execução","Em execução",IF($J704=TODAY(),"Hoje","Programada")))))))</f>
        <v/>
      </c>
      <c r="Q704" s="31" t="str">
        <f aca="false">IF($E704="","",IF(ISNUMBER(SEARCH("(externo)",$G704)),"Terceirizada","Interna"))</f>
        <v/>
      </c>
      <c r="R704" s="36" t="str">
        <f aca="false">IF($J704="","",IF($M704="",$J704,$M704))</f>
        <v/>
      </c>
      <c r="S704" s="31" t="str">
        <f aca="false">IF($E704="","",IF(OR($K704="",$J704=""),0,IF($K704&lt;=$J704,1,0)))</f>
        <v/>
      </c>
      <c r="T704" s="31" t="str">
        <f aca="false">IF($E704="","",IF(OR($K704="",$R704=""),0,IF($K704&lt;=$R704,1,0)))</f>
        <v/>
      </c>
      <c r="U704" s="38" t="str">
        <f aca="false">IF(OR($K704="",$J704=""),"",MAX(0,$K704-$J704))</f>
        <v/>
      </c>
      <c r="V704" s="31" t="str">
        <f aca="false">IF($E704="","",IF(AND($M704&lt;&gt;"",$J704&lt;&gt;"",$M704&lt;&gt;$J704),1,0))</f>
        <v/>
      </c>
      <c r="W704" s="39" t="str">
        <f aca="false">IF($E704="","",IF($L704="Cancelada",0,IF(OR($K704&lt;&gt;"",$L704="Concluída"),1,0)))</f>
        <v/>
      </c>
    </row>
    <row r="705" customFormat="false" ht="15" hidden="false" customHeight="true" outlineLevel="0" collapsed="false">
      <c r="A705" s="31" t="str">
        <f aca="false">IF($E705="","",COUNTA($E$5:$E705))</f>
        <v/>
      </c>
      <c r="B705" s="32"/>
      <c r="C705" s="32"/>
      <c r="D705" s="32"/>
      <c r="E705" s="32"/>
      <c r="F705" s="33"/>
      <c r="G705" s="32"/>
      <c r="H705" s="34"/>
      <c r="I705" s="35"/>
      <c r="J705" s="36" t="str">
        <f aca="false">IF(OR($H705="",$I705=""),"",$H705+MATCH($I705,Listas!$F$5:$F$11,0)-1)</f>
        <v/>
      </c>
      <c r="K705" s="37"/>
      <c r="L705" s="33"/>
      <c r="M705" s="37"/>
      <c r="N705" s="32"/>
      <c r="O705" s="32"/>
      <c r="P705" s="38" t="str">
        <f aca="true">IF($E705="","",IF($L705="Cancelada","Cancelada",IF(OR($K705&lt;&gt;"",$L705="Concluída"),IF(OR($J705="",$K705="",$K705&lt;=$J705),"Concluída","Concluída com atraso"),IF($J705="","Na carteira",IF($J705&lt;TODAY(),"VENCIDA",IF($L705="Em execução","Em execução",IF($J705=TODAY(),"Hoje","Programada")))))))</f>
        <v/>
      </c>
      <c r="Q705" s="31" t="str">
        <f aca="false">IF($E705="","",IF(ISNUMBER(SEARCH("(externo)",$G705)),"Terceirizada","Interna"))</f>
        <v/>
      </c>
      <c r="R705" s="36" t="str">
        <f aca="false">IF($J705="","",IF($M705="",$J705,$M705))</f>
        <v/>
      </c>
      <c r="S705" s="31" t="str">
        <f aca="false">IF($E705="","",IF(OR($K705="",$J705=""),0,IF($K705&lt;=$J705,1,0)))</f>
        <v/>
      </c>
      <c r="T705" s="31" t="str">
        <f aca="false">IF($E705="","",IF(OR($K705="",$R705=""),0,IF($K705&lt;=$R705,1,0)))</f>
        <v/>
      </c>
      <c r="U705" s="38" t="str">
        <f aca="false">IF(OR($K705="",$J705=""),"",MAX(0,$K705-$J705))</f>
        <v/>
      </c>
      <c r="V705" s="31" t="str">
        <f aca="false">IF($E705="","",IF(AND($M705&lt;&gt;"",$J705&lt;&gt;"",$M705&lt;&gt;$J705),1,0))</f>
        <v/>
      </c>
      <c r="W705" s="39" t="str">
        <f aca="false">IF($E705="","",IF($L705="Cancelada",0,IF(OR($K705&lt;&gt;"",$L705="Concluída"),1,0)))</f>
        <v/>
      </c>
    </row>
    <row r="706" customFormat="false" ht="15" hidden="false" customHeight="true" outlineLevel="0" collapsed="false">
      <c r="A706" s="31" t="str">
        <f aca="false">IF($E706="","",COUNTA($E$5:$E706))</f>
        <v/>
      </c>
      <c r="B706" s="32"/>
      <c r="C706" s="32"/>
      <c r="D706" s="32"/>
      <c r="E706" s="32"/>
      <c r="F706" s="33"/>
      <c r="G706" s="32"/>
      <c r="H706" s="34"/>
      <c r="I706" s="35"/>
      <c r="J706" s="36" t="str">
        <f aca="false">IF(OR($H706="",$I706=""),"",$H706+MATCH($I706,Listas!$F$5:$F$11,0)-1)</f>
        <v/>
      </c>
      <c r="K706" s="37"/>
      <c r="L706" s="33"/>
      <c r="M706" s="37"/>
      <c r="N706" s="32"/>
      <c r="O706" s="32"/>
      <c r="P706" s="38" t="str">
        <f aca="true">IF($E706="","",IF($L706="Cancelada","Cancelada",IF(OR($K706&lt;&gt;"",$L706="Concluída"),IF(OR($J706="",$K706="",$K706&lt;=$J706),"Concluída","Concluída com atraso"),IF($J706="","Na carteira",IF($J706&lt;TODAY(),"VENCIDA",IF($L706="Em execução","Em execução",IF($J706=TODAY(),"Hoje","Programada")))))))</f>
        <v/>
      </c>
      <c r="Q706" s="31" t="str">
        <f aca="false">IF($E706="","",IF(ISNUMBER(SEARCH("(externo)",$G706)),"Terceirizada","Interna"))</f>
        <v/>
      </c>
      <c r="R706" s="36" t="str">
        <f aca="false">IF($J706="","",IF($M706="",$J706,$M706))</f>
        <v/>
      </c>
      <c r="S706" s="31" t="str">
        <f aca="false">IF($E706="","",IF(OR($K706="",$J706=""),0,IF($K706&lt;=$J706,1,0)))</f>
        <v/>
      </c>
      <c r="T706" s="31" t="str">
        <f aca="false">IF($E706="","",IF(OR($K706="",$R706=""),0,IF($K706&lt;=$R706,1,0)))</f>
        <v/>
      </c>
      <c r="U706" s="38" t="str">
        <f aca="false">IF(OR($K706="",$J706=""),"",MAX(0,$K706-$J706))</f>
        <v/>
      </c>
      <c r="V706" s="31" t="str">
        <f aca="false">IF($E706="","",IF(AND($M706&lt;&gt;"",$J706&lt;&gt;"",$M706&lt;&gt;$J706),1,0))</f>
        <v/>
      </c>
      <c r="W706" s="39" t="str">
        <f aca="false">IF($E706="","",IF($L706="Cancelada",0,IF(OR($K706&lt;&gt;"",$L706="Concluída"),1,0)))</f>
        <v/>
      </c>
    </row>
    <row r="707" customFormat="false" ht="15" hidden="false" customHeight="true" outlineLevel="0" collapsed="false">
      <c r="A707" s="31" t="str">
        <f aca="false">IF($E707="","",COUNTA($E$5:$E707))</f>
        <v/>
      </c>
      <c r="B707" s="32"/>
      <c r="C707" s="32"/>
      <c r="D707" s="32"/>
      <c r="E707" s="32"/>
      <c r="F707" s="33"/>
      <c r="G707" s="32"/>
      <c r="H707" s="34"/>
      <c r="I707" s="35"/>
      <c r="J707" s="36" t="str">
        <f aca="false">IF(OR($H707="",$I707=""),"",$H707+MATCH($I707,Listas!$F$5:$F$11,0)-1)</f>
        <v/>
      </c>
      <c r="K707" s="37"/>
      <c r="L707" s="33"/>
      <c r="M707" s="37"/>
      <c r="N707" s="32"/>
      <c r="O707" s="32"/>
      <c r="P707" s="38" t="str">
        <f aca="true">IF($E707="","",IF($L707="Cancelada","Cancelada",IF(OR($K707&lt;&gt;"",$L707="Concluída"),IF(OR($J707="",$K707="",$K707&lt;=$J707),"Concluída","Concluída com atraso"),IF($J707="","Na carteira",IF($J707&lt;TODAY(),"VENCIDA",IF($L707="Em execução","Em execução",IF($J707=TODAY(),"Hoje","Programada")))))))</f>
        <v/>
      </c>
      <c r="Q707" s="31" t="str">
        <f aca="false">IF($E707="","",IF(ISNUMBER(SEARCH("(externo)",$G707)),"Terceirizada","Interna"))</f>
        <v/>
      </c>
      <c r="R707" s="36" t="str">
        <f aca="false">IF($J707="","",IF($M707="",$J707,$M707))</f>
        <v/>
      </c>
      <c r="S707" s="31" t="str">
        <f aca="false">IF($E707="","",IF(OR($K707="",$J707=""),0,IF($K707&lt;=$J707,1,0)))</f>
        <v/>
      </c>
      <c r="T707" s="31" t="str">
        <f aca="false">IF($E707="","",IF(OR($K707="",$R707=""),0,IF($K707&lt;=$R707,1,0)))</f>
        <v/>
      </c>
      <c r="U707" s="38" t="str">
        <f aca="false">IF(OR($K707="",$J707=""),"",MAX(0,$K707-$J707))</f>
        <v/>
      </c>
      <c r="V707" s="31" t="str">
        <f aca="false">IF($E707="","",IF(AND($M707&lt;&gt;"",$J707&lt;&gt;"",$M707&lt;&gt;$J707),1,0))</f>
        <v/>
      </c>
      <c r="W707" s="39" t="str">
        <f aca="false">IF($E707="","",IF($L707="Cancelada",0,IF(OR($K707&lt;&gt;"",$L707="Concluída"),1,0)))</f>
        <v/>
      </c>
    </row>
    <row r="708" customFormat="false" ht="15" hidden="false" customHeight="true" outlineLevel="0" collapsed="false">
      <c r="A708" s="31" t="str">
        <f aca="false">IF($E708="","",COUNTA($E$5:$E708))</f>
        <v/>
      </c>
      <c r="B708" s="32"/>
      <c r="C708" s="32"/>
      <c r="D708" s="32"/>
      <c r="E708" s="32"/>
      <c r="F708" s="33"/>
      <c r="G708" s="32"/>
      <c r="H708" s="34"/>
      <c r="I708" s="35"/>
      <c r="J708" s="36" t="str">
        <f aca="false">IF(OR($H708="",$I708=""),"",$H708+MATCH($I708,Listas!$F$5:$F$11,0)-1)</f>
        <v/>
      </c>
      <c r="K708" s="37"/>
      <c r="L708" s="33"/>
      <c r="M708" s="37"/>
      <c r="N708" s="32"/>
      <c r="O708" s="32"/>
      <c r="P708" s="38" t="str">
        <f aca="true">IF($E708="","",IF($L708="Cancelada","Cancelada",IF(OR($K708&lt;&gt;"",$L708="Concluída"),IF(OR($J708="",$K708="",$K708&lt;=$J708),"Concluída","Concluída com atraso"),IF($J708="","Na carteira",IF($J708&lt;TODAY(),"VENCIDA",IF($L708="Em execução","Em execução",IF($J708=TODAY(),"Hoje","Programada")))))))</f>
        <v/>
      </c>
      <c r="Q708" s="31" t="str">
        <f aca="false">IF($E708="","",IF(ISNUMBER(SEARCH("(externo)",$G708)),"Terceirizada","Interna"))</f>
        <v/>
      </c>
      <c r="R708" s="36" t="str">
        <f aca="false">IF($J708="","",IF($M708="",$J708,$M708))</f>
        <v/>
      </c>
      <c r="S708" s="31" t="str">
        <f aca="false">IF($E708="","",IF(OR($K708="",$J708=""),0,IF($K708&lt;=$J708,1,0)))</f>
        <v/>
      </c>
      <c r="T708" s="31" t="str">
        <f aca="false">IF($E708="","",IF(OR($K708="",$R708=""),0,IF($K708&lt;=$R708,1,0)))</f>
        <v/>
      </c>
      <c r="U708" s="38" t="str">
        <f aca="false">IF(OR($K708="",$J708=""),"",MAX(0,$K708-$J708))</f>
        <v/>
      </c>
      <c r="V708" s="31" t="str">
        <f aca="false">IF($E708="","",IF(AND($M708&lt;&gt;"",$J708&lt;&gt;"",$M708&lt;&gt;$J708),1,0))</f>
        <v/>
      </c>
      <c r="W708" s="39" t="str">
        <f aca="false">IF($E708="","",IF($L708="Cancelada",0,IF(OR($K708&lt;&gt;"",$L708="Concluída"),1,0)))</f>
        <v/>
      </c>
    </row>
    <row r="709" customFormat="false" ht="15" hidden="false" customHeight="true" outlineLevel="0" collapsed="false">
      <c r="A709" s="31" t="str">
        <f aca="false">IF($E709="","",COUNTA($E$5:$E709))</f>
        <v/>
      </c>
      <c r="B709" s="32"/>
      <c r="C709" s="32"/>
      <c r="D709" s="32"/>
      <c r="E709" s="32"/>
      <c r="F709" s="33"/>
      <c r="G709" s="32"/>
      <c r="H709" s="34"/>
      <c r="I709" s="35"/>
      <c r="J709" s="36" t="str">
        <f aca="false">IF(OR($H709="",$I709=""),"",$H709+MATCH($I709,Listas!$F$5:$F$11,0)-1)</f>
        <v/>
      </c>
      <c r="K709" s="37"/>
      <c r="L709" s="33"/>
      <c r="M709" s="37"/>
      <c r="N709" s="32"/>
      <c r="O709" s="32"/>
      <c r="P709" s="38" t="str">
        <f aca="true">IF($E709="","",IF($L709="Cancelada","Cancelada",IF(OR($K709&lt;&gt;"",$L709="Concluída"),IF(OR($J709="",$K709="",$K709&lt;=$J709),"Concluída","Concluída com atraso"),IF($J709="","Na carteira",IF($J709&lt;TODAY(),"VENCIDA",IF($L709="Em execução","Em execução",IF($J709=TODAY(),"Hoje","Programada")))))))</f>
        <v/>
      </c>
      <c r="Q709" s="31" t="str">
        <f aca="false">IF($E709="","",IF(ISNUMBER(SEARCH("(externo)",$G709)),"Terceirizada","Interna"))</f>
        <v/>
      </c>
      <c r="R709" s="36" t="str">
        <f aca="false">IF($J709="","",IF($M709="",$J709,$M709))</f>
        <v/>
      </c>
      <c r="S709" s="31" t="str">
        <f aca="false">IF($E709="","",IF(OR($K709="",$J709=""),0,IF($K709&lt;=$J709,1,0)))</f>
        <v/>
      </c>
      <c r="T709" s="31" t="str">
        <f aca="false">IF($E709="","",IF(OR($K709="",$R709=""),0,IF($K709&lt;=$R709,1,0)))</f>
        <v/>
      </c>
      <c r="U709" s="38" t="str">
        <f aca="false">IF(OR($K709="",$J709=""),"",MAX(0,$K709-$J709))</f>
        <v/>
      </c>
      <c r="V709" s="31" t="str">
        <f aca="false">IF($E709="","",IF(AND($M709&lt;&gt;"",$J709&lt;&gt;"",$M709&lt;&gt;$J709),1,0))</f>
        <v/>
      </c>
      <c r="W709" s="39" t="str">
        <f aca="false">IF($E709="","",IF($L709="Cancelada",0,IF(OR($K709&lt;&gt;"",$L709="Concluída"),1,0)))</f>
        <v/>
      </c>
    </row>
    <row r="710" customFormat="false" ht="15" hidden="false" customHeight="true" outlineLevel="0" collapsed="false">
      <c r="A710" s="31" t="str">
        <f aca="false">IF($E710="","",COUNTA($E$5:$E710))</f>
        <v/>
      </c>
      <c r="B710" s="32"/>
      <c r="C710" s="32"/>
      <c r="D710" s="32"/>
      <c r="E710" s="32"/>
      <c r="F710" s="33"/>
      <c r="G710" s="32"/>
      <c r="H710" s="34"/>
      <c r="I710" s="35"/>
      <c r="J710" s="36" t="str">
        <f aca="false">IF(OR($H710="",$I710=""),"",$H710+MATCH($I710,Listas!$F$5:$F$11,0)-1)</f>
        <v/>
      </c>
      <c r="K710" s="37"/>
      <c r="L710" s="33"/>
      <c r="M710" s="37"/>
      <c r="N710" s="32"/>
      <c r="O710" s="32"/>
      <c r="P710" s="38" t="str">
        <f aca="true">IF($E710="","",IF($L710="Cancelada","Cancelada",IF(OR($K710&lt;&gt;"",$L710="Concluída"),IF(OR($J710="",$K710="",$K710&lt;=$J710),"Concluída","Concluída com atraso"),IF($J710="","Na carteira",IF($J710&lt;TODAY(),"VENCIDA",IF($L710="Em execução","Em execução",IF($J710=TODAY(),"Hoje","Programada")))))))</f>
        <v/>
      </c>
      <c r="Q710" s="31" t="str">
        <f aca="false">IF($E710="","",IF(ISNUMBER(SEARCH("(externo)",$G710)),"Terceirizada","Interna"))</f>
        <v/>
      </c>
      <c r="R710" s="36" t="str">
        <f aca="false">IF($J710="","",IF($M710="",$J710,$M710))</f>
        <v/>
      </c>
      <c r="S710" s="31" t="str">
        <f aca="false">IF($E710="","",IF(OR($K710="",$J710=""),0,IF($K710&lt;=$J710,1,0)))</f>
        <v/>
      </c>
      <c r="T710" s="31" t="str">
        <f aca="false">IF($E710="","",IF(OR($K710="",$R710=""),0,IF($K710&lt;=$R710,1,0)))</f>
        <v/>
      </c>
      <c r="U710" s="38" t="str">
        <f aca="false">IF(OR($K710="",$J710=""),"",MAX(0,$K710-$J710))</f>
        <v/>
      </c>
      <c r="V710" s="31" t="str">
        <f aca="false">IF($E710="","",IF(AND($M710&lt;&gt;"",$J710&lt;&gt;"",$M710&lt;&gt;$J710),1,0))</f>
        <v/>
      </c>
      <c r="W710" s="39" t="str">
        <f aca="false">IF($E710="","",IF($L710="Cancelada",0,IF(OR($K710&lt;&gt;"",$L710="Concluída"),1,0)))</f>
        <v/>
      </c>
    </row>
    <row r="711" customFormat="false" ht="15" hidden="false" customHeight="true" outlineLevel="0" collapsed="false">
      <c r="A711" s="31" t="str">
        <f aca="false">IF($E711="","",COUNTA($E$5:$E711))</f>
        <v/>
      </c>
      <c r="B711" s="32"/>
      <c r="C711" s="32"/>
      <c r="D711" s="32"/>
      <c r="E711" s="32"/>
      <c r="F711" s="33"/>
      <c r="G711" s="32"/>
      <c r="H711" s="34"/>
      <c r="I711" s="35"/>
      <c r="J711" s="36" t="str">
        <f aca="false">IF(OR($H711="",$I711=""),"",$H711+MATCH($I711,Listas!$F$5:$F$11,0)-1)</f>
        <v/>
      </c>
      <c r="K711" s="37"/>
      <c r="L711" s="33"/>
      <c r="M711" s="37"/>
      <c r="N711" s="32"/>
      <c r="O711" s="32"/>
      <c r="P711" s="38" t="str">
        <f aca="true">IF($E711="","",IF($L711="Cancelada","Cancelada",IF(OR($K711&lt;&gt;"",$L711="Concluída"),IF(OR($J711="",$K711="",$K711&lt;=$J711),"Concluída","Concluída com atraso"),IF($J711="","Na carteira",IF($J711&lt;TODAY(),"VENCIDA",IF($L711="Em execução","Em execução",IF($J711=TODAY(),"Hoje","Programada")))))))</f>
        <v/>
      </c>
      <c r="Q711" s="31" t="str">
        <f aca="false">IF($E711="","",IF(ISNUMBER(SEARCH("(externo)",$G711)),"Terceirizada","Interna"))</f>
        <v/>
      </c>
      <c r="R711" s="36" t="str">
        <f aca="false">IF($J711="","",IF($M711="",$J711,$M711))</f>
        <v/>
      </c>
      <c r="S711" s="31" t="str">
        <f aca="false">IF($E711="","",IF(OR($K711="",$J711=""),0,IF($K711&lt;=$J711,1,0)))</f>
        <v/>
      </c>
      <c r="T711" s="31" t="str">
        <f aca="false">IF($E711="","",IF(OR($K711="",$R711=""),0,IF($K711&lt;=$R711,1,0)))</f>
        <v/>
      </c>
      <c r="U711" s="38" t="str">
        <f aca="false">IF(OR($K711="",$J711=""),"",MAX(0,$K711-$J711))</f>
        <v/>
      </c>
      <c r="V711" s="31" t="str">
        <f aca="false">IF($E711="","",IF(AND($M711&lt;&gt;"",$J711&lt;&gt;"",$M711&lt;&gt;$J711),1,0))</f>
        <v/>
      </c>
      <c r="W711" s="39" t="str">
        <f aca="false">IF($E711="","",IF($L711="Cancelada",0,IF(OR($K711&lt;&gt;"",$L711="Concluída"),1,0)))</f>
        <v/>
      </c>
    </row>
    <row r="712" customFormat="false" ht="15" hidden="false" customHeight="true" outlineLevel="0" collapsed="false">
      <c r="A712" s="31" t="str">
        <f aca="false">IF($E712="","",COUNTA($E$5:$E712))</f>
        <v/>
      </c>
      <c r="B712" s="32"/>
      <c r="C712" s="32"/>
      <c r="D712" s="32"/>
      <c r="E712" s="32"/>
      <c r="F712" s="33"/>
      <c r="G712" s="32"/>
      <c r="H712" s="34"/>
      <c r="I712" s="35"/>
      <c r="J712" s="36" t="str">
        <f aca="false">IF(OR($H712="",$I712=""),"",$H712+MATCH($I712,Listas!$F$5:$F$11,0)-1)</f>
        <v/>
      </c>
      <c r="K712" s="37"/>
      <c r="L712" s="33"/>
      <c r="M712" s="37"/>
      <c r="N712" s="32"/>
      <c r="O712" s="32"/>
      <c r="P712" s="38" t="str">
        <f aca="true">IF($E712="","",IF($L712="Cancelada","Cancelada",IF(OR($K712&lt;&gt;"",$L712="Concluída"),IF(OR($J712="",$K712="",$K712&lt;=$J712),"Concluída","Concluída com atraso"),IF($J712="","Na carteira",IF($J712&lt;TODAY(),"VENCIDA",IF($L712="Em execução","Em execução",IF($J712=TODAY(),"Hoje","Programada")))))))</f>
        <v/>
      </c>
      <c r="Q712" s="31" t="str">
        <f aca="false">IF($E712="","",IF(ISNUMBER(SEARCH("(externo)",$G712)),"Terceirizada","Interna"))</f>
        <v/>
      </c>
      <c r="R712" s="36" t="str">
        <f aca="false">IF($J712="","",IF($M712="",$J712,$M712))</f>
        <v/>
      </c>
      <c r="S712" s="31" t="str">
        <f aca="false">IF($E712="","",IF(OR($K712="",$J712=""),0,IF($K712&lt;=$J712,1,0)))</f>
        <v/>
      </c>
      <c r="T712" s="31" t="str">
        <f aca="false">IF($E712="","",IF(OR($K712="",$R712=""),0,IF($K712&lt;=$R712,1,0)))</f>
        <v/>
      </c>
      <c r="U712" s="38" t="str">
        <f aca="false">IF(OR($K712="",$J712=""),"",MAX(0,$K712-$J712))</f>
        <v/>
      </c>
      <c r="V712" s="31" t="str">
        <f aca="false">IF($E712="","",IF(AND($M712&lt;&gt;"",$J712&lt;&gt;"",$M712&lt;&gt;$J712),1,0))</f>
        <v/>
      </c>
      <c r="W712" s="39" t="str">
        <f aca="false">IF($E712="","",IF($L712="Cancelada",0,IF(OR($K712&lt;&gt;"",$L712="Concluída"),1,0)))</f>
        <v/>
      </c>
    </row>
    <row r="713" customFormat="false" ht="15" hidden="false" customHeight="true" outlineLevel="0" collapsed="false">
      <c r="A713" s="31" t="str">
        <f aca="false">IF($E713="","",COUNTA($E$5:$E713))</f>
        <v/>
      </c>
      <c r="B713" s="32"/>
      <c r="C713" s="32"/>
      <c r="D713" s="32"/>
      <c r="E713" s="32"/>
      <c r="F713" s="33"/>
      <c r="G713" s="32"/>
      <c r="H713" s="34"/>
      <c r="I713" s="35"/>
      <c r="J713" s="36" t="str">
        <f aca="false">IF(OR($H713="",$I713=""),"",$H713+MATCH($I713,Listas!$F$5:$F$11,0)-1)</f>
        <v/>
      </c>
      <c r="K713" s="37"/>
      <c r="L713" s="33"/>
      <c r="M713" s="37"/>
      <c r="N713" s="32"/>
      <c r="O713" s="32"/>
      <c r="P713" s="38" t="str">
        <f aca="true">IF($E713="","",IF($L713="Cancelada","Cancelada",IF(OR($K713&lt;&gt;"",$L713="Concluída"),IF(OR($J713="",$K713="",$K713&lt;=$J713),"Concluída","Concluída com atraso"),IF($J713="","Na carteira",IF($J713&lt;TODAY(),"VENCIDA",IF($L713="Em execução","Em execução",IF($J713=TODAY(),"Hoje","Programada")))))))</f>
        <v/>
      </c>
      <c r="Q713" s="31" t="str">
        <f aca="false">IF($E713="","",IF(ISNUMBER(SEARCH("(externo)",$G713)),"Terceirizada","Interna"))</f>
        <v/>
      </c>
      <c r="R713" s="36" t="str">
        <f aca="false">IF($J713="","",IF($M713="",$J713,$M713))</f>
        <v/>
      </c>
      <c r="S713" s="31" t="str">
        <f aca="false">IF($E713="","",IF(OR($K713="",$J713=""),0,IF($K713&lt;=$J713,1,0)))</f>
        <v/>
      </c>
      <c r="T713" s="31" t="str">
        <f aca="false">IF($E713="","",IF(OR($K713="",$R713=""),0,IF($K713&lt;=$R713,1,0)))</f>
        <v/>
      </c>
      <c r="U713" s="38" t="str">
        <f aca="false">IF(OR($K713="",$J713=""),"",MAX(0,$K713-$J713))</f>
        <v/>
      </c>
      <c r="V713" s="31" t="str">
        <f aca="false">IF($E713="","",IF(AND($M713&lt;&gt;"",$J713&lt;&gt;"",$M713&lt;&gt;$J713),1,0))</f>
        <v/>
      </c>
      <c r="W713" s="39" t="str">
        <f aca="false">IF($E713="","",IF($L713="Cancelada",0,IF(OR($K713&lt;&gt;"",$L713="Concluída"),1,0)))</f>
        <v/>
      </c>
    </row>
    <row r="714" customFormat="false" ht="15" hidden="false" customHeight="true" outlineLevel="0" collapsed="false">
      <c r="A714" s="31" t="str">
        <f aca="false">IF($E714="","",COUNTA($E$5:$E714))</f>
        <v/>
      </c>
      <c r="B714" s="32"/>
      <c r="C714" s="32"/>
      <c r="D714" s="32"/>
      <c r="E714" s="32"/>
      <c r="F714" s="33"/>
      <c r="G714" s="32"/>
      <c r="H714" s="34"/>
      <c r="I714" s="35"/>
      <c r="J714" s="36" t="str">
        <f aca="false">IF(OR($H714="",$I714=""),"",$H714+MATCH($I714,Listas!$F$5:$F$11,0)-1)</f>
        <v/>
      </c>
      <c r="K714" s="37"/>
      <c r="L714" s="33"/>
      <c r="M714" s="37"/>
      <c r="N714" s="32"/>
      <c r="O714" s="32"/>
      <c r="P714" s="38" t="str">
        <f aca="true">IF($E714="","",IF($L714="Cancelada","Cancelada",IF(OR($K714&lt;&gt;"",$L714="Concluída"),IF(OR($J714="",$K714="",$K714&lt;=$J714),"Concluída","Concluída com atraso"),IF($J714="","Na carteira",IF($J714&lt;TODAY(),"VENCIDA",IF($L714="Em execução","Em execução",IF($J714=TODAY(),"Hoje","Programada")))))))</f>
        <v/>
      </c>
      <c r="Q714" s="31" t="str">
        <f aca="false">IF($E714="","",IF(ISNUMBER(SEARCH("(externo)",$G714)),"Terceirizada","Interna"))</f>
        <v/>
      </c>
      <c r="R714" s="36" t="str">
        <f aca="false">IF($J714="","",IF($M714="",$J714,$M714))</f>
        <v/>
      </c>
      <c r="S714" s="31" t="str">
        <f aca="false">IF($E714="","",IF(OR($K714="",$J714=""),0,IF($K714&lt;=$J714,1,0)))</f>
        <v/>
      </c>
      <c r="T714" s="31" t="str">
        <f aca="false">IF($E714="","",IF(OR($K714="",$R714=""),0,IF($K714&lt;=$R714,1,0)))</f>
        <v/>
      </c>
      <c r="U714" s="38" t="str">
        <f aca="false">IF(OR($K714="",$J714=""),"",MAX(0,$K714-$J714))</f>
        <v/>
      </c>
      <c r="V714" s="31" t="str">
        <f aca="false">IF($E714="","",IF(AND($M714&lt;&gt;"",$J714&lt;&gt;"",$M714&lt;&gt;$J714),1,0))</f>
        <v/>
      </c>
      <c r="W714" s="39" t="str">
        <f aca="false">IF($E714="","",IF($L714="Cancelada",0,IF(OR($K714&lt;&gt;"",$L714="Concluída"),1,0)))</f>
        <v/>
      </c>
    </row>
    <row r="715" customFormat="false" ht="15" hidden="false" customHeight="true" outlineLevel="0" collapsed="false">
      <c r="A715" s="31" t="str">
        <f aca="false">IF($E715="","",COUNTA($E$5:$E715))</f>
        <v/>
      </c>
      <c r="B715" s="32"/>
      <c r="C715" s="32"/>
      <c r="D715" s="32"/>
      <c r="E715" s="32"/>
      <c r="F715" s="33"/>
      <c r="G715" s="32"/>
      <c r="H715" s="34"/>
      <c r="I715" s="35"/>
      <c r="J715" s="36" t="str">
        <f aca="false">IF(OR($H715="",$I715=""),"",$H715+MATCH($I715,Listas!$F$5:$F$11,0)-1)</f>
        <v/>
      </c>
      <c r="K715" s="37"/>
      <c r="L715" s="33"/>
      <c r="M715" s="37"/>
      <c r="N715" s="32"/>
      <c r="O715" s="32"/>
      <c r="P715" s="38" t="str">
        <f aca="true">IF($E715="","",IF($L715="Cancelada","Cancelada",IF(OR($K715&lt;&gt;"",$L715="Concluída"),IF(OR($J715="",$K715="",$K715&lt;=$J715),"Concluída","Concluída com atraso"),IF($J715="","Na carteira",IF($J715&lt;TODAY(),"VENCIDA",IF($L715="Em execução","Em execução",IF($J715=TODAY(),"Hoje","Programada")))))))</f>
        <v/>
      </c>
      <c r="Q715" s="31" t="str">
        <f aca="false">IF($E715="","",IF(ISNUMBER(SEARCH("(externo)",$G715)),"Terceirizada","Interna"))</f>
        <v/>
      </c>
      <c r="R715" s="36" t="str">
        <f aca="false">IF($J715="","",IF($M715="",$J715,$M715))</f>
        <v/>
      </c>
      <c r="S715" s="31" t="str">
        <f aca="false">IF($E715="","",IF(OR($K715="",$J715=""),0,IF($K715&lt;=$J715,1,0)))</f>
        <v/>
      </c>
      <c r="T715" s="31" t="str">
        <f aca="false">IF($E715="","",IF(OR($K715="",$R715=""),0,IF($K715&lt;=$R715,1,0)))</f>
        <v/>
      </c>
      <c r="U715" s="38" t="str">
        <f aca="false">IF(OR($K715="",$J715=""),"",MAX(0,$K715-$J715))</f>
        <v/>
      </c>
      <c r="V715" s="31" t="str">
        <f aca="false">IF($E715="","",IF(AND($M715&lt;&gt;"",$J715&lt;&gt;"",$M715&lt;&gt;$J715),1,0))</f>
        <v/>
      </c>
      <c r="W715" s="39" t="str">
        <f aca="false">IF($E715="","",IF($L715="Cancelada",0,IF(OR($K715&lt;&gt;"",$L715="Concluída"),1,0)))</f>
        <v/>
      </c>
    </row>
    <row r="716" customFormat="false" ht="15" hidden="false" customHeight="true" outlineLevel="0" collapsed="false">
      <c r="A716" s="31" t="str">
        <f aca="false">IF($E716="","",COUNTA($E$5:$E716))</f>
        <v/>
      </c>
      <c r="B716" s="32"/>
      <c r="C716" s="32"/>
      <c r="D716" s="32"/>
      <c r="E716" s="32"/>
      <c r="F716" s="33"/>
      <c r="G716" s="32"/>
      <c r="H716" s="34"/>
      <c r="I716" s="35"/>
      <c r="J716" s="36" t="str">
        <f aca="false">IF(OR($H716="",$I716=""),"",$H716+MATCH($I716,Listas!$F$5:$F$11,0)-1)</f>
        <v/>
      </c>
      <c r="K716" s="37"/>
      <c r="L716" s="33"/>
      <c r="M716" s="37"/>
      <c r="N716" s="32"/>
      <c r="O716" s="32"/>
      <c r="P716" s="38" t="str">
        <f aca="true">IF($E716="","",IF($L716="Cancelada","Cancelada",IF(OR($K716&lt;&gt;"",$L716="Concluída"),IF(OR($J716="",$K716="",$K716&lt;=$J716),"Concluída","Concluída com atraso"),IF($J716="","Na carteira",IF($J716&lt;TODAY(),"VENCIDA",IF($L716="Em execução","Em execução",IF($J716=TODAY(),"Hoje","Programada")))))))</f>
        <v/>
      </c>
      <c r="Q716" s="31" t="str">
        <f aca="false">IF($E716="","",IF(ISNUMBER(SEARCH("(externo)",$G716)),"Terceirizada","Interna"))</f>
        <v/>
      </c>
      <c r="R716" s="36" t="str">
        <f aca="false">IF($J716="","",IF($M716="",$J716,$M716))</f>
        <v/>
      </c>
      <c r="S716" s="31" t="str">
        <f aca="false">IF($E716="","",IF(OR($K716="",$J716=""),0,IF($K716&lt;=$J716,1,0)))</f>
        <v/>
      </c>
      <c r="T716" s="31" t="str">
        <f aca="false">IF($E716="","",IF(OR($K716="",$R716=""),0,IF($K716&lt;=$R716,1,0)))</f>
        <v/>
      </c>
      <c r="U716" s="38" t="str">
        <f aca="false">IF(OR($K716="",$J716=""),"",MAX(0,$K716-$J716))</f>
        <v/>
      </c>
      <c r="V716" s="31" t="str">
        <f aca="false">IF($E716="","",IF(AND($M716&lt;&gt;"",$J716&lt;&gt;"",$M716&lt;&gt;$J716),1,0))</f>
        <v/>
      </c>
      <c r="W716" s="39" t="str">
        <f aca="false">IF($E716="","",IF($L716="Cancelada",0,IF(OR($K716&lt;&gt;"",$L716="Concluída"),1,0)))</f>
        <v/>
      </c>
    </row>
    <row r="717" customFormat="false" ht="15" hidden="false" customHeight="true" outlineLevel="0" collapsed="false">
      <c r="A717" s="31" t="str">
        <f aca="false">IF($E717="","",COUNTA($E$5:$E717))</f>
        <v/>
      </c>
      <c r="B717" s="32"/>
      <c r="C717" s="32"/>
      <c r="D717" s="32"/>
      <c r="E717" s="32"/>
      <c r="F717" s="33"/>
      <c r="G717" s="32"/>
      <c r="H717" s="34"/>
      <c r="I717" s="35"/>
      <c r="J717" s="36" t="str">
        <f aca="false">IF(OR($H717="",$I717=""),"",$H717+MATCH($I717,Listas!$F$5:$F$11,0)-1)</f>
        <v/>
      </c>
      <c r="K717" s="37"/>
      <c r="L717" s="33"/>
      <c r="M717" s="37"/>
      <c r="N717" s="32"/>
      <c r="O717" s="32"/>
      <c r="P717" s="38" t="str">
        <f aca="true">IF($E717="","",IF($L717="Cancelada","Cancelada",IF(OR($K717&lt;&gt;"",$L717="Concluída"),IF(OR($J717="",$K717="",$K717&lt;=$J717),"Concluída","Concluída com atraso"),IF($J717="","Na carteira",IF($J717&lt;TODAY(),"VENCIDA",IF($L717="Em execução","Em execução",IF($J717=TODAY(),"Hoje","Programada")))))))</f>
        <v/>
      </c>
      <c r="Q717" s="31" t="str">
        <f aca="false">IF($E717="","",IF(ISNUMBER(SEARCH("(externo)",$G717)),"Terceirizada","Interna"))</f>
        <v/>
      </c>
      <c r="R717" s="36" t="str">
        <f aca="false">IF($J717="","",IF($M717="",$J717,$M717))</f>
        <v/>
      </c>
      <c r="S717" s="31" t="str">
        <f aca="false">IF($E717="","",IF(OR($K717="",$J717=""),0,IF($K717&lt;=$J717,1,0)))</f>
        <v/>
      </c>
      <c r="T717" s="31" t="str">
        <f aca="false">IF($E717="","",IF(OR($K717="",$R717=""),0,IF($K717&lt;=$R717,1,0)))</f>
        <v/>
      </c>
      <c r="U717" s="38" t="str">
        <f aca="false">IF(OR($K717="",$J717=""),"",MAX(0,$K717-$J717))</f>
        <v/>
      </c>
      <c r="V717" s="31" t="str">
        <f aca="false">IF($E717="","",IF(AND($M717&lt;&gt;"",$J717&lt;&gt;"",$M717&lt;&gt;$J717),1,0))</f>
        <v/>
      </c>
      <c r="W717" s="39" t="str">
        <f aca="false">IF($E717="","",IF($L717="Cancelada",0,IF(OR($K717&lt;&gt;"",$L717="Concluída"),1,0)))</f>
        <v/>
      </c>
    </row>
    <row r="718" customFormat="false" ht="15" hidden="false" customHeight="true" outlineLevel="0" collapsed="false">
      <c r="A718" s="31" t="str">
        <f aca="false">IF($E718="","",COUNTA($E$5:$E718))</f>
        <v/>
      </c>
      <c r="B718" s="32"/>
      <c r="C718" s="32"/>
      <c r="D718" s="32"/>
      <c r="E718" s="32"/>
      <c r="F718" s="33"/>
      <c r="G718" s="32"/>
      <c r="H718" s="34"/>
      <c r="I718" s="35"/>
      <c r="J718" s="36" t="str">
        <f aca="false">IF(OR($H718="",$I718=""),"",$H718+MATCH($I718,Listas!$F$5:$F$11,0)-1)</f>
        <v/>
      </c>
      <c r="K718" s="37"/>
      <c r="L718" s="33"/>
      <c r="M718" s="37"/>
      <c r="N718" s="32"/>
      <c r="O718" s="32"/>
      <c r="P718" s="38" t="str">
        <f aca="true">IF($E718="","",IF($L718="Cancelada","Cancelada",IF(OR($K718&lt;&gt;"",$L718="Concluída"),IF(OR($J718="",$K718="",$K718&lt;=$J718),"Concluída","Concluída com atraso"),IF($J718="","Na carteira",IF($J718&lt;TODAY(),"VENCIDA",IF($L718="Em execução","Em execução",IF($J718=TODAY(),"Hoje","Programada")))))))</f>
        <v/>
      </c>
      <c r="Q718" s="31" t="str">
        <f aca="false">IF($E718="","",IF(ISNUMBER(SEARCH("(externo)",$G718)),"Terceirizada","Interna"))</f>
        <v/>
      </c>
      <c r="R718" s="36" t="str">
        <f aca="false">IF($J718="","",IF($M718="",$J718,$M718))</f>
        <v/>
      </c>
      <c r="S718" s="31" t="str">
        <f aca="false">IF($E718="","",IF(OR($K718="",$J718=""),0,IF($K718&lt;=$J718,1,0)))</f>
        <v/>
      </c>
      <c r="T718" s="31" t="str">
        <f aca="false">IF($E718="","",IF(OR($K718="",$R718=""),0,IF($K718&lt;=$R718,1,0)))</f>
        <v/>
      </c>
      <c r="U718" s="38" t="str">
        <f aca="false">IF(OR($K718="",$J718=""),"",MAX(0,$K718-$J718))</f>
        <v/>
      </c>
      <c r="V718" s="31" t="str">
        <f aca="false">IF($E718="","",IF(AND($M718&lt;&gt;"",$J718&lt;&gt;"",$M718&lt;&gt;$J718),1,0))</f>
        <v/>
      </c>
      <c r="W718" s="39" t="str">
        <f aca="false">IF($E718="","",IF($L718="Cancelada",0,IF(OR($K718&lt;&gt;"",$L718="Concluída"),1,0)))</f>
        <v/>
      </c>
    </row>
    <row r="719" customFormat="false" ht="15" hidden="false" customHeight="true" outlineLevel="0" collapsed="false">
      <c r="A719" s="31" t="str">
        <f aca="false">IF($E719="","",COUNTA($E$5:$E719))</f>
        <v/>
      </c>
      <c r="B719" s="32"/>
      <c r="C719" s="32"/>
      <c r="D719" s="32"/>
      <c r="E719" s="32"/>
      <c r="F719" s="33"/>
      <c r="G719" s="32"/>
      <c r="H719" s="34"/>
      <c r="I719" s="35"/>
      <c r="J719" s="36" t="str">
        <f aca="false">IF(OR($H719="",$I719=""),"",$H719+MATCH($I719,Listas!$F$5:$F$11,0)-1)</f>
        <v/>
      </c>
      <c r="K719" s="37"/>
      <c r="L719" s="33"/>
      <c r="M719" s="37"/>
      <c r="N719" s="32"/>
      <c r="O719" s="32"/>
      <c r="P719" s="38" t="str">
        <f aca="true">IF($E719="","",IF($L719="Cancelada","Cancelada",IF(OR($K719&lt;&gt;"",$L719="Concluída"),IF(OR($J719="",$K719="",$K719&lt;=$J719),"Concluída","Concluída com atraso"),IF($J719="","Na carteira",IF($J719&lt;TODAY(),"VENCIDA",IF($L719="Em execução","Em execução",IF($J719=TODAY(),"Hoje","Programada")))))))</f>
        <v/>
      </c>
      <c r="Q719" s="31" t="str">
        <f aca="false">IF($E719="","",IF(ISNUMBER(SEARCH("(externo)",$G719)),"Terceirizada","Interna"))</f>
        <v/>
      </c>
      <c r="R719" s="36" t="str">
        <f aca="false">IF($J719="","",IF($M719="",$J719,$M719))</f>
        <v/>
      </c>
      <c r="S719" s="31" t="str">
        <f aca="false">IF($E719="","",IF(OR($K719="",$J719=""),0,IF($K719&lt;=$J719,1,0)))</f>
        <v/>
      </c>
      <c r="T719" s="31" t="str">
        <f aca="false">IF($E719="","",IF(OR($K719="",$R719=""),0,IF($K719&lt;=$R719,1,0)))</f>
        <v/>
      </c>
      <c r="U719" s="38" t="str">
        <f aca="false">IF(OR($K719="",$J719=""),"",MAX(0,$K719-$J719))</f>
        <v/>
      </c>
      <c r="V719" s="31" t="str">
        <f aca="false">IF($E719="","",IF(AND($M719&lt;&gt;"",$J719&lt;&gt;"",$M719&lt;&gt;$J719),1,0))</f>
        <v/>
      </c>
      <c r="W719" s="39" t="str">
        <f aca="false">IF($E719="","",IF($L719="Cancelada",0,IF(OR($K719&lt;&gt;"",$L719="Concluída"),1,0)))</f>
        <v/>
      </c>
    </row>
    <row r="720" customFormat="false" ht="15" hidden="false" customHeight="true" outlineLevel="0" collapsed="false">
      <c r="A720" s="31" t="str">
        <f aca="false">IF($E720="","",COUNTA($E$5:$E720))</f>
        <v/>
      </c>
      <c r="B720" s="32"/>
      <c r="C720" s="32"/>
      <c r="D720" s="32"/>
      <c r="E720" s="32"/>
      <c r="F720" s="33"/>
      <c r="G720" s="32"/>
      <c r="H720" s="34"/>
      <c r="I720" s="35"/>
      <c r="J720" s="36" t="str">
        <f aca="false">IF(OR($H720="",$I720=""),"",$H720+MATCH($I720,Listas!$F$5:$F$11,0)-1)</f>
        <v/>
      </c>
      <c r="K720" s="37"/>
      <c r="L720" s="33"/>
      <c r="M720" s="37"/>
      <c r="N720" s="32"/>
      <c r="O720" s="32"/>
      <c r="P720" s="38" t="str">
        <f aca="true">IF($E720="","",IF($L720="Cancelada","Cancelada",IF(OR($K720&lt;&gt;"",$L720="Concluída"),IF(OR($J720="",$K720="",$K720&lt;=$J720),"Concluída","Concluída com atraso"),IF($J720="","Na carteira",IF($J720&lt;TODAY(),"VENCIDA",IF($L720="Em execução","Em execução",IF($J720=TODAY(),"Hoje","Programada")))))))</f>
        <v/>
      </c>
      <c r="Q720" s="31" t="str">
        <f aca="false">IF($E720="","",IF(ISNUMBER(SEARCH("(externo)",$G720)),"Terceirizada","Interna"))</f>
        <v/>
      </c>
      <c r="R720" s="36" t="str">
        <f aca="false">IF($J720="","",IF($M720="",$J720,$M720))</f>
        <v/>
      </c>
      <c r="S720" s="31" t="str">
        <f aca="false">IF($E720="","",IF(OR($K720="",$J720=""),0,IF($K720&lt;=$J720,1,0)))</f>
        <v/>
      </c>
      <c r="T720" s="31" t="str">
        <f aca="false">IF($E720="","",IF(OR($K720="",$R720=""),0,IF($K720&lt;=$R720,1,0)))</f>
        <v/>
      </c>
      <c r="U720" s="38" t="str">
        <f aca="false">IF(OR($K720="",$J720=""),"",MAX(0,$K720-$J720))</f>
        <v/>
      </c>
      <c r="V720" s="31" t="str">
        <f aca="false">IF($E720="","",IF(AND($M720&lt;&gt;"",$J720&lt;&gt;"",$M720&lt;&gt;$J720),1,0))</f>
        <v/>
      </c>
      <c r="W720" s="39" t="str">
        <f aca="false">IF($E720="","",IF($L720="Cancelada",0,IF(OR($K720&lt;&gt;"",$L720="Concluída"),1,0)))</f>
        <v/>
      </c>
    </row>
    <row r="721" customFormat="false" ht="15" hidden="false" customHeight="true" outlineLevel="0" collapsed="false">
      <c r="A721" s="31" t="str">
        <f aca="false">IF($E721="","",COUNTA($E$5:$E721))</f>
        <v/>
      </c>
      <c r="B721" s="32"/>
      <c r="C721" s="32"/>
      <c r="D721" s="32"/>
      <c r="E721" s="32"/>
      <c r="F721" s="33"/>
      <c r="G721" s="32"/>
      <c r="H721" s="34"/>
      <c r="I721" s="35"/>
      <c r="J721" s="36" t="str">
        <f aca="false">IF(OR($H721="",$I721=""),"",$H721+MATCH($I721,Listas!$F$5:$F$11,0)-1)</f>
        <v/>
      </c>
      <c r="K721" s="37"/>
      <c r="L721" s="33"/>
      <c r="M721" s="37"/>
      <c r="N721" s="32"/>
      <c r="O721" s="32"/>
      <c r="P721" s="38" t="str">
        <f aca="true">IF($E721="","",IF($L721="Cancelada","Cancelada",IF(OR($K721&lt;&gt;"",$L721="Concluída"),IF(OR($J721="",$K721="",$K721&lt;=$J721),"Concluída","Concluída com atraso"),IF($J721="","Na carteira",IF($J721&lt;TODAY(),"VENCIDA",IF($L721="Em execução","Em execução",IF($J721=TODAY(),"Hoje","Programada")))))))</f>
        <v/>
      </c>
      <c r="Q721" s="31" t="str">
        <f aca="false">IF($E721="","",IF(ISNUMBER(SEARCH("(externo)",$G721)),"Terceirizada","Interna"))</f>
        <v/>
      </c>
      <c r="R721" s="36" t="str">
        <f aca="false">IF($J721="","",IF($M721="",$J721,$M721))</f>
        <v/>
      </c>
      <c r="S721" s="31" t="str">
        <f aca="false">IF($E721="","",IF(OR($K721="",$J721=""),0,IF($K721&lt;=$J721,1,0)))</f>
        <v/>
      </c>
      <c r="T721" s="31" t="str">
        <f aca="false">IF($E721="","",IF(OR($K721="",$R721=""),0,IF($K721&lt;=$R721,1,0)))</f>
        <v/>
      </c>
      <c r="U721" s="38" t="str">
        <f aca="false">IF(OR($K721="",$J721=""),"",MAX(0,$K721-$J721))</f>
        <v/>
      </c>
      <c r="V721" s="31" t="str">
        <f aca="false">IF($E721="","",IF(AND($M721&lt;&gt;"",$J721&lt;&gt;"",$M721&lt;&gt;$J721),1,0))</f>
        <v/>
      </c>
      <c r="W721" s="39" t="str">
        <f aca="false">IF($E721="","",IF($L721="Cancelada",0,IF(OR($K721&lt;&gt;"",$L721="Concluída"),1,0)))</f>
        <v/>
      </c>
    </row>
    <row r="722" customFormat="false" ht="15" hidden="false" customHeight="true" outlineLevel="0" collapsed="false">
      <c r="A722" s="31" t="str">
        <f aca="false">IF($E722="","",COUNTA($E$5:$E722))</f>
        <v/>
      </c>
      <c r="B722" s="32"/>
      <c r="C722" s="32"/>
      <c r="D722" s="32"/>
      <c r="E722" s="32"/>
      <c r="F722" s="33"/>
      <c r="G722" s="32"/>
      <c r="H722" s="34"/>
      <c r="I722" s="35"/>
      <c r="J722" s="36" t="str">
        <f aca="false">IF(OR($H722="",$I722=""),"",$H722+MATCH($I722,Listas!$F$5:$F$11,0)-1)</f>
        <v/>
      </c>
      <c r="K722" s="37"/>
      <c r="L722" s="33"/>
      <c r="M722" s="37"/>
      <c r="N722" s="32"/>
      <c r="O722" s="32"/>
      <c r="P722" s="38" t="str">
        <f aca="true">IF($E722="","",IF($L722="Cancelada","Cancelada",IF(OR($K722&lt;&gt;"",$L722="Concluída"),IF(OR($J722="",$K722="",$K722&lt;=$J722),"Concluída","Concluída com atraso"),IF($J722="","Na carteira",IF($J722&lt;TODAY(),"VENCIDA",IF($L722="Em execução","Em execução",IF($J722=TODAY(),"Hoje","Programada")))))))</f>
        <v/>
      </c>
      <c r="Q722" s="31" t="str">
        <f aca="false">IF($E722="","",IF(ISNUMBER(SEARCH("(externo)",$G722)),"Terceirizada","Interna"))</f>
        <v/>
      </c>
      <c r="R722" s="36" t="str">
        <f aca="false">IF($J722="","",IF($M722="",$J722,$M722))</f>
        <v/>
      </c>
      <c r="S722" s="31" t="str">
        <f aca="false">IF($E722="","",IF(OR($K722="",$J722=""),0,IF($K722&lt;=$J722,1,0)))</f>
        <v/>
      </c>
      <c r="T722" s="31" t="str">
        <f aca="false">IF($E722="","",IF(OR($K722="",$R722=""),0,IF($K722&lt;=$R722,1,0)))</f>
        <v/>
      </c>
      <c r="U722" s="38" t="str">
        <f aca="false">IF(OR($K722="",$J722=""),"",MAX(0,$K722-$J722))</f>
        <v/>
      </c>
      <c r="V722" s="31" t="str">
        <f aca="false">IF($E722="","",IF(AND($M722&lt;&gt;"",$J722&lt;&gt;"",$M722&lt;&gt;$J722),1,0))</f>
        <v/>
      </c>
      <c r="W722" s="39" t="str">
        <f aca="false">IF($E722="","",IF($L722="Cancelada",0,IF(OR($K722&lt;&gt;"",$L722="Concluída"),1,0)))</f>
        <v/>
      </c>
    </row>
    <row r="723" customFormat="false" ht="15" hidden="false" customHeight="true" outlineLevel="0" collapsed="false">
      <c r="A723" s="31" t="str">
        <f aca="false">IF($E723="","",COUNTA($E$5:$E723))</f>
        <v/>
      </c>
      <c r="B723" s="32"/>
      <c r="C723" s="32"/>
      <c r="D723" s="32"/>
      <c r="E723" s="32"/>
      <c r="F723" s="33"/>
      <c r="G723" s="32"/>
      <c r="H723" s="34"/>
      <c r="I723" s="35"/>
      <c r="J723" s="36" t="str">
        <f aca="false">IF(OR($H723="",$I723=""),"",$H723+MATCH($I723,Listas!$F$5:$F$11,0)-1)</f>
        <v/>
      </c>
      <c r="K723" s="37"/>
      <c r="L723" s="33"/>
      <c r="M723" s="37"/>
      <c r="N723" s="32"/>
      <c r="O723" s="32"/>
      <c r="P723" s="38" t="str">
        <f aca="true">IF($E723="","",IF($L723="Cancelada","Cancelada",IF(OR($K723&lt;&gt;"",$L723="Concluída"),IF(OR($J723="",$K723="",$K723&lt;=$J723),"Concluída","Concluída com atraso"),IF($J723="","Na carteira",IF($J723&lt;TODAY(),"VENCIDA",IF($L723="Em execução","Em execução",IF($J723=TODAY(),"Hoje","Programada")))))))</f>
        <v/>
      </c>
      <c r="Q723" s="31" t="str">
        <f aca="false">IF($E723="","",IF(ISNUMBER(SEARCH("(externo)",$G723)),"Terceirizada","Interna"))</f>
        <v/>
      </c>
      <c r="R723" s="36" t="str">
        <f aca="false">IF($J723="","",IF($M723="",$J723,$M723))</f>
        <v/>
      </c>
      <c r="S723" s="31" t="str">
        <f aca="false">IF($E723="","",IF(OR($K723="",$J723=""),0,IF($K723&lt;=$J723,1,0)))</f>
        <v/>
      </c>
      <c r="T723" s="31" t="str">
        <f aca="false">IF($E723="","",IF(OR($K723="",$R723=""),0,IF($K723&lt;=$R723,1,0)))</f>
        <v/>
      </c>
      <c r="U723" s="38" t="str">
        <f aca="false">IF(OR($K723="",$J723=""),"",MAX(0,$K723-$J723))</f>
        <v/>
      </c>
      <c r="V723" s="31" t="str">
        <f aca="false">IF($E723="","",IF(AND($M723&lt;&gt;"",$J723&lt;&gt;"",$M723&lt;&gt;$J723),1,0))</f>
        <v/>
      </c>
      <c r="W723" s="39" t="str">
        <f aca="false">IF($E723="","",IF($L723="Cancelada",0,IF(OR($K723&lt;&gt;"",$L723="Concluída"),1,0)))</f>
        <v/>
      </c>
    </row>
    <row r="724" customFormat="false" ht="15" hidden="false" customHeight="true" outlineLevel="0" collapsed="false">
      <c r="A724" s="31" t="str">
        <f aca="false">IF($E724="","",COUNTA($E$5:$E724))</f>
        <v/>
      </c>
      <c r="B724" s="32"/>
      <c r="C724" s="32"/>
      <c r="D724" s="32"/>
      <c r="E724" s="32"/>
      <c r="F724" s="33"/>
      <c r="G724" s="32"/>
      <c r="H724" s="34"/>
      <c r="I724" s="35"/>
      <c r="J724" s="36" t="str">
        <f aca="false">IF(OR($H724="",$I724=""),"",$H724+MATCH($I724,Listas!$F$5:$F$11,0)-1)</f>
        <v/>
      </c>
      <c r="K724" s="37"/>
      <c r="L724" s="33"/>
      <c r="M724" s="37"/>
      <c r="N724" s="32"/>
      <c r="O724" s="32"/>
      <c r="P724" s="38" t="str">
        <f aca="true">IF($E724="","",IF($L724="Cancelada","Cancelada",IF(OR($K724&lt;&gt;"",$L724="Concluída"),IF(OR($J724="",$K724="",$K724&lt;=$J724),"Concluída","Concluída com atraso"),IF($J724="","Na carteira",IF($J724&lt;TODAY(),"VENCIDA",IF($L724="Em execução","Em execução",IF($J724=TODAY(),"Hoje","Programada")))))))</f>
        <v/>
      </c>
      <c r="Q724" s="31" t="str">
        <f aca="false">IF($E724="","",IF(ISNUMBER(SEARCH("(externo)",$G724)),"Terceirizada","Interna"))</f>
        <v/>
      </c>
      <c r="R724" s="36" t="str">
        <f aca="false">IF($J724="","",IF($M724="",$J724,$M724))</f>
        <v/>
      </c>
      <c r="S724" s="31" t="str">
        <f aca="false">IF($E724="","",IF(OR($K724="",$J724=""),0,IF($K724&lt;=$J724,1,0)))</f>
        <v/>
      </c>
      <c r="T724" s="31" t="str">
        <f aca="false">IF($E724="","",IF(OR($K724="",$R724=""),0,IF($K724&lt;=$R724,1,0)))</f>
        <v/>
      </c>
      <c r="U724" s="38" t="str">
        <f aca="false">IF(OR($K724="",$J724=""),"",MAX(0,$K724-$J724))</f>
        <v/>
      </c>
      <c r="V724" s="31" t="str">
        <f aca="false">IF($E724="","",IF(AND($M724&lt;&gt;"",$J724&lt;&gt;"",$M724&lt;&gt;$J724),1,0))</f>
        <v/>
      </c>
      <c r="W724" s="39" t="str">
        <f aca="false">IF($E724="","",IF($L724="Cancelada",0,IF(OR($K724&lt;&gt;"",$L724="Concluída"),1,0)))</f>
        <v/>
      </c>
    </row>
    <row r="725" customFormat="false" ht="15" hidden="false" customHeight="true" outlineLevel="0" collapsed="false">
      <c r="A725" s="31" t="str">
        <f aca="false">IF($E725="","",COUNTA($E$5:$E725))</f>
        <v/>
      </c>
      <c r="B725" s="32"/>
      <c r="C725" s="32"/>
      <c r="D725" s="32"/>
      <c r="E725" s="32"/>
      <c r="F725" s="33"/>
      <c r="G725" s="32"/>
      <c r="H725" s="34"/>
      <c r="I725" s="35"/>
      <c r="J725" s="36" t="str">
        <f aca="false">IF(OR($H725="",$I725=""),"",$H725+MATCH($I725,Listas!$F$5:$F$11,0)-1)</f>
        <v/>
      </c>
      <c r="K725" s="37"/>
      <c r="L725" s="33"/>
      <c r="M725" s="37"/>
      <c r="N725" s="32"/>
      <c r="O725" s="32"/>
      <c r="P725" s="38" t="str">
        <f aca="true">IF($E725="","",IF($L725="Cancelada","Cancelada",IF(OR($K725&lt;&gt;"",$L725="Concluída"),IF(OR($J725="",$K725="",$K725&lt;=$J725),"Concluída","Concluída com atraso"),IF($J725="","Na carteira",IF($J725&lt;TODAY(),"VENCIDA",IF($L725="Em execução","Em execução",IF($J725=TODAY(),"Hoje","Programada")))))))</f>
        <v/>
      </c>
      <c r="Q725" s="31" t="str">
        <f aca="false">IF($E725="","",IF(ISNUMBER(SEARCH("(externo)",$G725)),"Terceirizada","Interna"))</f>
        <v/>
      </c>
      <c r="R725" s="36" t="str">
        <f aca="false">IF($J725="","",IF($M725="",$J725,$M725))</f>
        <v/>
      </c>
      <c r="S725" s="31" t="str">
        <f aca="false">IF($E725="","",IF(OR($K725="",$J725=""),0,IF($K725&lt;=$J725,1,0)))</f>
        <v/>
      </c>
      <c r="T725" s="31" t="str">
        <f aca="false">IF($E725="","",IF(OR($K725="",$R725=""),0,IF($K725&lt;=$R725,1,0)))</f>
        <v/>
      </c>
      <c r="U725" s="38" t="str">
        <f aca="false">IF(OR($K725="",$J725=""),"",MAX(0,$K725-$J725))</f>
        <v/>
      </c>
      <c r="V725" s="31" t="str">
        <f aca="false">IF($E725="","",IF(AND($M725&lt;&gt;"",$J725&lt;&gt;"",$M725&lt;&gt;$J725),1,0))</f>
        <v/>
      </c>
      <c r="W725" s="39" t="str">
        <f aca="false">IF($E725="","",IF($L725="Cancelada",0,IF(OR($K725&lt;&gt;"",$L725="Concluída"),1,0)))</f>
        <v/>
      </c>
    </row>
    <row r="726" customFormat="false" ht="15" hidden="false" customHeight="true" outlineLevel="0" collapsed="false">
      <c r="A726" s="31" t="str">
        <f aca="false">IF($E726="","",COUNTA($E$5:$E726))</f>
        <v/>
      </c>
      <c r="B726" s="32"/>
      <c r="C726" s="32"/>
      <c r="D726" s="32"/>
      <c r="E726" s="32"/>
      <c r="F726" s="33"/>
      <c r="G726" s="32"/>
      <c r="H726" s="34"/>
      <c r="I726" s="35"/>
      <c r="J726" s="36" t="str">
        <f aca="false">IF(OR($H726="",$I726=""),"",$H726+MATCH($I726,Listas!$F$5:$F$11,0)-1)</f>
        <v/>
      </c>
      <c r="K726" s="37"/>
      <c r="L726" s="33"/>
      <c r="M726" s="37"/>
      <c r="N726" s="32"/>
      <c r="O726" s="32"/>
      <c r="P726" s="38" t="str">
        <f aca="true">IF($E726="","",IF($L726="Cancelada","Cancelada",IF(OR($K726&lt;&gt;"",$L726="Concluída"),IF(OR($J726="",$K726="",$K726&lt;=$J726),"Concluída","Concluída com atraso"),IF($J726="","Na carteira",IF($J726&lt;TODAY(),"VENCIDA",IF($L726="Em execução","Em execução",IF($J726=TODAY(),"Hoje","Programada")))))))</f>
        <v/>
      </c>
      <c r="Q726" s="31" t="str">
        <f aca="false">IF($E726="","",IF(ISNUMBER(SEARCH("(externo)",$G726)),"Terceirizada","Interna"))</f>
        <v/>
      </c>
      <c r="R726" s="36" t="str">
        <f aca="false">IF($J726="","",IF($M726="",$J726,$M726))</f>
        <v/>
      </c>
      <c r="S726" s="31" t="str">
        <f aca="false">IF($E726="","",IF(OR($K726="",$J726=""),0,IF($K726&lt;=$J726,1,0)))</f>
        <v/>
      </c>
      <c r="T726" s="31" t="str">
        <f aca="false">IF($E726="","",IF(OR($K726="",$R726=""),0,IF($K726&lt;=$R726,1,0)))</f>
        <v/>
      </c>
      <c r="U726" s="38" t="str">
        <f aca="false">IF(OR($K726="",$J726=""),"",MAX(0,$K726-$J726))</f>
        <v/>
      </c>
      <c r="V726" s="31" t="str">
        <f aca="false">IF($E726="","",IF(AND($M726&lt;&gt;"",$J726&lt;&gt;"",$M726&lt;&gt;$J726),1,0))</f>
        <v/>
      </c>
      <c r="W726" s="39" t="str">
        <f aca="false">IF($E726="","",IF($L726="Cancelada",0,IF(OR($K726&lt;&gt;"",$L726="Concluída"),1,0)))</f>
        <v/>
      </c>
    </row>
    <row r="727" customFormat="false" ht="15" hidden="false" customHeight="true" outlineLevel="0" collapsed="false">
      <c r="A727" s="31" t="str">
        <f aca="false">IF($E727="","",COUNTA($E$5:$E727))</f>
        <v/>
      </c>
      <c r="B727" s="32"/>
      <c r="C727" s="32"/>
      <c r="D727" s="32"/>
      <c r="E727" s="32"/>
      <c r="F727" s="33"/>
      <c r="G727" s="32"/>
      <c r="H727" s="34"/>
      <c r="I727" s="35"/>
      <c r="J727" s="36" t="str">
        <f aca="false">IF(OR($H727="",$I727=""),"",$H727+MATCH($I727,Listas!$F$5:$F$11,0)-1)</f>
        <v/>
      </c>
      <c r="K727" s="37"/>
      <c r="L727" s="33"/>
      <c r="M727" s="37"/>
      <c r="N727" s="32"/>
      <c r="O727" s="32"/>
      <c r="P727" s="38" t="str">
        <f aca="true">IF($E727="","",IF($L727="Cancelada","Cancelada",IF(OR($K727&lt;&gt;"",$L727="Concluída"),IF(OR($J727="",$K727="",$K727&lt;=$J727),"Concluída","Concluída com atraso"),IF($J727="","Na carteira",IF($J727&lt;TODAY(),"VENCIDA",IF($L727="Em execução","Em execução",IF($J727=TODAY(),"Hoje","Programada")))))))</f>
        <v/>
      </c>
      <c r="Q727" s="31" t="str">
        <f aca="false">IF($E727="","",IF(ISNUMBER(SEARCH("(externo)",$G727)),"Terceirizada","Interna"))</f>
        <v/>
      </c>
      <c r="R727" s="36" t="str">
        <f aca="false">IF($J727="","",IF($M727="",$J727,$M727))</f>
        <v/>
      </c>
      <c r="S727" s="31" t="str">
        <f aca="false">IF($E727="","",IF(OR($K727="",$J727=""),0,IF($K727&lt;=$J727,1,0)))</f>
        <v/>
      </c>
      <c r="T727" s="31" t="str">
        <f aca="false">IF($E727="","",IF(OR($K727="",$R727=""),0,IF($K727&lt;=$R727,1,0)))</f>
        <v/>
      </c>
      <c r="U727" s="38" t="str">
        <f aca="false">IF(OR($K727="",$J727=""),"",MAX(0,$K727-$J727))</f>
        <v/>
      </c>
      <c r="V727" s="31" t="str">
        <f aca="false">IF($E727="","",IF(AND($M727&lt;&gt;"",$J727&lt;&gt;"",$M727&lt;&gt;$J727),1,0))</f>
        <v/>
      </c>
      <c r="W727" s="39" t="str">
        <f aca="false">IF($E727="","",IF($L727="Cancelada",0,IF(OR($K727&lt;&gt;"",$L727="Concluída"),1,0)))</f>
        <v/>
      </c>
    </row>
    <row r="728" customFormat="false" ht="15" hidden="false" customHeight="true" outlineLevel="0" collapsed="false">
      <c r="A728" s="31" t="str">
        <f aca="false">IF($E728="","",COUNTA($E$5:$E728))</f>
        <v/>
      </c>
      <c r="B728" s="32"/>
      <c r="C728" s="32"/>
      <c r="D728" s="32"/>
      <c r="E728" s="32"/>
      <c r="F728" s="33"/>
      <c r="G728" s="32"/>
      <c r="H728" s="34"/>
      <c r="I728" s="35"/>
      <c r="J728" s="36" t="str">
        <f aca="false">IF(OR($H728="",$I728=""),"",$H728+MATCH($I728,Listas!$F$5:$F$11,0)-1)</f>
        <v/>
      </c>
      <c r="K728" s="37"/>
      <c r="L728" s="33"/>
      <c r="M728" s="37"/>
      <c r="N728" s="32"/>
      <c r="O728" s="32"/>
      <c r="P728" s="38" t="str">
        <f aca="true">IF($E728="","",IF($L728="Cancelada","Cancelada",IF(OR($K728&lt;&gt;"",$L728="Concluída"),IF(OR($J728="",$K728="",$K728&lt;=$J728),"Concluída","Concluída com atraso"),IF($J728="","Na carteira",IF($J728&lt;TODAY(),"VENCIDA",IF($L728="Em execução","Em execução",IF($J728=TODAY(),"Hoje","Programada")))))))</f>
        <v/>
      </c>
      <c r="Q728" s="31" t="str">
        <f aca="false">IF($E728="","",IF(ISNUMBER(SEARCH("(externo)",$G728)),"Terceirizada","Interna"))</f>
        <v/>
      </c>
      <c r="R728" s="36" t="str">
        <f aca="false">IF($J728="","",IF($M728="",$J728,$M728))</f>
        <v/>
      </c>
      <c r="S728" s="31" t="str">
        <f aca="false">IF($E728="","",IF(OR($K728="",$J728=""),0,IF($K728&lt;=$J728,1,0)))</f>
        <v/>
      </c>
      <c r="T728" s="31" t="str">
        <f aca="false">IF($E728="","",IF(OR($K728="",$R728=""),0,IF($K728&lt;=$R728,1,0)))</f>
        <v/>
      </c>
      <c r="U728" s="38" t="str">
        <f aca="false">IF(OR($K728="",$J728=""),"",MAX(0,$K728-$J728))</f>
        <v/>
      </c>
      <c r="V728" s="31" t="str">
        <f aca="false">IF($E728="","",IF(AND($M728&lt;&gt;"",$J728&lt;&gt;"",$M728&lt;&gt;$J728),1,0))</f>
        <v/>
      </c>
      <c r="W728" s="39" t="str">
        <f aca="false">IF($E728="","",IF($L728="Cancelada",0,IF(OR($K728&lt;&gt;"",$L728="Concluída"),1,0)))</f>
        <v/>
      </c>
    </row>
    <row r="729" customFormat="false" ht="15" hidden="false" customHeight="true" outlineLevel="0" collapsed="false">
      <c r="A729" s="31" t="str">
        <f aca="false">IF($E729="","",COUNTA($E$5:$E729))</f>
        <v/>
      </c>
      <c r="B729" s="32"/>
      <c r="C729" s="32"/>
      <c r="D729" s="32"/>
      <c r="E729" s="32"/>
      <c r="F729" s="33"/>
      <c r="G729" s="32"/>
      <c r="H729" s="34"/>
      <c r="I729" s="35"/>
      <c r="J729" s="36" t="str">
        <f aca="false">IF(OR($H729="",$I729=""),"",$H729+MATCH($I729,Listas!$F$5:$F$11,0)-1)</f>
        <v/>
      </c>
      <c r="K729" s="37"/>
      <c r="L729" s="33"/>
      <c r="M729" s="37"/>
      <c r="N729" s="32"/>
      <c r="O729" s="32"/>
      <c r="P729" s="38" t="str">
        <f aca="true">IF($E729="","",IF($L729="Cancelada","Cancelada",IF(OR($K729&lt;&gt;"",$L729="Concluída"),IF(OR($J729="",$K729="",$K729&lt;=$J729),"Concluída","Concluída com atraso"),IF($J729="","Na carteira",IF($J729&lt;TODAY(),"VENCIDA",IF($L729="Em execução","Em execução",IF($J729=TODAY(),"Hoje","Programada")))))))</f>
        <v/>
      </c>
      <c r="Q729" s="31" t="str">
        <f aca="false">IF($E729="","",IF(ISNUMBER(SEARCH("(externo)",$G729)),"Terceirizada","Interna"))</f>
        <v/>
      </c>
      <c r="R729" s="36" t="str">
        <f aca="false">IF($J729="","",IF($M729="",$J729,$M729))</f>
        <v/>
      </c>
      <c r="S729" s="31" t="str">
        <f aca="false">IF($E729="","",IF(OR($K729="",$J729=""),0,IF($K729&lt;=$J729,1,0)))</f>
        <v/>
      </c>
      <c r="T729" s="31" t="str">
        <f aca="false">IF($E729="","",IF(OR($K729="",$R729=""),0,IF($K729&lt;=$R729,1,0)))</f>
        <v/>
      </c>
      <c r="U729" s="38" t="str">
        <f aca="false">IF(OR($K729="",$J729=""),"",MAX(0,$K729-$J729))</f>
        <v/>
      </c>
      <c r="V729" s="31" t="str">
        <f aca="false">IF($E729="","",IF(AND($M729&lt;&gt;"",$J729&lt;&gt;"",$M729&lt;&gt;$J729),1,0))</f>
        <v/>
      </c>
      <c r="W729" s="39" t="str">
        <f aca="false">IF($E729="","",IF($L729="Cancelada",0,IF(OR($K729&lt;&gt;"",$L729="Concluída"),1,0)))</f>
        <v/>
      </c>
    </row>
    <row r="730" customFormat="false" ht="15" hidden="false" customHeight="true" outlineLevel="0" collapsed="false">
      <c r="A730" s="31" t="str">
        <f aca="false">IF($E730="","",COUNTA($E$5:$E730))</f>
        <v/>
      </c>
      <c r="B730" s="32"/>
      <c r="C730" s="32"/>
      <c r="D730" s="32"/>
      <c r="E730" s="32"/>
      <c r="F730" s="33"/>
      <c r="G730" s="32"/>
      <c r="H730" s="34"/>
      <c r="I730" s="35"/>
      <c r="J730" s="36" t="str">
        <f aca="false">IF(OR($H730="",$I730=""),"",$H730+MATCH($I730,Listas!$F$5:$F$11,0)-1)</f>
        <v/>
      </c>
      <c r="K730" s="37"/>
      <c r="L730" s="33"/>
      <c r="M730" s="37"/>
      <c r="N730" s="32"/>
      <c r="O730" s="32"/>
      <c r="P730" s="38" t="str">
        <f aca="true">IF($E730="","",IF($L730="Cancelada","Cancelada",IF(OR($K730&lt;&gt;"",$L730="Concluída"),IF(OR($J730="",$K730="",$K730&lt;=$J730),"Concluída","Concluída com atraso"),IF($J730="","Na carteira",IF($J730&lt;TODAY(),"VENCIDA",IF($L730="Em execução","Em execução",IF($J730=TODAY(),"Hoje","Programada")))))))</f>
        <v/>
      </c>
      <c r="Q730" s="31" t="str">
        <f aca="false">IF($E730="","",IF(ISNUMBER(SEARCH("(externo)",$G730)),"Terceirizada","Interna"))</f>
        <v/>
      </c>
      <c r="R730" s="36" t="str">
        <f aca="false">IF($J730="","",IF($M730="",$J730,$M730))</f>
        <v/>
      </c>
      <c r="S730" s="31" t="str">
        <f aca="false">IF($E730="","",IF(OR($K730="",$J730=""),0,IF($K730&lt;=$J730,1,0)))</f>
        <v/>
      </c>
      <c r="T730" s="31" t="str">
        <f aca="false">IF($E730="","",IF(OR($K730="",$R730=""),0,IF($K730&lt;=$R730,1,0)))</f>
        <v/>
      </c>
      <c r="U730" s="38" t="str">
        <f aca="false">IF(OR($K730="",$J730=""),"",MAX(0,$K730-$J730))</f>
        <v/>
      </c>
      <c r="V730" s="31" t="str">
        <f aca="false">IF($E730="","",IF(AND($M730&lt;&gt;"",$J730&lt;&gt;"",$M730&lt;&gt;$J730),1,0))</f>
        <v/>
      </c>
      <c r="W730" s="39" t="str">
        <f aca="false">IF($E730="","",IF($L730="Cancelada",0,IF(OR($K730&lt;&gt;"",$L730="Concluída"),1,0)))</f>
        <v/>
      </c>
    </row>
    <row r="731" customFormat="false" ht="15" hidden="false" customHeight="true" outlineLevel="0" collapsed="false">
      <c r="A731" s="31" t="str">
        <f aca="false">IF($E731="","",COUNTA($E$5:$E731))</f>
        <v/>
      </c>
      <c r="B731" s="32"/>
      <c r="C731" s="32"/>
      <c r="D731" s="32"/>
      <c r="E731" s="32"/>
      <c r="F731" s="33"/>
      <c r="G731" s="32"/>
      <c r="H731" s="34"/>
      <c r="I731" s="35"/>
      <c r="J731" s="36" t="str">
        <f aca="false">IF(OR($H731="",$I731=""),"",$H731+MATCH($I731,Listas!$F$5:$F$11,0)-1)</f>
        <v/>
      </c>
      <c r="K731" s="37"/>
      <c r="L731" s="33"/>
      <c r="M731" s="37"/>
      <c r="N731" s="32"/>
      <c r="O731" s="32"/>
      <c r="P731" s="38" t="str">
        <f aca="true">IF($E731="","",IF($L731="Cancelada","Cancelada",IF(OR($K731&lt;&gt;"",$L731="Concluída"),IF(OR($J731="",$K731="",$K731&lt;=$J731),"Concluída","Concluída com atraso"),IF($J731="","Na carteira",IF($J731&lt;TODAY(),"VENCIDA",IF($L731="Em execução","Em execução",IF($J731=TODAY(),"Hoje","Programada")))))))</f>
        <v/>
      </c>
      <c r="Q731" s="31" t="str">
        <f aca="false">IF($E731="","",IF(ISNUMBER(SEARCH("(externo)",$G731)),"Terceirizada","Interna"))</f>
        <v/>
      </c>
      <c r="R731" s="36" t="str">
        <f aca="false">IF($J731="","",IF($M731="",$J731,$M731))</f>
        <v/>
      </c>
      <c r="S731" s="31" t="str">
        <f aca="false">IF($E731="","",IF(OR($K731="",$J731=""),0,IF($K731&lt;=$J731,1,0)))</f>
        <v/>
      </c>
      <c r="T731" s="31" t="str">
        <f aca="false">IF($E731="","",IF(OR($K731="",$R731=""),0,IF($K731&lt;=$R731,1,0)))</f>
        <v/>
      </c>
      <c r="U731" s="38" t="str">
        <f aca="false">IF(OR($K731="",$J731=""),"",MAX(0,$K731-$J731))</f>
        <v/>
      </c>
      <c r="V731" s="31" t="str">
        <f aca="false">IF($E731="","",IF(AND($M731&lt;&gt;"",$J731&lt;&gt;"",$M731&lt;&gt;$J731),1,0))</f>
        <v/>
      </c>
      <c r="W731" s="39" t="str">
        <f aca="false">IF($E731="","",IF($L731="Cancelada",0,IF(OR($K731&lt;&gt;"",$L731="Concluída"),1,0)))</f>
        <v/>
      </c>
    </row>
    <row r="732" customFormat="false" ht="15" hidden="false" customHeight="true" outlineLevel="0" collapsed="false">
      <c r="A732" s="31" t="str">
        <f aca="false">IF($E732="","",COUNTA($E$5:$E732))</f>
        <v/>
      </c>
      <c r="B732" s="32"/>
      <c r="C732" s="32"/>
      <c r="D732" s="32"/>
      <c r="E732" s="32"/>
      <c r="F732" s="33"/>
      <c r="G732" s="32"/>
      <c r="H732" s="34"/>
      <c r="I732" s="35"/>
      <c r="J732" s="36" t="str">
        <f aca="false">IF(OR($H732="",$I732=""),"",$H732+MATCH($I732,Listas!$F$5:$F$11,0)-1)</f>
        <v/>
      </c>
      <c r="K732" s="37"/>
      <c r="L732" s="33"/>
      <c r="M732" s="37"/>
      <c r="N732" s="32"/>
      <c r="O732" s="32"/>
      <c r="P732" s="38" t="str">
        <f aca="true">IF($E732="","",IF($L732="Cancelada","Cancelada",IF(OR($K732&lt;&gt;"",$L732="Concluída"),IF(OR($J732="",$K732="",$K732&lt;=$J732),"Concluída","Concluída com atraso"),IF($J732="","Na carteira",IF($J732&lt;TODAY(),"VENCIDA",IF($L732="Em execução","Em execução",IF($J732=TODAY(),"Hoje","Programada")))))))</f>
        <v/>
      </c>
      <c r="Q732" s="31" t="str">
        <f aca="false">IF($E732="","",IF(ISNUMBER(SEARCH("(externo)",$G732)),"Terceirizada","Interna"))</f>
        <v/>
      </c>
      <c r="R732" s="36" t="str">
        <f aca="false">IF($J732="","",IF($M732="",$J732,$M732))</f>
        <v/>
      </c>
      <c r="S732" s="31" t="str">
        <f aca="false">IF($E732="","",IF(OR($K732="",$J732=""),0,IF($K732&lt;=$J732,1,0)))</f>
        <v/>
      </c>
      <c r="T732" s="31" t="str">
        <f aca="false">IF($E732="","",IF(OR($K732="",$R732=""),0,IF($K732&lt;=$R732,1,0)))</f>
        <v/>
      </c>
      <c r="U732" s="38" t="str">
        <f aca="false">IF(OR($K732="",$J732=""),"",MAX(0,$K732-$J732))</f>
        <v/>
      </c>
      <c r="V732" s="31" t="str">
        <f aca="false">IF($E732="","",IF(AND($M732&lt;&gt;"",$J732&lt;&gt;"",$M732&lt;&gt;$J732),1,0))</f>
        <v/>
      </c>
      <c r="W732" s="39" t="str">
        <f aca="false">IF($E732="","",IF($L732="Cancelada",0,IF(OR($K732&lt;&gt;"",$L732="Concluída"),1,0)))</f>
        <v/>
      </c>
    </row>
    <row r="733" customFormat="false" ht="15" hidden="false" customHeight="true" outlineLevel="0" collapsed="false">
      <c r="A733" s="31" t="str">
        <f aca="false">IF($E733="","",COUNTA($E$5:$E733))</f>
        <v/>
      </c>
      <c r="B733" s="32"/>
      <c r="C733" s="32"/>
      <c r="D733" s="32"/>
      <c r="E733" s="32"/>
      <c r="F733" s="33"/>
      <c r="G733" s="32"/>
      <c r="H733" s="34"/>
      <c r="I733" s="35"/>
      <c r="J733" s="36" t="str">
        <f aca="false">IF(OR($H733="",$I733=""),"",$H733+MATCH($I733,Listas!$F$5:$F$11,0)-1)</f>
        <v/>
      </c>
      <c r="K733" s="37"/>
      <c r="L733" s="33"/>
      <c r="M733" s="37"/>
      <c r="N733" s="32"/>
      <c r="O733" s="32"/>
      <c r="P733" s="38" t="str">
        <f aca="true">IF($E733="","",IF($L733="Cancelada","Cancelada",IF(OR($K733&lt;&gt;"",$L733="Concluída"),IF(OR($J733="",$K733="",$K733&lt;=$J733),"Concluída","Concluída com atraso"),IF($J733="","Na carteira",IF($J733&lt;TODAY(),"VENCIDA",IF($L733="Em execução","Em execução",IF($J733=TODAY(),"Hoje","Programada")))))))</f>
        <v/>
      </c>
      <c r="Q733" s="31" t="str">
        <f aca="false">IF($E733="","",IF(ISNUMBER(SEARCH("(externo)",$G733)),"Terceirizada","Interna"))</f>
        <v/>
      </c>
      <c r="R733" s="36" t="str">
        <f aca="false">IF($J733="","",IF($M733="",$J733,$M733))</f>
        <v/>
      </c>
      <c r="S733" s="31" t="str">
        <f aca="false">IF($E733="","",IF(OR($K733="",$J733=""),0,IF($K733&lt;=$J733,1,0)))</f>
        <v/>
      </c>
      <c r="T733" s="31" t="str">
        <f aca="false">IF($E733="","",IF(OR($K733="",$R733=""),0,IF($K733&lt;=$R733,1,0)))</f>
        <v/>
      </c>
      <c r="U733" s="38" t="str">
        <f aca="false">IF(OR($K733="",$J733=""),"",MAX(0,$K733-$J733))</f>
        <v/>
      </c>
      <c r="V733" s="31" t="str">
        <f aca="false">IF($E733="","",IF(AND($M733&lt;&gt;"",$J733&lt;&gt;"",$M733&lt;&gt;$J733),1,0))</f>
        <v/>
      </c>
      <c r="W733" s="39" t="str">
        <f aca="false">IF($E733="","",IF($L733="Cancelada",0,IF(OR($K733&lt;&gt;"",$L733="Concluída"),1,0)))</f>
        <v/>
      </c>
    </row>
    <row r="734" customFormat="false" ht="15" hidden="false" customHeight="true" outlineLevel="0" collapsed="false">
      <c r="A734" s="31" t="str">
        <f aca="false">IF($E734="","",COUNTA($E$5:$E734))</f>
        <v/>
      </c>
      <c r="B734" s="32"/>
      <c r="C734" s="32"/>
      <c r="D734" s="32"/>
      <c r="E734" s="32"/>
      <c r="F734" s="33"/>
      <c r="G734" s="32"/>
      <c r="H734" s="34"/>
      <c r="I734" s="35"/>
      <c r="J734" s="36" t="str">
        <f aca="false">IF(OR($H734="",$I734=""),"",$H734+MATCH($I734,Listas!$F$5:$F$11,0)-1)</f>
        <v/>
      </c>
      <c r="K734" s="37"/>
      <c r="L734" s="33"/>
      <c r="M734" s="37"/>
      <c r="N734" s="32"/>
      <c r="O734" s="32"/>
      <c r="P734" s="38" t="str">
        <f aca="true">IF($E734="","",IF($L734="Cancelada","Cancelada",IF(OR($K734&lt;&gt;"",$L734="Concluída"),IF(OR($J734="",$K734="",$K734&lt;=$J734),"Concluída","Concluída com atraso"),IF($J734="","Na carteira",IF($J734&lt;TODAY(),"VENCIDA",IF($L734="Em execução","Em execução",IF($J734=TODAY(),"Hoje","Programada")))))))</f>
        <v/>
      </c>
      <c r="Q734" s="31" t="str">
        <f aca="false">IF($E734="","",IF(ISNUMBER(SEARCH("(externo)",$G734)),"Terceirizada","Interna"))</f>
        <v/>
      </c>
      <c r="R734" s="36" t="str">
        <f aca="false">IF($J734="","",IF($M734="",$J734,$M734))</f>
        <v/>
      </c>
      <c r="S734" s="31" t="str">
        <f aca="false">IF($E734="","",IF(OR($K734="",$J734=""),0,IF($K734&lt;=$J734,1,0)))</f>
        <v/>
      </c>
      <c r="T734" s="31" t="str">
        <f aca="false">IF($E734="","",IF(OR($K734="",$R734=""),0,IF($K734&lt;=$R734,1,0)))</f>
        <v/>
      </c>
      <c r="U734" s="38" t="str">
        <f aca="false">IF(OR($K734="",$J734=""),"",MAX(0,$K734-$J734))</f>
        <v/>
      </c>
      <c r="V734" s="31" t="str">
        <f aca="false">IF($E734="","",IF(AND($M734&lt;&gt;"",$J734&lt;&gt;"",$M734&lt;&gt;$J734),1,0))</f>
        <v/>
      </c>
      <c r="W734" s="39" t="str">
        <f aca="false">IF($E734="","",IF($L734="Cancelada",0,IF(OR($K734&lt;&gt;"",$L734="Concluída"),1,0)))</f>
        <v/>
      </c>
    </row>
    <row r="735" customFormat="false" ht="15" hidden="false" customHeight="true" outlineLevel="0" collapsed="false">
      <c r="A735" s="31" t="str">
        <f aca="false">IF($E735="","",COUNTA($E$5:$E735))</f>
        <v/>
      </c>
      <c r="B735" s="32"/>
      <c r="C735" s="32"/>
      <c r="D735" s="32"/>
      <c r="E735" s="32"/>
      <c r="F735" s="33"/>
      <c r="G735" s="32"/>
      <c r="H735" s="34"/>
      <c r="I735" s="35"/>
      <c r="J735" s="36" t="str">
        <f aca="false">IF(OR($H735="",$I735=""),"",$H735+MATCH($I735,Listas!$F$5:$F$11,0)-1)</f>
        <v/>
      </c>
      <c r="K735" s="37"/>
      <c r="L735" s="33"/>
      <c r="M735" s="37"/>
      <c r="N735" s="32"/>
      <c r="O735" s="32"/>
      <c r="P735" s="38" t="str">
        <f aca="true">IF($E735="","",IF($L735="Cancelada","Cancelada",IF(OR($K735&lt;&gt;"",$L735="Concluída"),IF(OR($J735="",$K735="",$K735&lt;=$J735),"Concluída","Concluída com atraso"),IF($J735="","Na carteira",IF($J735&lt;TODAY(),"VENCIDA",IF($L735="Em execução","Em execução",IF($J735=TODAY(),"Hoje","Programada")))))))</f>
        <v/>
      </c>
      <c r="Q735" s="31" t="str">
        <f aca="false">IF($E735="","",IF(ISNUMBER(SEARCH("(externo)",$G735)),"Terceirizada","Interna"))</f>
        <v/>
      </c>
      <c r="R735" s="36" t="str">
        <f aca="false">IF($J735="","",IF($M735="",$J735,$M735))</f>
        <v/>
      </c>
      <c r="S735" s="31" t="str">
        <f aca="false">IF($E735="","",IF(OR($K735="",$J735=""),0,IF($K735&lt;=$J735,1,0)))</f>
        <v/>
      </c>
      <c r="T735" s="31" t="str">
        <f aca="false">IF($E735="","",IF(OR($K735="",$R735=""),0,IF($K735&lt;=$R735,1,0)))</f>
        <v/>
      </c>
      <c r="U735" s="38" t="str">
        <f aca="false">IF(OR($K735="",$J735=""),"",MAX(0,$K735-$J735))</f>
        <v/>
      </c>
      <c r="V735" s="31" t="str">
        <f aca="false">IF($E735="","",IF(AND($M735&lt;&gt;"",$J735&lt;&gt;"",$M735&lt;&gt;$J735),1,0))</f>
        <v/>
      </c>
      <c r="W735" s="39" t="str">
        <f aca="false">IF($E735="","",IF($L735="Cancelada",0,IF(OR($K735&lt;&gt;"",$L735="Concluída"),1,0)))</f>
        <v/>
      </c>
    </row>
    <row r="736" customFormat="false" ht="15" hidden="false" customHeight="true" outlineLevel="0" collapsed="false">
      <c r="A736" s="31" t="str">
        <f aca="false">IF($E736="","",COUNTA($E$5:$E736))</f>
        <v/>
      </c>
      <c r="B736" s="32"/>
      <c r="C736" s="32"/>
      <c r="D736" s="32"/>
      <c r="E736" s="32"/>
      <c r="F736" s="33"/>
      <c r="G736" s="32"/>
      <c r="H736" s="34"/>
      <c r="I736" s="35"/>
      <c r="J736" s="36" t="str">
        <f aca="false">IF(OR($H736="",$I736=""),"",$H736+MATCH($I736,Listas!$F$5:$F$11,0)-1)</f>
        <v/>
      </c>
      <c r="K736" s="37"/>
      <c r="L736" s="33"/>
      <c r="M736" s="37"/>
      <c r="N736" s="32"/>
      <c r="O736" s="32"/>
      <c r="P736" s="38" t="str">
        <f aca="true">IF($E736="","",IF($L736="Cancelada","Cancelada",IF(OR($K736&lt;&gt;"",$L736="Concluída"),IF(OR($J736="",$K736="",$K736&lt;=$J736),"Concluída","Concluída com atraso"),IF($J736="","Na carteira",IF($J736&lt;TODAY(),"VENCIDA",IF($L736="Em execução","Em execução",IF($J736=TODAY(),"Hoje","Programada")))))))</f>
        <v/>
      </c>
      <c r="Q736" s="31" t="str">
        <f aca="false">IF($E736="","",IF(ISNUMBER(SEARCH("(externo)",$G736)),"Terceirizada","Interna"))</f>
        <v/>
      </c>
      <c r="R736" s="36" t="str">
        <f aca="false">IF($J736="","",IF($M736="",$J736,$M736))</f>
        <v/>
      </c>
      <c r="S736" s="31" t="str">
        <f aca="false">IF($E736="","",IF(OR($K736="",$J736=""),0,IF($K736&lt;=$J736,1,0)))</f>
        <v/>
      </c>
      <c r="T736" s="31" t="str">
        <f aca="false">IF($E736="","",IF(OR($K736="",$R736=""),0,IF($K736&lt;=$R736,1,0)))</f>
        <v/>
      </c>
      <c r="U736" s="38" t="str">
        <f aca="false">IF(OR($K736="",$J736=""),"",MAX(0,$K736-$J736))</f>
        <v/>
      </c>
      <c r="V736" s="31" t="str">
        <f aca="false">IF($E736="","",IF(AND($M736&lt;&gt;"",$J736&lt;&gt;"",$M736&lt;&gt;$J736),1,0))</f>
        <v/>
      </c>
      <c r="W736" s="39" t="str">
        <f aca="false">IF($E736="","",IF($L736="Cancelada",0,IF(OR($K736&lt;&gt;"",$L736="Concluída"),1,0)))</f>
        <v/>
      </c>
    </row>
    <row r="737" customFormat="false" ht="15" hidden="false" customHeight="true" outlineLevel="0" collapsed="false">
      <c r="A737" s="31" t="str">
        <f aca="false">IF($E737="","",COUNTA($E$5:$E737))</f>
        <v/>
      </c>
      <c r="B737" s="32"/>
      <c r="C737" s="32"/>
      <c r="D737" s="32"/>
      <c r="E737" s="32"/>
      <c r="F737" s="33"/>
      <c r="G737" s="32"/>
      <c r="H737" s="34"/>
      <c r="I737" s="35"/>
      <c r="J737" s="36" t="str">
        <f aca="false">IF(OR($H737="",$I737=""),"",$H737+MATCH($I737,Listas!$F$5:$F$11,0)-1)</f>
        <v/>
      </c>
      <c r="K737" s="37"/>
      <c r="L737" s="33"/>
      <c r="M737" s="37"/>
      <c r="N737" s="32"/>
      <c r="O737" s="32"/>
      <c r="P737" s="38" t="str">
        <f aca="true">IF($E737="","",IF($L737="Cancelada","Cancelada",IF(OR($K737&lt;&gt;"",$L737="Concluída"),IF(OR($J737="",$K737="",$K737&lt;=$J737),"Concluída","Concluída com atraso"),IF($J737="","Na carteira",IF($J737&lt;TODAY(),"VENCIDA",IF($L737="Em execução","Em execução",IF($J737=TODAY(),"Hoje","Programada")))))))</f>
        <v/>
      </c>
      <c r="Q737" s="31" t="str">
        <f aca="false">IF($E737="","",IF(ISNUMBER(SEARCH("(externo)",$G737)),"Terceirizada","Interna"))</f>
        <v/>
      </c>
      <c r="R737" s="36" t="str">
        <f aca="false">IF($J737="","",IF($M737="",$J737,$M737))</f>
        <v/>
      </c>
      <c r="S737" s="31" t="str">
        <f aca="false">IF($E737="","",IF(OR($K737="",$J737=""),0,IF($K737&lt;=$J737,1,0)))</f>
        <v/>
      </c>
      <c r="T737" s="31" t="str">
        <f aca="false">IF($E737="","",IF(OR($K737="",$R737=""),0,IF($K737&lt;=$R737,1,0)))</f>
        <v/>
      </c>
      <c r="U737" s="38" t="str">
        <f aca="false">IF(OR($K737="",$J737=""),"",MAX(0,$K737-$J737))</f>
        <v/>
      </c>
      <c r="V737" s="31" t="str">
        <f aca="false">IF($E737="","",IF(AND($M737&lt;&gt;"",$J737&lt;&gt;"",$M737&lt;&gt;$J737),1,0))</f>
        <v/>
      </c>
      <c r="W737" s="39" t="str">
        <f aca="false">IF($E737="","",IF($L737="Cancelada",0,IF(OR($K737&lt;&gt;"",$L737="Concluída"),1,0)))</f>
        <v/>
      </c>
    </row>
    <row r="738" customFormat="false" ht="15" hidden="false" customHeight="true" outlineLevel="0" collapsed="false">
      <c r="A738" s="31" t="str">
        <f aca="false">IF($E738="","",COUNTA($E$5:$E738))</f>
        <v/>
      </c>
      <c r="B738" s="32"/>
      <c r="C738" s="32"/>
      <c r="D738" s="32"/>
      <c r="E738" s="32"/>
      <c r="F738" s="33"/>
      <c r="G738" s="32"/>
      <c r="H738" s="34"/>
      <c r="I738" s="35"/>
      <c r="J738" s="36" t="str">
        <f aca="false">IF(OR($H738="",$I738=""),"",$H738+MATCH($I738,Listas!$F$5:$F$11,0)-1)</f>
        <v/>
      </c>
      <c r="K738" s="37"/>
      <c r="L738" s="33"/>
      <c r="M738" s="37"/>
      <c r="N738" s="32"/>
      <c r="O738" s="32"/>
      <c r="P738" s="38" t="str">
        <f aca="true">IF($E738="","",IF($L738="Cancelada","Cancelada",IF(OR($K738&lt;&gt;"",$L738="Concluída"),IF(OR($J738="",$K738="",$K738&lt;=$J738),"Concluída","Concluída com atraso"),IF($J738="","Na carteira",IF($J738&lt;TODAY(),"VENCIDA",IF($L738="Em execução","Em execução",IF($J738=TODAY(),"Hoje","Programada")))))))</f>
        <v/>
      </c>
      <c r="Q738" s="31" t="str">
        <f aca="false">IF($E738="","",IF(ISNUMBER(SEARCH("(externo)",$G738)),"Terceirizada","Interna"))</f>
        <v/>
      </c>
      <c r="R738" s="36" t="str">
        <f aca="false">IF($J738="","",IF($M738="",$J738,$M738))</f>
        <v/>
      </c>
      <c r="S738" s="31" t="str">
        <f aca="false">IF($E738="","",IF(OR($K738="",$J738=""),0,IF($K738&lt;=$J738,1,0)))</f>
        <v/>
      </c>
      <c r="T738" s="31" t="str">
        <f aca="false">IF($E738="","",IF(OR($K738="",$R738=""),0,IF($K738&lt;=$R738,1,0)))</f>
        <v/>
      </c>
      <c r="U738" s="38" t="str">
        <f aca="false">IF(OR($K738="",$J738=""),"",MAX(0,$K738-$J738))</f>
        <v/>
      </c>
      <c r="V738" s="31" t="str">
        <f aca="false">IF($E738="","",IF(AND($M738&lt;&gt;"",$J738&lt;&gt;"",$M738&lt;&gt;$J738),1,0))</f>
        <v/>
      </c>
      <c r="W738" s="39" t="str">
        <f aca="false">IF($E738="","",IF($L738="Cancelada",0,IF(OR($K738&lt;&gt;"",$L738="Concluída"),1,0)))</f>
        <v/>
      </c>
    </row>
    <row r="739" customFormat="false" ht="15" hidden="false" customHeight="true" outlineLevel="0" collapsed="false">
      <c r="A739" s="31" t="str">
        <f aca="false">IF($E739="","",COUNTA($E$5:$E739))</f>
        <v/>
      </c>
      <c r="B739" s="32"/>
      <c r="C739" s="32"/>
      <c r="D739" s="32"/>
      <c r="E739" s="32"/>
      <c r="F739" s="33"/>
      <c r="G739" s="32"/>
      <c r="H739" s="34"/>
      <c r="I739" s="35"/>
      <c r="J739" s="36" t="str">
        <f aca="false">IF(OR($H739="",$I739=""),"",$H739+MATCH($I739,Listas!$F$5:$F$11,0)-1)</f>
        <v/>
      </c>
      <c r="K739" s="37"/>
      <c r="L739" s="33"/>
      <c r="M739" s="37"/>
      <c r="N739" s="32"/>
      <c r="O739" s="32"/>
      <c r="P739" s="38" t="str">
        <f aca="true">IF($E739="","",IF($L739="Cancelada","Cancelada",IF(OR($K739&lt;&gt;"",$L739="Concluída"),IF(OR($J739="",$K739="",$K739&lt;=$J739),"Concluída","Concluída com atraso"),IF($J739="","Na carteira",IF($J739&lt;TODAY(),"VENCIDA",IF($L739="Em execução","Em execução",IF($J739=TODAY(),"Hoje","Programada")))))))</f>
        <v/>
      </c>
      <c r="Q739" s="31" t="str">
        <f aca="false">IF($E739="","",IF(ISNUMBER(SEARCH("(externo)",$G739)),"Terceirizada","Interna"))</f>
        <v/>
      </c>
      <c r="R739" s="36" t="str">
        <f aca="false">IF($J739="","",IF($M739="",$J739,$M739))</f>
        <v/>
      </c>
      <c r="S739" s="31" t="str">
        <f aca="false">IF($E739="","",IF(OR($K739="",$J739=""),0,IF($K739&lt;=$J739,1,0)))</f>
        <v/>
      </c>
      <c r="T739" s="31" t="str">
        <f aca="false">IF($E739="","",IF(OR($K739="",$R739=""),0,IF($K739&lt;=$R739,1,0)))</f>
        <v/>
      </c>
      <c r="U739" s="38" t="str">
        <f aca="false">IF(OR($K739="",$J739=""),"",MAX(0,$K739-$J739))</f>
        <v/>
      </c>
      <c r="V739" s="31" t="str">
        <f aca="false">IF($E739="","",IF(AND($M739&lt;&gt;"",$J739&lt;&gt;"",$M739&lt;&gt;$J739),1,0))</f>
        <v/>
      </c>
      <c r="W739" s="39" t="str">
        <f aca="false">IF($E739="","",IF($L739="Cancelada",0,IF(OR($K739&lt;&gt;"",$L739="Concluída"),1,0)))</f>
        <v/>
      </c>
    </row>
    <row r="740" customFormat="false" ht="15" hidden="false" customHeight="true" outlineLevel="0" collapsed="false">
      <c r="A740" s="31" t="str">
        <f aca="false">IF($E740="","",COUNTA($E$5:$E740))</f>
        <v/>
      </c>
      <c r="B740" s="32"/>
      <c r="C740" s="32"/>
      <c r="D740" s="32"/>
      <c r="E740" s="32"/>
      <c r="F740" s="33"/>
      <c r="G740" s="32"/>
      <c r="H740" s="34"/>
      <c r="I740" s="35"/>
      <c r="J740" s="36" t="str">
        <f aca="false">IF(OR($H740="",$I740=""),"",$H740+MATCH($I740,Listas!$F$5:$F$11,0)-1)</f>
        <v/>
      </c>
      <c r="K740" s="37"/>
      <c r="L740" s="33"/>
      <c r="M740" s="37"/>
      <c r="N740" s="32"/>
      <c r="O740" s="32"/>
      <c r="P740" s="38" t="str">
        <f aca="true">IF($E740="","",IF($L740="Cancelada","Cancelada",IF(OR($K740&lt;&gt;"",$L740="Concluída"),IF(OR($J740="",$K740="",$K740&lt;=$J740),"Concluída","Concluída com atraso"),IF($J740="","Na carteira",IF($J740&lt;TODAY(),"VENCIDA",IF($L740="Em execução","Em execução",IF($J740=TODAY(),"Hoje","Programada")))))))</f>
        <v/>
      </c>
      <c r="Q740" s="31" t="str">
        <f aca="false">IF($E740="","",IF(ISNUMBER(SEARCH("(externo)",$G740)),"Terceirizada","Interna"))</f>
        <v/>
      </c>
      <c r="R740" s="36" t="str">
        <f aca="false">IF($J740="","",IF($M740="",$J740,$M740))</f>
        <v/>
      </c>
      <c r="S740" s="31" t="str">
        <f aca="false">IF($E740="","",IF(OR($K740="",$J740=""),0,IF($K740&lt;=$J740,1,0)))</f>
        <v/>
      </c>
      <c r="T740" s="31" t="str">
        <f aca="false">IF($E740="","",IF(OR($K740="",$R740=""),0,IF($K740&lt;=$R740,1,0)))</f>
        <v/>
      </c>
      <c r="U740" s="38" t="str">
        <f aca="false">IF(OR($K740="",$J740=""),"",MAX(0,$K740-$J740))</f>
        <v/>
      </c>
      <c r="V740" s="31" t="str">
        <f aca="false">IF($E740="","",IF(AND($M740&lt;&gt;"",$J740&lt;&gt;"",$M740&lt;&gt;$J740),1,0))</f>
        <v/>
      </c>
      <c r="W740" s="39" t="str">
        <f aca="false">IF($E740="","",IF($L740="Cancelada",0,IF(OR($K740&lt;&gt;"",$L740="Concluída"),1,0)))</f>
        <v/>
      </c>
    </row>
    <row r="741" customFormat="false" ht="15" hidden="false" customHeight="true" outlineLevel="0" collapsed="false">
      <c r="A741" s="31" t="str">
        <f aca="false">IF($E741="","",COUNTA($E$5:$E741))</f>
        <v/>
      </c>
      <c r="B741" s="32"/>
      <c r="C741" s="32"/>
      <c r="D741" s="32"/>
      <c r="E741" s="32"/>
      <c r="F741" s="33"/>
      <c r="G741" s="32"/>
      <c r="H741" s="34"/>
      <c r="I741" s="35"/>
      <c r="J741" s="36" t="str">
        <f aca="false">IF(OR($H741="",$I741=""),"",$H741+MATCH($I741,Listas!$F$5:$F$11,0)-1)</f>
        <v/>
      </c>
      <c r="K741" s="37"/>
      <c r="L741" s="33"/>
      <c r="M741" s="37"/>
      <c r="N741" s="32"/>
      <c r="O741" s="32"/>
      <c r="P741" s="38" t="str">
        <f aca="true">IF($E741="","",IF($L741="Cancelada","Cancelada",IF(OR($K741&lt;&gt;"",$L741="Concluída"),IF(OR($J741="",$K741="",$K741&lt;=$J741),"Concluída","Concluída com atraso"),IF($J741="","Na carteira",IF($J741&lt;TODAY(),"VENCIDA",IF($L741="Em execução","Em execução",IF($J741=TODAY(),"Hoje","Programada")))))))</f>
        <v/>
      </c>
      <c r="Q741" s="31" t="str">
        <f aca="false">IF($E741="","",IF(ISNUMBER(SEARCH("(externo)",$G741)),"Terceirizada","Interna"))</f>
        <v/>
      </c>
      <c r="R741" s="36" t="str">
        <f aca="false">IF($J741="","",IF($M741="",$J741,$M741))</f>
        <v/>
      </c>
      <c r="S741" s="31" t="str">
        <f aca="false">IF($E741="","",IF(OR($K741="",$J741=""),0,IF($K741&lt;=$J741,1,0)))</f>
        <v/>
      </c>
      <c r="T741" s="31" t="str">
        <f aca="false">IF($E741="","",IF(OR($K741="",$R741=""),0,IF($K741&lt;=$R741,1,0)))</f>
        <v/>
      </c>
      <c r="U741" s="38" t="str">
        <f aca="false">IF(OR($K741="",$J741=""),"",MAX(0,$K741-$J741))</f>
        <v/>
      </c>
      <c r="V741" s="31" t="str">
        <f aca="false">IF($E741="","",IF(AND($M741&lt;&gt;"",$J741&lt;&gt;"",$M741&lt;&gt;$J741),1,0))</f>
        <v/>
      </c>
      <c r="W741" s="39" t="str">
        <f aca="false">IF($E741="","",IF($L741="Cancelada",0,IF(OR($K741&lt;&gt;"",$L741="Concluída"),1,0)))</f>
        <v/>
      </c>
    </row>
    <row r="742" customFormat="false" ht="15" hidden="false" customHeight="true" outlineLevel="0" collapsed="false">
      <c r="A742" s="31" t="str">
        <f aca="false">IF($E742="","",COUNTA($E$5:$E742))</f>
        <v/>
      </c>
      <c r="B742" s="32"/>
      <c r="C742" s="32"/>
      <c r="D742" s="32"/>
      <c r="E742" s="32"/>
      <c r="F742" s="33"/>
      <c r="G742" s="32"/>
      <c r="H742" s="34"/>
      <c r="I742" s="35"/>
      <c r="J742" s="36" t="str">
        <f aca="false">IF(OR($H742="",$I742=""),"",$H742+MATCH($I742,Listas!$F$5:$F$11,0)-1)</f>
        <v/>
      </c>
      <c r="K742" s="37"/>
      <c r="L742" s="33"/>
      <c r="M742" s="37"/>
      <c r="N742" s="32"/>
      <c r="O742" s="32"/>
      <c r="P742" s="38" t="str">
        <f aca="true">IF($E742="","",IF($L742="Cancelada","Cancelada",IF(OR($K742&lt;&gt;"",$L742="Concluída"),IF(OR($J742="",$K742="",$K742&lt;=$J742),"Concluída","Concluída com atraso"),IF($J742="","Na carteira",IF($J742&lt;TODAY(),"VENCIDA",IF($L742="Em execução","Em execução",IF($J742=TODAY(),"Hoje","Programada")))))))</f>
        <v/>
      </c>
      <c r="Q742" s="31" t="str">
        <f aca="false">IF($E742="","",IF(ISNUMBER(SEARCH("(externo)",$G742)),"Terceirizada","Interna"))</f>
        <v/>
      </c>
      <c r="R742" s="36" t="str">
        <f aca="false">IF($J742="","",IF($M742="",$J742,$M742))</f>
        <v/>
      </c>
      <c r="S742" s="31" t="str">
        <f aca="false">IF($E742="","",IF(OR($K742="",$J742=""),0,IF($K742&lt;=$J742,1,0)))</f>
        <v/>
      </c>
      <c r="T742" s="31" t="str">
        <f aca="false">IF($E742="","",IF(OR($K742="",$R742=""),0,IF($K742&lt;=$R742,1,0)))</f>
        <v/>
      </c>
      <c r="U742" s="38" t="str">
        <f aca="false">IF(OR($K742="",$J742=""),"",MAX(0,$K742-$J742))</f>
        <v/>
      </c>
      <c r="V742" s="31" t="str">
        <f aca="false">IF($E742="","",IF(AND($M742&lt;&gt;"",$J742&lt;&gt;"",$M742&lt;&gt;$J742),1,0))</f>
        <v/>
      </c>
      <c r="W742" s="39" t="str">
        <f aca="false">IF($E742="","",IF($L742="Cancelada",0,IF(OR($K742&lt;&gt;"",$L742="Concluída"),1,0)))</f>
        <v/>
      </c>
    </row>
    <row r="743" customFormat="false" ht="15" hidden="false" customHeight="true" outlineLevel="0" collapsed="false">
      <c r="A743" s="31" t="str">
        <f aca="false">IF($E743="","",COUNTA($E$5:$E743))</f>
        <v/>
      </c>
      <c r="B743" s="32"/>
      <c r="C743" s="32"/>
      <c r="D743" s="32"/>
      <c r="E743" s="32"/>
      <c r="F743" s="33"/>
      <c r="G743" s="32"/>
      <c r="H743" s="34"/>
      <c r="I743" s="35"/>
      <c r="J743" s="36" t="str">
        <f aca="false">IF(OR($H743="",$I743=""),"",$H743+MATCH($I743,Listas!$F$5:$F$11,0)-1)</f>
        <v/>
      </c>
      <c r="K743" s="37"/>
      <c r="L743" s="33"/>
      <c r="M743" s="37"/>
      <c r="N743" s="32"/>
      <c r="O743" s="32"/>
      <c r="P743" s="38" t="str">
        <f aca="true">IF($E743="","",IF($L743="Cancelada","Cancelada",IF(OR($K743&lt;&gt;"",$L743="Concluída"),IF(OR($J743="",$K743="",$K743&lt;=$J743),"Concluída","Concluída com atraso"),IF($J743="","Na carteira",IF($J743&lt;TODAY(),"VENCIDA",IF($L743="Em execução","Em execução",IF($J743=TODAY(),"Hoje","Programada")))))))</f>
        <v/>
      </c>
      <c r="Q743" s="31" t="str">
        <f aca="false">IF($E743="","",IF(ISNUMBER(SEARCH("(externo)",$G743)),"Terceirizada","Interna"))</f>
        <v/>
      </c>
      <c r="R743" s="36" t="str">
        <f aca="false">IF($J743="","",IF($M743="",$J743,$M743))</f>
        <v/>
      </c>
      <c r="S743" s="31" t="str">
        <f aca="false">IF($E743="","",IF(OR($K743="",$J743=""),0,IF($K743&lt;=$J743,1,0)))</f>
        <v/>
      </c>
      <c r="T743" s="31" t="str">
        <f aca="false">IF($E743="","",IF(OR($K743="",$R743=""),0,IF($K743&lt;=$R743,1,0)))</f>
        <v/>
      </c>
      <c r="U743" s="38" t="str">
        <f aca="false">IF(OR($K743="",$J743=""),"",MAX(0,$K743-$J743))</f>
        <v/>
      </c>
      <c r="V743" s="31" t="str">
        <f aca="false">IF($E743="","",IF(AND($M743&lt;&gt;"",$J743&lt;&gt;"",$M743&lt;&gt;$J743),1,0))</f>
        <v/>
      </c>
      <c r="W743" s="39" t="str">
        <f aca="false">IF($E743="","",IF($L743="Cancelada",0,IF(OR($K743&lt;&gt;"",$L743="Concluída"),1,0)))</f>
        <v/>
      </c>
    </row>
    <row r="744" customFormat="false" ht="15" hidden="false" customHeight="true" outlineLevel="0" collapsed="false">
      <c r="A744" s="31" t="str">
        <f aca="false">IF($E744="","",COUNTA($E$5:$E744))</f>
        <v/>
      </c>
      <c r="B744" s="32"/>
      <c r="C744" s="32"/>
      <c r="D744" s="32"/>
      <c r="E744" s="32"/>
      <c r="F744" s="33"/>
      <c r="G744" s="32"/>
      <c r="H744" s="34"/>
      <c r="I744" s="35"/>
      <c r="J744" s="36" t="str">
        <f aca="false">IF(OR($H744="",$I744=""),"",$H744+MATCH($I744,Listas!$F$5:$F$11,0)-1)</f>
        <v/>
      </c>
      <c r="K744" s="37"/>
      <c r="L744" s="33"/>
      <c r="M744" s="37"/>
      <c r="N744" s="32"/>
      <c r="O744" s="32"/>
      <c r="P744" s="38" t="str">
        <f aca="true">IF($E744="","",IF($L744="Cancelada","Cancelada",IF(OR($K744&lt;&gt;"",$L744="Concluída"),IF(OR($J744="",$K744="",$K744&lt;=$J744),"Concluída","Concluída com atraso"),IF($J744="","Na carteira",IF($J744&lt;TODAY(),"VENCIDA",IF($L744="Em execução","Em execução",IF($J744=TODAY(),"Hoje","Programada")))))))</f>
        <v/>
      </c>
      <c r="Q744" s="31" t="str">
        <f aca="false">IF($E744="","",IF(ISNUMBER(SEARCH("(externo)",$G744)),"Terceirizada","Interna"))</f>
        <v/>
      </c>
      <c r="R744" s="36" t="str">
        <f aca="false">IF($J744="","",IF($M744="",$J744,$M744))</f>
        <v/>
      </c>
      <c r="S744" s="31" t="str">
        <f aca="false">IF($E744="","",IF(OR($K744="",$J744=""),0,IF($K744&lt;=$J744,1,0)))</f>
        <v/>
      </c>
      <c r="T744" s="31" t="str">
        <f aca="false">IF($E744="","",IF(OR($K744="",$R744=""),0,IF($K744&lt;=$R744,1,0)))</f>
        <v/>
      </c>
      <c r="U744" s="38" t="str">
        <f aca="false">IF(OR($K744="",$J744=""),"",MAX(0,$K744-$J744))</f>
        <v/>
      </c>
      <c r="V744" s="31" t="str">
        <f aca="false">IF($E744="","",IF(AND($M744&lt;&gt;"",$J744&lt;&gt;"",$M744&lt;&gt;$J744),1,0))</f>
        <v/>
      </c>
      <c r="W744" s="39" t="str">
        <f aca="false">IF($E744="","",IF($L744="Cancelada",0,IF(OR($K744&lt;&gt;"",$L744="Concluída"),1,0)))</f>
        <v/>
      </c>
    </row>
    <row r="745" customFormat="false" ht="15" hidden="false" customHeight="true" outlineLevel="0" collapsed="false">
      <c r="A745" s="31" t="str">
        <f aca="false">IF($E745="","",COUNTA($E$5:$E745))</f>
        <v/>
      </c>
      <c r="B745" s="32"/>
      <c r="C745" s="32"/>
      <c r="D745" s="32"/>
      <c r="E745" s="32"/>
      <c r="F745" s="33"/>
      <c r="G745" s="32"/>
      <c r="H745" s="34"/>
      <c r="I745" s="35"/>
      <c r="J745" s="36" t="str">
        <f aca="false">IF(OR($H745="",$I745=""),"",$H745+MATCH($I745,Listas!$F$5:$F$11,0)-1)</f>
        <v/>
      </c>
      <c r="K745" s="37"/>
      <c r="L745" s="33"/>
      <c r="M745" s="37"/>
      <c r="N745" s="32"/>
      <c r="O745" s="32"/>
      <c r="P745" s="38" t="str">
        <f aca="true">IF($E745="","",IF($L745="Cancelada","Cancelada",IF(OR($K745&lt;&gt;"",$L745="Concluída"),IF(OR($J745="",$K745="",$K745&lt;=$J745),"Concluída","Concluída com atraso"),IF($J745="","Na carteira",IF($J745&lt;TODAY(),"VENCIDA",IF($L745="Em execução","Em execução",IF($J745=TODAY(),"Hoje","Programada")))))))</f>
        <v/>
      </c>
      <c r="Q745" s="31" t="str">
        <f aca="false">IF($E745="","",IF(ISNUMBER(SEARCH("(externo)",$G745)),"Terceirizada","Interna"))</f>
        <v/>
      </c>
      <c r="R745" s="36" t="str">
        <f aca="false">IF($J745="","",IF($M745="",$J745,$M745))</f>
        <v/>
      </c>
      <c r="S745" s="31" t="str">
        <f aca="false">IF($E745="","",IF(OR($K745="",$J745=""),0,IF($K745&lt;=$J745,1,0)))</f>
        <v/>
      </c>
      <c r="T745" s="31" t="str">
        <f aca="false">IF($E745="","",IF(OR($K745="",$R745=""),0,IF($K745&lt;=$R745,1,0)))</f>
        <v/>
      </c>
      <c r="U745" s="38" t="str">
        <f aca="false">IF(OR($K745="",$J745=""),"",MAX(0,$K745-$J745))</f>
        <v/>
      </c>
      <c r="V745" s="31" t="str">
        <f aca="false">IF($E745="","",IF(AND($M745&lt;&gt;"",$J745&lt;&gt;"",$M745&lt;&gt;$J745),1,0))</f>
        <v/>
      </c>
      <c r="W745" s="39" t="str">
        <f aca="false">IF($E745="","",IF($L745="Cancelada",0,IF(OR($K745&lt;&gt;"",$L745="Concluída"),1,0)))</f>
        <v/>
      </c>
    </row>
    <row r="746" customFormat="false" ht="15" hidden="false" customHeight="true" outlineLevel="0" collapsed="false">
      <c r="A746" s="31" t="str">
        <f aca="false">IF($E746="","",COUNTA($E$5:$E746))</f>
        <v/>
      </c>
      <c r="B746" s="32"/>
      <c r="C746" s="32"/>
      <c r="D746" s="32"/>
      <c r="E746" s="32"/>
      <c r="F746" s="33"/>
      <c r="G746" s="32"/>
      <c r="H746" s="34"/>
      <c r="I746" s="35"/>
      <c r="J746" s="36" t="str">
        <f aca="false">IF(OR($H746="",$I746=""),"",$H746+MATCH($I746,Listas!$F$5:$F$11,0)-1)</f>
        <v/>
      </c>
      <c r="K746" s="37"/>
      <c r="L746" s="33"/>
      <c r="M746" s="37"/>
      <c r="N746" s="32"/>
      <c r="O746" s="32"/>
      <c r="P746" s="38" t="str">
        <f aca="true">IF($E746="","",IF($L746="Cancelada","Cancelada",IF(OR($K746&lt;&gt;"",$L746="Concluída"),IF(OR($J746="",$K746="",$K746&lt;=$J746),"Concluída","Concluída com atraso"),IF($J746="","Na carteira",IF($J746&lt;TODAY(),"VENCIDA",IF($L746="Em execução","Em execução",IF($J746=TODAY(),"Hoje","Programada")))))))</f>
        <v/>
      </c>
      <c r="Q746" s="31" t="str">
        <f aca="false">IF($E746="","",IF(ISNUMBER(SEARCH("(externo)",$G746)),"Terceirizada","Interna"))</f>
        <v/>
      </c>
      <c r="R746" s="36" t="str">
        <f aca="false">IF($J746="","",IF($M746="",$J746,$M746))</f>
        <v/>
      </c>
      <c r="S746" s="31" t="str">
        <f aca="false">IF($E746="","",IF(OR($K746="",$J746=""),0,IF($K746&lt;=$J746,1,0)))</f>
        <v/>
      </c>
      <c r="T746" s="31" t="str">
        <f aca="false">IF($E746="","",IF(OR($K746="",$R746=""),0,IF($K746&lt;=$R746,1,0)))</f>
        <v/>
      </c>
      <c r="U746" s="38" t="str">
        <f aca="false">IF(OR($K746="",$J746=""),"",MAX(0,$K746-$J746))</f>
        <v/>
      </c>
      <c r="V746" s="31" t="str">
        <f aca="false">IF($E746="","",IF(AND($M746&lt;&gt;"",$J746&lt;&gt;"",$M746&lt;&gt;$J746),1,0))</f>
        <v/>
      </c>
      <c r="W746" s="39" t="str">
        <f aca="false">IF($E746="","",IF($L746="Cancelada",0,IF(OR($K746&lt;&gt;"",$L746="Concluída"),1,0)))</f>
        <v/>
      </c>
    </row>
    <row r="747" customFormat="false" ht="15" hidden="false" customHeight="true" outlineLevel="0" collapsed="false">
      <c r="A747" s="31" t="str">
        <f aca="false">IF($E747="","",COUNTA($E$5:$E747))</f>
        <v/>
      </c>
      <c r="B747" s="32"/>
      <c r="C747" s="32"/>
      <c r="D747" s="32"/>
      <c r="E747" s="32"/>
      <c r="F747" s="33"/>
      <c r="G747" s="32"/>
      <c r="H747" s="34"/>
      <c r="I747" s="35"/>
      <c r="J747" s="36" t="str">
        <f aca="false">IF(OR($H747="",$I747=""),"",$H747+MATCH($I747,Listas!$F$5:$F$11,0)-1)</f>
        <v/>
      </c>
      <c r="K747" s="37"/>
      <c r="L747" s="33"/>
      <c r="M747" s="37"/>
      <c r="N747" s="32"/>
      <c r="O747" s="32"/>
      <c r="P747" s="38" t="str">
        <f aca="true">IF($E747="","",IF($L747="Cancelada","Cancelada",IF(OR($K747&lt;&gt;"",$L747="Concluída"),IF(OR($J747="",$K747="",$K747&lt;=$J747),"Concluída","Concluída com atraso"),IF($J747="","Na carteira",IF($J747&lt;TODAY(),"VENCIDA",IF($L747="Em execução","Em execução",IF($J747=TODAY(),"Hoje","Programada")))))))</f>
        <v/>
      </c>
      <c r="Q747" s="31" t="str">
        <f aca="false">IF($E747="","",IF(ISNUMBER(SEARCH("(externo)",$G747)),"Terceirizada","Interna"))</f>
        <v/>
      </c>
      <c r="R747" s="36" t="str">
        <f aca="false">IF($J747="","",IF($M747="",$J747,$M747))</f>
        <v/>
      </c>
      <c r="S747" s="31" t="str">
        <f aca="false">IF($E747="","",IF(OR($K747="",$J747=""),0,IF($K747&lt;=$J747,1,0)))</f>
        <v/>
      </c>
      <c r="T747" s="31" t="str">
        <f aca="false">IF($E747="","",IF(OR($K747="",$R747=""),0,IF($K747&lt;=$R747,1,0)))</f>
        <v/>
      </c>
      <c r="U747" s="38" t="str">
        <f aca="false">IF(OR($K747="",$J747=""),"",MAX(0,$K747-$J747))</f>
        <v/>
      </c>
      <c r="V747" s="31" t="str">
        <f aca="false">IF($E747="","",IF(AND($M747&lt;&gt;"",$J747&lt;&gt;"",$M747&lt;&gt;$J747),1,0))</f>
        <v/>
      </c>
      <c r="W747" s="39" t="str">
        <f aca="false">IF($E747="","",IF($L747="Cancelada",0,IF(OR($K747&lt;&gt;"",$L747="Concluída"),1,0)))</f>
        <v/>
      </c>
    </row>
    <row r="748" customFormat="false" ht="15" hidden="false" customHeight="true" outlineLevel="0" collapsed="false">
      <c r="A748" s="31" t="str">
        <f aca="false">IF($E748="","",COUNTA($E$5:$E748))</f>
        <v/>
      </c>
      <c r="B748" s="32"/>
      <c r="C748" s="32"/>
      <c r="D748" s="32"/>
      <c r="E748" s="32"/>
      <c r="F748" s="33"/>
      <c r="G748" s="32"/>
      <c r="H748" s="34"/>
      <c r="I748" s="35"/>
      <c r="J748" s="36" t="str">
        <f aca="false">IF(OR($H748="",$I748=""),"",$H748+MATCH($I748,Listas!$F$5:$F$11,0)-1)</f>
        <v/>
      </c>
      <c r="K748" s="37"/>
      <c r="L748" s="33"/>
      <c r="M748" s="37"/>
      <c r="N748" s="32"/>
      <c r="O748" s="32"/>
      <c r="P748" s="38" t="str">
        <f aca="true">IF($E748="","",IF($L748="Cancelada","Cancelada",IF(OR($K748&lt;&gt;"",$L748="Concluída"),IF(OR($J748="",$K748="",$K748&lt;=$J748),"Concluída","Concluída com atraso"),IF($J748="","Na carteira",IF($J748&lt;TODAY(),"VENCIDA",IF($L748="Em execução","Em execução",IF($J748=TODAY(),"Hoje","Programada")))))))</f>
        <v/>
      </c>
      <c r="Q748" s="31" t="str">
        <f aca="false">IF($E748="","",IF(ISNUMBER(SEARCH("(externo)",$G748)),"Terceirizada","Interna"))</f>
        <v/>
      </c>
      <c r="R748" s="36" t="str">
        <f aca="false">IF($J748="","",IF($M748="",$J748,$M748))</f>
        <v/>
      </c>
      <c r="S748" s="31" t="str">
        <f aca="false">IF($E748="","",IF(OR($K748="",$J748=""),0,IF($K748&lt;=$J748,1,0)))</f>
        <v/>
      </c>
      <c r="T748" s="31" t="str">
        <f aca="false">IF($E748="","",IF(OR($K748="",$R748=""),0,IF($K748&lt;=$R748,1,0)))</f>
        <v/>
      </c>
      <c r="U748" s="38" t="str">
        <f aca="false">IF(OR($K748="",$J748=""),"",MAX(0,$K748-$J748))</f>
        <v/>
      </c>
      <c r="V748" s="31" t="str">
        <f aca="false">IF($E748="","",IF(AND($M748&lt;&gt;"",$J748&lt;&gt;"",$M748&lt;&gt;$J748),1,0))</f>
        <v/>
      </c>
      <c r="W748" s="39" t="str">
        <f aca="false">IF($E748="","",IF($L748="Cancelada",0,IF(OR($K748&lt;&gt;"",$L748="Concluída"),1,0)))</f>
        <v/>
      </c>
    </row>
    <row r="749" customFormat="false" ht="15" hidden="false" customHeight="true" outlineLevel="0" collapsed="false">
      <c r="A749" s="31" t="str">
        <f aca="false">IF($E749="","",COUNTA($E$5:$E749))</f>
        <v/>
      </c>
      <c r="B749" s="32"/>
      <c r="C749" s="32"/>
      <c r="D749" s="32"/>
      <c r="E749" s="32"/>
      <c r="F749" s="33"/>
      <c r="G749" s="32"/>
      <c r="H749" s="34"/>
      <c r="I749" s="35"/>
      <c r="J749" s="36" t="str">
        <f aca="false">IF(OR($H749="",$I749=""),"",$H749+MATCH($I749,Listas!$F$5:$F$11,0)-1)</f>
        <v/>
      </c>
      <c r="K749" s="37"/>
      <c r="L749" s="33"/>
      <c r="M749" s="37"/>
      <c r="N749" s="32"/>
      <c r="O749" s="32"/>
      <c r="P749" s="38" t="str">
        <f aca="true">IF($E749="","",IF($L749="Cancelada","Cancelada",IF(OR($K749&lt;&gt;"",$L749="Concluída"),IF(OR($J749="",$K749="",$K749&lt;=$J749),"Concluída","Concluída com atraso"),IF($J749="","Na carteira",IF($J749&lt;TODAY(),"VENCIDA",IF($L749="Em execução","Em execução",IF($J749=TODAY(),"Hoje","Programada")))))))</f>
        <v/>
      </c>
      <c r="Q749" s="31" t="str">
        <f aca="false">IF($E749="","",IF(ISNUMBER(SEARCH("(externo)",$G749)),"Terceirizada","Interna"))</f>
        <v/>
      </c>
      <c r="R749" s="36" t="str">
        <f aca="false">IF($J749="","",IF($M749="",$J749,$M749))</f>
        <v/>
      </c>
      <c r="S749" s="31" t="str">
        <f aca="false">IF($E749="","",IF(OR($K749="",$J749=""),0,IF($K749&lt;=$J749,1,0)))</f>
        <v/>
      </c>
      <c r="T749" s="31" t="str">
        <f aca="false">IF($E749="","",IF(OR($K749="",$R749=""),0,IF($K749&lt;=$R749,1,0)))</f>
        <v/>
      </c>
      <c r="U749" s="38" t="str">
        <f aca="false">IF(OR($K749="",$J749=""),"",MAX(0,$K749-$J749))</f>
        <v/>
      </c>
      <c r="V749" s="31" t="str">
        <f aca="false">IF($E749="","",IF(AND($M749&lt;&gt;"",$J749&lt;&gt;"",$M749&lt;&gt;$J749),1,0))</f>
        <v/>
      </c>
      <c r="W749" s="39" t="str">
        <f aca="false">IF($E749="","",IF($L749="Cancelada",0,IF(OR($K749&lt;&gt;"",$L749="Concluída"),1,0)))</f>
        <v/>
      </c>
    </row>
    <row r="750" customFormat="false" ht="15" hidden="false" customHeight="true" outlineLevel="0" collapsed="false">
      <c r="A750" s="31" t="str">
        <f aca="false">IF($E750="","",COUNTA($E$5:$E750))</f>
        <v/>
      </c>
      <c r="B750" s="32"/>
      <c r="C750" s="32"/>
      <c r="D750" s="32"/>
      <c r="E750" s="32"/>
      <c r="F750" s="33"/>
      <c r="G750" s="32"/>
      <c r="H750" s="34"/>
      <c r="I750" s="35"/>
      <c r="J750" s="36" t="str">
        <f aca="false">IF(OR($H750="",$I750=""),"",$H750+MATCH($I750,Listas!$F$5:$F$11,0)-1)</f>
        <v/>
      </c>
      <c r="K750" s="37"/>
      <c r="L750" s="33"/>
      <c r="M750" s="37"/>
      <c r="N750" s="32"/>
      <c r="O750" s="32"/>
      <c r="P750" s="38" t="str">
        <f aca="true">IF($E750="","",IF($L750="Cancelada","Cancelada",IF(OR($K750&lt;&gt;"",$L750="Concluída"),IF(OR($J750="",$K750="",$K750&lt;=$J750),"Concluída","Concluída com atraso"),IF($J750="","Na carteira",IF($J750&lt;TODAY(),"VENCIDA",IF($L750="Em execução","Em execução",IF($J750=TODAY(),"Hoje","Programada")))))))</f>
        <v/>
      </c>
      <c r="Q750" s="31" t="str">
        <f aca="false">IF($E750="","",IF(ISNUMBER(SEARCH("(externo)",$G750)),"Terceirizada","Interna"))</f>
        <v/>
      </c>
      <c r="R750" s="36" t="str">
        <f aca="false">IF($J750="","",IF($M750="",$J750,$M750))</f>
        <v/>
      </c>
      <c r="S750" s="31" t="str">
        <f aca="false">IF($E750="","",IF(OR($K750="",$J750=""),0,IF($K750&lt;=$J750,1,0)))</f>
        <v/>
      </c>
      <c r="T750" s="31" t="str">
        <f aca="false">IF($E750="","",IF(OR($K750="",$R750=""),0,IF($K750&lt;=$R750,1,0)))</f>
        <v/>
      </c>
      <c r="U750" s="38" t="str">
        <f aca="false">IF(OR($K750="",$J750=""),"",MAX(0,$K750-$J750))</f>
        <v/>
      </c>
      <c r="V750" s="31" t="str">
        <f aca="false">IF($E750="","",IF(AND($M750&lt;&gt;"",$J750&lt;&gt;"",$M750&lt;&gt;$J750),1,0))</f>
        <v/>
      </c>
      <c r="W750" s="39" t="str">
        <f aca="false">IF($E750="","",IF($L750="Cancelada",0,IF(OR($K750&lt;&gt;"",$L750="Concluída"),1,0)))</f>
        <v/>
      </c>
    </row>
    <row r="751" customFormat="false" ht="15" hidden="false" customHeight="true" outlineLevel="0" collapsed="false">
      <c r="A751" s="31" t="str">
        <f aca="false">IF($E751="","",COUNTA($E$5:$E751))</f>
        <v/>
      </c>
      <c r="B751" s="32"/>
      <c r="C751" s="32"/>
      <c r="D751" s="32"/>
      <c r="E751" s="32"/>
      <c r="F751" s="33"/>
      <c r="G751" s="32"/>
      <c r="H751" s="34"/>
      <c r="I751" s="35"/>
      <c r="J751" s="36" t="str">
        <f aca="false">IF(OR($H751="",$I751=""),"",$H751+MATCH($I751,Listas!$F$5:$F$11,0)-1)</f>
        <v/>
      </c>
      <c r="K751" s="37"/>
      <c r="L751" s="33"/>
      <c r="M751" s="37"/>
      <c r="N751" s="32"/>
      <c r="O751" s="32"/>
      <c r="P751" s="38" t="str">
        <f aca="true">IF($E751="","",IF($L751="Cancelada","Cancelada",IF(OR($K751&lt;&gt;"",$L751="Concluída"),IF(OR($J751="",$K751="",$K751&lt;=$J751),"Concluída","Concluída com atraso"),IF($J751="","Na carteira",IF($J751&lt;TODAY(),"VENCIDA",IF($L751="Em execução","Em execução",IF($J751=TODAY(),"Hoje","Programada")))))))</f>
        <v/>
      </c>
      <c r="Q751" s="31" t="str">
        <f aca="false">IF($E751="","",IF(ISNUMBER(SEARCH("(externo)",$G751)),"Terceirizada","Interna"))</f>
        <v/>
      </c>
      <c r="R751" s="36" t="str">
        <f aca="false">IF($J751="","",IF($M751="",$J751,$M751))</f>
        <v/>
      </c>
      <c r="S751" s="31" t="str">
        <f aca="false">IF($E751="","",IF(OR($K751="",$J751=""),0,IF($K751&lt;=$J751,1,0)))</f>
        <v/>
      </c>
      <c r="T751" s="31" t="str">
        <f aca="false">IF($E751="","",IF(OR($K751="",$R751=""),0,IF($K751&lt;=$R751,1,0)))</f>
        <v/>
      </c>
      <c r="U751" s="38" t="str">
        <f aca="false">IF(OR($K751="",$J751=""),"",MAX(0,$K751-$J751))</f>
        <v/>
      </c>
      <c r="V751" s="31" t="str">
        <f aca="false">IF($E751="","",IF(AND($M751&lt;&gt;"",$J751&lt;&gt;"",$M751&lt;&gt;$J751),1,0))</f>
        <v/>
      </c>
      <c r="W751" s="39" t="str">
        <f aca="false">IF($E751="","",IF($L751="Cancelada",0,IF(OR($K751&lt;&gt;"",$L751="Concluída"),1,0)))</f>
        <v/>
      </c>
    </row>
    <row r="752" customFormat="false" ht="15" hidden="false" customHeight="true" outlineLevel="0" collapsed="false">
      <c r="A752" s="31" t="str">
        <f aca="false">IF($E752="","",COUNTA($E$5:$E752))</f>
        <v/>
      </c>
      <c r="B752" s="32"/>
      <c r="C752" s="32"/>
      <c r="D752" s="32"/>
      <c r="E752" s="32"/>
      <c r="F752" s="33"/>
      <c r="G752" s="32"/>
      <c r="H752" s="34"/>
      <c r="I752" s="35"/>
      <c r="J752" s="36" t="str">
        <f aca="false">IF(OR($H752="",$I752=""),"",$H752+MATCH($I752,Listas!$F$5:$F$11,0)-1)</f>
        <v/>
      </c>
      <c r="K752" s="37"/>
      <c r="L752" s="33"/>
      <c r="M752" s="37"/>
      <c r="N752" s="32"/>
      <c r="O752" s="32"/>
      <c r="P752" s="38" t="str">
        <f aca="true">IF($E752="","",IF($L752="Cancelada","Cancelada",IF(OR($K752&lt;&gt;"",$L752="Concluída"),IF(OR($J752="",$K752="",$K752&lt;=$J752),"Concluída","Concluída com atraso"),IF($J752="","Na carteira",IF($J752&lt;TODAY(),"VENCIDA",IF($L752="Em execução","Em execução",IF($J752=TODAY(),"Hoje","Programada")))))))</f>
        <v/>
      </c>
      <c r="Q752" s="31" t="str">
        <f aca="false">IF($E752="","",IF(ISNUMBER(SEARCH("(externo)",$G752)),"Terceirizada","Interna"))</f>
        <v/>
      </c>
      <c r="R752" s="36" t="str">
        <f aca="false">IF($J752="","",IF($M752="",$J752,$M752))</f>
        <v/>
      </c>
      <c r="S752" s="31" t="str">
        <f aca="false">IF($E752="","",IF(OR($K752="",$J752=""),0,IF($K752&lt;=$J752,1,0)))</f>
        <v/>
      </c>
      <c r="T752" s="31" t="str">
        <f aca="false">IF($E752="","",IF(OR($K752="",$R752=""),0,IF($K752&lt;=$R752,1,0)))</f>
        <v/>
      </c>
      <c r="U752" s="38" t="str">
        <f aca="false">IF(OR($K752="",$J752=""),"",MAX(0,$K752-$J752))</f>
        <v/>
      </c>
      <c r="V752" s="31" t="str">
        <f aca="false">IF($E752="","",IF(AND($M752&lt;&gt;"",$J752&lt;&gt;"",$M752&lt;&gt;$J752),1,0))</f>
        <v/>
      </c>
      <c r="W752" s="39" t="str">
        <f aca="false">IF($E752="","",IF($L752="Cancelada",0,IF(OR($K752&lt;&gt;"",$L752="Concluída"),1,0)))</f>
        <v/>
      </c>
    </row>
    <row r="753" customFormat="false" ht="15" hidden="false" customHeight="true" outlineLevel="0" collapsed="false">
      <c r="A753" s="31" t="str">
        <f aca="false">IF($E753="","",COUNTA($E$5:$E753))</f>
        <v/>
      </c>
      <c r="B753" s="32"/>
      <c r="C753" s="32"/>
      <c r="D753" s="32"/>
      <c r="E753" s="32"/>
      <c r="F753" s="33"/>
      <c r="G753" s="32"/>
      <c r="H753" s="34"/>
      <c r="I753" s="35"/>
      <c r="J753" s="36" t="str">
        <f aca="false">IF(OR($H753="",$I753=""),"",$H753+MATCH($I753,Listas!$F$5:$F$11,0)-1)</f>
        <v/>
      </c>
      <c r="K753" s="37"/>
      <c r="L753" s="33"/>
      <c r="M753" s="37"/>
      <c r="N753" s="32"/>
      <c r="O753" s="32"/>
      <c r="P753" s="38" t="str">
        <f aca="true">IF($E753="","",IF($L753="Cancelada","Cancelada",IF(OR($K753&lt;&gt;"",$L753="Concluída"),IF(OR($J753="",$K753="",$K753&lt;=$J753),"Concluída","Concluída com atraso"),IF($J753="","Na carteira",IF($J753&lt;TODAY(),"VENCIDA",IF($L753="Em execução","Em execução",IF($J753=TODAY(),"Hoje","Programada")))))))</f>
        <v/>
      </c>
      <c r="Q753" s="31" t="str">
        <f aca="false">IF($E753="","",IF(ISNUMBER(SEARCH("(externo)",$G753)),"Terceirizada","Interna"))</f>
        <v/>
      </c>
      <c r="R753" s="36" t="str">
        <f aca="false">IF($J753="","",IF($M753="",$J753,$M753))</f>
        <v/>
      </c>
      <c r="S753" s="31" t="str">
        <f aca="false">IF($E753="","",IF(OR($K753="",$J753=""),0,IF($K753&lt;=$J753,1,0)))</f>
        <v/>
      </c>
      <c r="T753" s="31" t="str">
        <f aca="false">IF($E753="","",IF(OR($K753="",$R753=""),0,IF($K753&lt;=$R753,1,0)))</f>
        <v/>
      </c>
      <c r="U753" s="38" t="str">
        <f aca="false">IF(OR($K753="",$J753=""),"",MAX(0,$K753-$J753))</f>
        <v/>
      </c>
      <c r="V753" s="31" t="str">
        <f aca="false">IF($E753="","",IF(AND($M753&lt;&gt;"",$J753&lt;&gt;"",$M753&lt;&gt;$J753),1,0))</f>
        <v/>
      </c>
      <c r="W753" s="39" t="str">
        <f aca="false">IF($E753="","",IF($L753="Cancelada",0,IF(OR($K753&lt;&gt;"",$L753="Concluída"),1,0)))</f>
        <v/>
      </c>
    </row>
    <row r="754" customFormat="false" ht="15" hidden="false" customHeight="true" outlineLevel="0" collapsed="false">
      <c r="A754" s="31" t="str">
        <f aca="false">IF($E754="","",COUNTA($E$5:$E754))</f>
        <v/>
      </c>
      <c r="B754" s="32"/>
      <c r="C754" s="32"/>
      <c r="D754" s="32"/>
      <c r="E754" s="32"/>
      <c r="F754" s="33"/>
      <c r="G754" s="32"/>
      <c r="H754" s="34"/>
      <c r="I754" s="35"/>
      <c r="J754" s="36" t="str">
        <f aca="false">IF(OR($H754="",$I754=""),"",$H754+MATCH($I754,Listas!$F$5:$F$11,0)-1)</f>
        <v/>
      </c>
      <c r="K754" s="37"/>
      <c r="L754" s="33"/>
      <c r="M754" s="37"/>
      <c r="N754" s="32"/>
      <c r="O754" s="32"/>
      <c r="P754" s="38" t="str">
        <f aca="true">IF($E754="","",IF($L754="Cancelada","Cancelada",IF(OR($K754&lt;&gt;"",$L754="Concluída"),IF(OR($J754="",$K754="",$K754&lt;=$J754),"Concluída","Concluída com atraso"),IF($J754="","Na carteira",IF($J754&lt;TODAY(),"VENCIDA",IF($L754="Em execução","Em execução",IF($J754=TODAY(),"Hoje","Programada")))))))</f>
        <v/>
      </c>
      <c r="Q754" s="31" t="str">
        <f aca="false">IF($E754="","",IF(ISNUMBER(SEARCH("(externo)",$G754)),"Terceirizada","Interna"))</f>
        <v/>
      </c>
      <c r="R754" s="36" t="str">
        <f aca="false">IF($J754="","",IF($M754="",$J754,$M754))</f>
        <v/>
      </c>
      <c r="S754" s="31" t="str">
        <f aca="false">IF($E754="","",IF(OR($K754="",$J754=""),0,IF($K754&lt;=$J754,1,0)))</f>
        <v/>
      </c>
      <c r="T754" s="31" t="str">
        <f aca="false">IF($E754="","",IF(OR($K754="",$R754=""),0,IF($K754&lt;=$R754,1,0)))</f>
        <v/>
      </c>
      <c r="U754" s="38" t="str">
        <f aca="false">IF(OR($K754="",$J754=""),"",MAX(0,$K754-$J754))</f>
        <v/>
      </c>
      <c r="V754" s="31" t="str">
        <f aca="false">IF($E754="","",IF(AND($M754&lt;&gt;"",$J754&lt;&gt;"",$M754&lt;&gt;$J754),1,0))</f>
        <v/>
      </c>
      <c r="W754" s="39" t="str">
        <f aca="false">IF($E754="","",IF($L754="Cancelada",0,IF(OR($K754&lt;&gt;"",$L754="Concluída"),1,0)))</f>
        <v/>
      </c>
    </row>
    <row r="755" customFormat="false" ht="15" hidden="false" customHeight="true" outlineLevel="0" collapsed="false">
      <c r="A755" s="31" t="str">
        <f aca="false">IF($E755="","",COUNTA($E$5:$E755))</f>
        <v/>
      </c>
      <c r="B755" s="32"/>
      <c r="C755" s="32"/>
      <c r="D755" s="32"/>
      <c r="E755" s="32"/>
      <c r="F755" s="33"/>
      <c r="G755" s="32"/>
      <c r="H755" s="34"/>
      <c r="I755" s="35"/>
      <c r="J755" s="36" t="str">
        <f aca="false">IF(OR($H755="",$I755=""),"",$H755+MATCH($I755,Listas!$F$5:$F$11,0)-1)</f>
        <v/>
      </c>
      <c r="K755" s="37"/>
      <c r="L755" s="33"/>
      <c r="M755" s="37"/>
      <c r="N755" s="32"/>
      <c r="O755" s="32"/>
      <c r="P755" s="38" t="str">
        <f aca="true">IF($E755="","",IF($L755="Cancelada","Cancelada",IF(OR($K755&lt;&gt;"",$L755="Concluída"),IF(OR($J755="",$K755="",$K755&lt;=$J755),"Concluída","Concluída com atraso"),IF($J755="","Na carteira",IF($J755&lt;TODAY(),"VENCIDA",IF($L755="Em execução","Em execução",IF($J755=TODAY(),"Hoje","Programada")))))))</f>
        <v/>
      </c>
      <c r="Q755" s="31" t="str">
        <f aca="false">IF($E755="","",IF(ISNUMBER(SEARCH("(externo)",$G755)),"Terceirizada","Interna"))</f>
        <v/>
      </c>
      <c r="R755" s="36" t="str">
        <f aca="false">IF($J755="","",IF($M755="",$J755,$M755))</f>
        <v/>
      </c>
      <c r="S755" s="31" t="str">
        <f aca="false">IF($E755="","",IF(OR($K755="",$J755=""),0,IF($K755&lt;=$J755,1,0)))</f>
        <v/>
      </c>
      <c r="T755" s="31" t="str">
        <f aca="false">IF($E755="","",IF(OR($K755="",$R755=""),0,IF($K755&lt;=$R755,1,0)))</f>
        <v/>
      </c>
      <c r="U755" s="38" t="str">
        <f aca="false">IF(OR($K755="",$J755=""),"",MAX(0,$K755-$J755))</f>
        <v/>
      </c>
      <c r="V755" s="31" t="str">
        <f aca="false">IF($E755="","",IF(AND($M755&lt;&gt;"",$J755&lt;&gt;"",$M755&lt;&gt;$J755),1,0))</f>
        <v/>
      </c>
      <c r="W755" s="39" t="str">
        <f aca="false">IF($E755="","",IF($L755="Cancelada",0,IF(OR($K755&lt;&gt;"",$L755="Concluída"),1,0)))</f>
        <v/>
      </c>
    </row>
    <row r="756" customFormat="false" ht="15" hidden="false" customHeight="true" outlineLevel="0" collapsed="false">
      <c r="A756" s="31" t="str">
        <f aca="false">IF($E756="","",COUNTA($E$5:$E756))</f>
        <v/>
      </c>
      <c r="B756" s="32"/>
      <c r="C756" s="32"/>
      <c r="D756" s="32"/>
      <c r="E756" s="32"/>
      <c r="F756" s="33"/>
      <c r="G756" s="32"/>
      <c r="H756" s="34"/>
      <c r="I756" s="35"/>
      <c r="J756" s="36" t="str">
        <f aca="false">IF(OR($H756="",$I756=""),"",$H756+MATCH($I756,Listas!$F$5:$F$11,0)-1)</f>
        <v/>
      </c>
      <c r="K756" s="37"/>
      <c r="L756" s="33"/>
      <c r="M756" s="37"/>
      <c r="N756" s="32"/>
      <c r="O756" s="32"/>
      <c r="P756" s="38" t="str">
        <f aca="true">IF($E756="","",IF($L756="Cancelada","Cancelada",IF(OR($K756&lt;&gt;"",$L756="Concluída"),IF(OR($J756="",$K756="",$K756&lt;=$J756),"Concluída","Concluída com atraso"),IF($J756="","Na carteira",IF($J756&lt;TODAY(),"VENCIDA",IF($L756="Em execução","Em execução",IF($J756=TODAY(),"Hoje","Programada")))))))</f>
        <v/>
      </c>
      <c r="Q756" s="31" t="str">
        <f aca="false">IF($E756="","",IF(ISNUMBER(SEARCH("(externo)",$G756)),"Terceirizada","Interna"))</f>
        <v/>
      </c>
      <c r="R756" s="36" t="str">
        <f aca="false">IF($J756="","",IF($M756="",$J756,$M756))</f>
        <v/>
      </c>
      <c r="S756" s="31" t="str">
        <f aca="false">IF($E756="","",IF(OR($K756="",$J756=""),0,IF($K756&lt;=$J756,1,0)))</f>
        <v/>
      </c>
      <c r="T756" s="31" t="str">
        <f aca="false">IF($E756="","",IF(OR($K756="",$R756=""),0,IF($K756&lt;=$R756,1,0)))</f>
        <v/>
      </c>
      <c r="U756" s="38" t="str">
        <f aca="false">IF(OR($K756="",$J756=""),"",MAX(0,$K756-$J756))</f>
        <v/>
      </c>
      <c r="V756" s="31" t="str">
        <f aca="false">IF($E756="","",IF(AND($M756&lt;&gt;"",$J756&lt;&gt;"",$M756&lt;&gt;$J756),1,0))</f>
        <v/>
      </c>
      <c r="W756" s="39" t="str">
        <f aca="false">IF($E756="","",IF($L756="Cancelada",0,IF(OR($K756&lt;&gt;"",$L756="Concluída"),1,0)))</f>
        <v/>
      </c>
    </row>
    <row r="757" customFormat="false" ht="15" hidden="false" customHeight="true" outlineLevel="0" collapsed="false">
      <c r="A757" s="31" t="str">
        <f aca="false">IF($E757="","",COUNTA($E$5:$E757))</f>
        <v/>
      </c>
      <c r="B757" s="32"/>
      <c r="C757" s="32"/>
      <c r="D757" s="32"/>
      <c r="E757" s="32"/>
      <c r="F757" s="33"/>
      <c r="G757" s="32"/>
      <c r="H757" s="34"/>
      <c r="I757" s="35"/>
      <c r="J757" s="36" t="str">
        <f aca="false">IF(OR($H757="",$I757=""),"",$H757+MATCH($I757,Listas!$F$5:$F$11,0)-1)</f>
        <v/>
      </c>
      <c r="K757" s="37"/>
      <c r="L757" s="33"/>
      <c r="M757" s="37"/>
      <c r="N757" s="32"/>
      <c r="O757" s="32"/>
      <c r="P757" s="38" t="str">
        <f aca="true">IF($E757="","",IF($L757="Cancelada","Cancelada",IF(OR($K757&lt;&gt;"",$L757="Concluída"),IF(OR($J757="",$K757="",$K757&lt;=$J757),"Concluída","Concluída com atraso"),IF($J757="","Na carteira",IF($J757&lt;TODAY(),"VENCIDA",IF($L757="Em execução","Em execução",IF($J757=TODAY(),"Hoje","Programada")))))))</f>
        <v/>
      </c>
      <c r="Q757" s="31" t="str">
        <f aca="false">IF($E757="","",IF(ISNUMBER(SEARCH("(externo)",$G757)),"Terceirizada","Interna"))</f>
        <v/>
      </c>
      <c r="R757" s="36" t="str">
        <f aca="false">IF($J757="","",IF($M757="",$J757,$M757))</f>
        <v/>
      </c>
      <c r="S757" s="31" t="str">
        <f aca="false">IF($E757="","",IF(OR($K757="",$J757=""),0,IF($K757&lt;=$J757,1,0)))</f>
        <v/>
      </c>
      <c r="T757" s="31" t="str">
        <f aca="false">IF($E757="","",IF(OR($K757="",$R757=""),0,IF($K757&lt;=$R757,1,0)))</f>
        <v/>
      </c>
      <c r="U757" s="38" t="str">
        <f aca="false">IF(OR($K757="",$J757=""),"",MAX(0,$K757-$J757))</f>
        <v/>
      </c>
      <c r="V757" s="31" t="str">
        <f aca="false">IF($E757="","",IF(AND($M757&lt;&gt;"",$J757&lt;&gt;"",$M757&lt;&gt;$J757),1,0))</f>
        <v/>
      </c>
      <c r="W757" s="39" t="str">
        <f aca="false">IF($E757="","",IF($L757="Cancelada",0,IF(OR($K757&lt;&gt;"",$L757="Concluída"),1,0)))</f>
        <v/>
      </c>
    </row>
    <row r="758" customFormat="false" ht="15" hidden="false" customHeight="true" outlineLevel="0" collapsed="false">
      <c r="A758" s="31" t="str">
        <f aca="false">IF($E758="","",COUNTA($E$5:$E758))</f>
        <v/>
      </c>
      <c r="B758" s="32"/>
      <c r="C758" s="32"/>
      <c r="D758" s="32"/>
      <c r="E758" s="32"/>
      <c r="F758" s="33"/>
      <c r="G758" s="32"/>
      <c r="H758" s="34"/>
      <c r="I758" s="35"/>
      <c r="J758" s="36" t="str">
        <f aca="false">IF(OR($H758="",$I758=""),"",$H758+MATCH($I758,Listas!$F$5:$F$11,0)-1)</f>
        <v/>
      </c>
      <c r="K758" s="37"/>
      <c r="L758" s="33"/>
      <c r="M758" s="37"/>
      <c r="N758" s="32"/>
      <c r="O758" s="32"/>
      <c r="P758" s="38" t="str">
        <f aca="true">IF($E758="","",IF($L758="Cancelada","Cancelada",IF(OR($K758&lt;&gt;"",$L758="Concluída"),IF(OR($J758="",$K758="",$K758&lt;=$J758),"Concluída","Concluída com atraso"),IF($J758="","Na carteira",IF($J758&lt;TODAY(),"VENCIDA",IF($L758="Em execução","Em execução",IF($J758=TODAY(),"Hoje","Programada")))))))</f>
        <v/>
      </c>
      <c r="Q758" s="31" t="str">
        <f aca="false">IF($E758="","",IF(ISNUMBER(SEARCH("(externo)",$G758)),"Terceirizada","Interna"))</f>
        <v/>
      </c>
      <c r="R758" s="36" t="str">
        <f aca="false">IF($J758="","",IF($M758="",$J758,$M758))</f>
        <v/>
      </c>
      <c r="S758" s="31" t="str">
        <f aca="false">IF($E758="","",IF(OR($K758="",$J758=""),0,IF($K758&lt;=$J758,1,0)))</f>
        <v/>
      </c>
      <c r="T758" s="31" t="str">
        <f aca="false">IF($E758="","",IF(OR($K758="",$R758=""),0,IF($K758&lt;=$R758,1,0)))</f>
        <v/>
      </c>
      <c r="U758" s="38" t="str">
        <f aca="false">IF(OR($K758="",$J758=""),"",MAX(0,$K758-$J758))</f>
        <v/>
      </c>
      <c r="V758" s="31" t="str">
        <f aca="false">IF($E758="","",IF(AND($M758&lt;&gt;"",$J758&lt;&gt;"",$M758&lt;&gt;$J758),1,0))</f>
        <v/>
      </c>
      <c r="W758" s="39" t="str">
        <f aca="false">IF($E758="","",IF($L758="Cancelada",0,IF(OR($K758&lt;&gt;"",$L758="Concluída"),1,0)))</f>
        <v/>
      </c>
    </row>
    <row r="759" customFormat="false" ht="15" hidden="false" customHeight="true" outlineLevel="0" collapsed="false">
      <c r="A759" s="31" t="str">
        <f aca="false">IF($E759="","",COUNTA($E$5:$E759))</f>
        <v/>
      </c>
      <c r="B759" s="32"/>
      <c r="C759" s="32"/>
      <c r="D759" s="32"/>
      <c r="E759" s="32"/>
      <c r="F759" s="33"/>
      <c r="G759" s="32"/>
      <c r="H759" s="34"/>
      <c r="I759" s="35"/>
      <c r="J759" s="36" t="str">
        <f aca="false">IF(OR($H759="",$I759=""),"",$H759+MATCH($I759,Listas!$F$5:$F$11,0)-1)</f>
        <v/>
      </c>
      <c r="K759" s="37"/>
      <c r="L759" s="33"/>
      <c r="M759" s="37"/>
      <c r="N759" s="32"/>
      <c r="O759" s="32"/>
      <c r="P759" s="38" t="str">
        <f aca="true">IF($E759="","",IF($L759="Cancelada","Cancelada",IF(OR($K759&lt;&gt;"",$L759="Concluída"),IF(OR($J759="",$K759="",$K759&lt;=$J759),"Concluída","Concluída com atraso"),IF($J759="","Na carteira",IF($J759&lt;TODAY(),"VENCIDA",IF($L759="Em execução","Em execução",IF($J759=TODAY(),"Hoje","Programada")))))))</f>
        <v/>
      </c>
      <c r="Q759" s="31" t="str">
        <f aca="false">IF($E759="","",IF(ISNUMBER(SEARCH("(externo)",$G759)),"Terceirizada","Interna"))</f>
        <v/>
      </c>
      <c r="R759" s="36" t="str">
        <f aca="false">IF($J759="","",IF($M759="",$J759,$M759))</f>
        <v/>
      </c>
      <c r="S759" s="31" t="str">
        <f aca="false">IF($E759="","",IF(OR($K759="",$J759=""),0,IF($K759&lt;=$J759,1,0)))</f>
        <v/>
      </c>
      <c r="T759" s="31" t="str">
        <f aca="false">IF($E759="","",IF(OR($K759="",$R759=""),0,IF($K759&lt;=$R759,1,0)))</f>
        <v/>
      </c>
      <c r="U759" s="38" t="str">
        <f aca="false">IF(OR($K759="",$J759=""),"",MAX(0,$K759-$J759))</f>
        <v/>
      </c>
      <c r="V759" s="31" t="str">
        <f aca="false">IF($E759="","",IF(AND($M759&lt;&gt;"",$J759&lt;&gt;"",$M759&lt;&gt;$J759),1,0))</f>
        <v/>
      </c>
      <c r="W759" s="39" t="str">
        <f aca="false">IF($E759="","",IF($L759="Cancelada",0,IF(OR($K759&lt;&gt;"",$L759="Concluída"),1,0)))</f>
        <v/>
      </c>
    </row>
    <row r="760" customFormat="false" ht="15" hidden="false" customHeight="true" outlineLevel="0" collapsed="false">
      <c r="A760" s="31" t="str">
        <f aca="false">IF($E760="","",COUNTA($E$5:$E760))</f>
        <v/>
      </c>
      <c r="B760" s="32"/>
      <c r="C760" s="32"/>
      <c r="D760" s="32"/>
      <c r="E760" s="32"/>
      <c r="F760" s="33"/>
      <c r="G760" s="32"/>
      <c r="H760" s="34"/>
      <c r="I760" s="35"/>
      <c r="J760" s="36" t="str">
        <f aca="false">IF(OR($H760="",$I760=""),"",$H760+MATCH($I760,Listas!$F$5:$F$11,0)-1)</f>
        <v/>
      </c>
      <c r="K760" s="37"/>
      <c r="L760" s="33"/>
      <c r="M760" s="37"/>
      <c r="N760" s="32"/>
      <c r="O760" s="32"/>
      <c r="P760" s="38" t="str">
        <f aca="true">IF($E760="","",IF($L760="Cancelada","Cancelada",IF(OR($K760&lt;&gt;"",$L760="Concluída"),IF(OR($J760="",$K760="",$K760&lt;=$J760),"Concluída","Concluída com atraso"),IF($J760="","Na carteira",IF($J760&lt;TODAY(),"VENCIDA",IF($L760="Em execução","Em execução",IF($J760=TODAY(),"Hoje","Programada")))))))</f>
        <v/>
      </c>
      <c r="Q760" s="31" t="str">
        <f aca="false">IF($E760="","",IF(ISNUMBER(SEARCH("(externo)",$G760)),"Terceirizada","Interna"))</f>
        <v/>
      </c>
      <c r="R760" s="36" t="str">
        <f aca="false">IF($J760="","",IF($M760="",$J760,$M760))</f>
        <v/>
      </c>
      <c r="S760" s="31" t="str">
        <f aca="false">IF($E760="","",IF(OR($K760="",$J760=""),0,IF($K760&lt;=$J760,1,0)))</f>
        <v/>
      </c>
      <c r="T760" s="31" t="str">
        <f aca="false">IF($E760="","",IF(OR($K760="",$R760=""),0,IF($K760&lt;=$R760,1,0)))</f>
        <v/>
      </c>
      <c r="U760" s="38" t="str">
        <f aca="false">IF(OR($K760="",$J760=""),"",MAX(0,$K760-$J760))</f>
        <v/>
      </c>
      <c r="V760" s="31" t="str">
        <f aca="false">IF($E760="","",IF(AND($M760&lt;&gt;"",$J760&lt;&gt;"",$M760&lt;&gt;$J760),1,0))</f>
        <v/>
      </c>
      <c r="W760" s="39" t="str">
        <f aca="false">IF($E760="","",IF($L760="Cancelada",0,IF(OR($K760&lt;&gt;"",$L760="Concluída"),1,0)))</f>
        <v/>
      </c>
    </row>
    <row r="761" customFormat="false" ht="15" hidden="false" customHeight="true" outlineLevel="0" collapsed="false">
      <c r="A761" s="31" t="str">
        <f aca="false">IF($E761="","",COUNTA($E$5:$E761))</f>
        <v/>
      </c>
      <c r="B761" s="32"/>
      <c r="C761" s="32"/>
      <c r="D761" s="32"/>
      <c r="E761" s="32"/>
      <c r="F761" s="33"/>
      <c r="G761" s="32"/>
      <c r="H761" s="34"/>
      <c r="I761" s="35"/>
      <c r="J761" s="36" t="str">
        <f aca="false">IF(OR($H761="",$I761=""),"",$H761+MATCH($I761,Listas!$F$5:$F$11,0)-1)</f>
        <v/>
      </c>
      <c r="K761" s="37"/>
      <c r="L761" s="33"/>
      <c r="M761" s="37"/>
      <c r="N761" s="32"/>
      <c r="O761" s="32"/>
      <c r="P761" s="38" t="str">
        <f aca="true">IF($E761="","",IF($L761="Cancelada","Cancelada",IF(OR($K761&lt;&gt;"",$L761="Concluída"),IF(OR($J761="",$K761="",$K761&lt;=$J761),"Concluída","Concluída com atraso"),IF($J761="","Na carteira",IF($J761&lt;TODAY(),"VENCIDA",IF($L761="Em execução","Em execução",IF($J761=TODAY(),"Hoje","Programada")))))))</f>
        <v/>
      </c>
      <c r="Q761" s="31" t="str">
        <f aca="false">IF($E761="","",IF(ISNUMBER(SEARCH("(externo)",$G761)),"Terceirizada","Interna"))</f>
        <v/>
      </c>
      <c r="R761" s="36" t="str">
        <f aca="false">IF($J761="","",IF($M761="",$J761,$M761))</f>
        <v/>
      </c>
      <c r="S761" s="31" t="str">
        <f aca="false">IF($E761="","",IF(OR($K761="",$J761=""),0,IF($K761&lt;=$J761,1,0)))</f>
        <v/>
      </c>
      <c r="T761" s="31" t="str">
        <f aca="false">IF($E761="","",IF(OR($K761="",$R761=""),0,IF($K761&lt;=$R761,1,0)))</f>
        <v/>
      </c>
      <c r="U761" s="38" t="str">
        <f aca="false">IF(OR($K761="",$J761=""),"",MAX(0,$K761-$J761))</f>
        <v/>
      </c>
      <c r="V761" s="31" t="str">
        <f aca="false">IF($E761="","",IF(AND($M761&lt;&gt;"",$J761&lt;&gt;"",$M761&lt;&gt;$J761),1,0))</f>
        <v/>
      </c>
      <c r="W761" s="39" t="str">
        <f aca="false">IF($E761="","",IF($L761="Cancelada",0,IF(OR($K761&lt;&gt;"",$L761="Concluída"),1,0)))</f>
        <v/>
      </c>
    </row>
    <row r="762" customFormat="false" ht="15" hidden="false" customHeight="true" outlineLevel="0" collapsed="false">
      <c r="A762" s="31" t="str">
        <f aca="false">IF($E762="","",COUNTA($E$5:$E762))</f>
        <v/>
      </c>
      <c r="B762" s="32"/>
      <c r="C762" s="32"/>
      <c r="D762" s="32"/>
      <c r="E762" s="32"/>
      <c r="F762" s="33"/>
      <c r="G762" s="32"/>
      <c r="H762" s="34"/>
      <c r="I762" s="35"/>
      <c r="J762" s="36" t="str">
        <f aca="false">IF(OR($H762="",$I762=""),"",$H762+MATCH($I762,Listas!$F$5:$F$11,0)-1)</f>
        <v/>
      </c>
      <c r="K762" s="37"/>
      <c r="L762" s="33"/>
      <c r="M762" s="37"/>
      <c r="N762" s="32"/>
      <c r="O762" s="32"/>
      <c r="P762" s="38" t="str">
        <f aca="true">IF($E762="","",IF($L762="Cancelada","Cancelada",IF(OR($K762&lt;&gt;"",$L762="Concluída"),IF(OR($J762="",$K762="",$K762&lt;=$J762),"Concluída","Concluída com atraso"),IF($J762="","Na carteira",IF($J762&lt;TODAY(),"VENCIDA",IF($L762="Em execução","Em execução",IF($J762=TODAY(),"Hoje","Programada")))))))</f>
        <v/>
      </c>
      <c r="Q762" s="31" t="str">
        <f aca="false">IF($E762="","",IF(ISNUMBER(SEARCH("(externo)",$G762)),"Terceirizada","Interna"))</f>
        <v/>
      </c>
      <c r="R762" s="36" t="str">
        <f aca="false">IF($J762="","",IF($M762="",$J762,$M762))</f>
        <v/>
      </c>
      <c r="S762" s="31" t="str">
        <f aca="false">IF($E762="","",IF(OR($K762="",$J762=""),0,IF($K762&lt;=$J762,1,0)))</f>
        <v/>
      </c>
      <c r="T762" s="31" t="str">
        <f aca="false">IF($E762="","",IF(OR($K762="",$R762=""),0,IF($K762&lt;=$R762,1,0)))</f>
        <v/>
      </c>
      <c r="U762" s="38" t="str">
        <f aca="false">IF(OR($K762="",$J762=""),"",MAX(0,$K762-$J762))</f>
        <v/>
      </c>
      <c r="V762" s="31" t="str">
        <f aca="false">IF($E762="","",IF(AND($M762&lt;&gt;"",$J762&lt;&gt;"",$M762&lt;&gt;$J762),1,0))</f>
        <v/>
      </c>
      <c r="W762" s="39" t="str">
        <f aca="false">IF($E762="","",IF($L762="Cancelada",0,IF(OR($K762&lt;&gt;"",$L762="Concluída"),1,0)))</f>
        <v/>
      </c>
    </row>
    <row r="763" customFormat="false" ht="15" hidden="false" customHeight="true" outlineLevel="0" collapsed="false">
      <c r="A763" s="31" t="str">
        <f aca="false">IF($E763="","",COUNTA($E$5:$E763))</f>
        <v/>
      </c>
      <c r="B763" s="32"/>
      <c r="C763" s="32"/>
      <c r="D763" s="32"/>
      <c r="E763" s="32"/>
      <c r="F763" s="33"/>
      <c r="G763" s="32"/>
      <c r="H763" s="34"/>
      <c r="I763" s="35"/>
      <c r="J763" s="36" t="str">
        <f aca="false">IF(OR($H763="",$I763=""),"",$H763+MATCH($I763,Listas!$F$5:$F$11,0)-1)</f>
        <v/>
      </c>
      <c r="K763" s="37"/>
      <c r="L763" s="33"/>
      <c r="M763" s="37"/>
      <c r="N763" s="32"/>
      <c r="O763" s="32"/>
      <c r="P763" s="38" t="str">
        <f aca="true">IF($E763="","",IF($L763="Cancelada","Cancelada",IF(OR($K763&lt;&gt;"",$L763="Concluída"),IF(OR($J763="",$K763="",$K763&lt;=$J763),"Concluída","Concluída com atraso"),IF($J763="","Na carteira",IF($J763&lt;TODAY(),"VENCIDA",IF($L763="Em execução","Em execução",IF($J763=TODAY(),"Hoje","Programada")))))))</f>
        <v/>
      </c>
      <c r="Q763" s="31" t="str">
        <f aca="false">IF($E763="","",IF(ISNUMBER(SEARCH("(externo)",$G763)),"Terceirizada","Interna"))</f>
        <v/>
      </c>
      <c r="R763" s="36" t="str">
        <f aca="false">IF($J763="","",IF($M763="",$J763,$M763))</f>
        <v/>
      </c>
      <c r="S763" s="31" t="str">
        <f aca="false">IF($E763="","",IF(OR($K763="",$J763=""),0,IF($K763&lt;=$J763,1,0)))</f>
        <v/>
      </c>
      <c r="T763" s="31" t="str">
        <f aca="false">IF($E763="","",IF(OR($K763="",$R763=""),0,IF($K763&lt;=$R763,1,0)))</f>
        <v/>
      </c>
      <c r="U763" s="38" t="str">
        <f aca="false">IF(OR($K763="",$J763=""),"",MAX(0,$K763-$J763))</f>
        <v/>
      </c>
      <c r="V763" s="31" t="str">
        <f aca="false">IF($E763="","",IF(AND($M763&lt;&gt;"",$J763&lt;&gt;"",$M763&lt;&gt;$J763),1,0))</f>
        <v/>
      </c>
      <c r="W763" s="39" t="str">
        <f aca="false">IF($E763="","",IF($L763="Cancelada",0,IF(OR($K763&lt;&gt;"",$L763="Concluída"),1,0)))</f>
        <v/>
      </c>
    </row>
    <row r="764" customFormat="false" ht="15" hidden="false" customHeight="true" outlineLevel="0" collapsed="false">
      <c r="A764" s="31" t="str">
        <f aca="false">IF($E764="","",COUNTA($E$5:$E764))</f>
        <v/>
      </c>
      <c r="B764" s="32"/>
      <c r="C764" s="32"/>
      <c r="D764" s="32"/>
      <c r="E764" s="32"/>
      <c r="F764" s="33"/>
      <c r="G764" s="32"/>
      <c r="H764" s="34"/>
      <c r="I764" s="35"/>
      <c r="J764" s="36" t="str">
        <f aca="false">IF(OR($H764="",$I764=""),"",$H764+MATCH($I764,Listas!$F$5:$F$11,0)-1)</f>
        <v/>
      </c>
      <c r="K764" s="37"/>
      <c r="L764" s="33"/>
      <c r="M764" s="37"/>
      <c r="N764" s="32"/>
      <c r="O764" s="32"/>
      <c r="P764" s="38" t="str">
        <f aca="true">IF($E764="","",IF($L764="Cancelada","Cancelada",IF(OR($K764&lt;&gt;"",$L764="Concluída"),IF(OR($J764="",$K764="",$K764&lt;=$J764),"Concluída","Concluída com atraso"),IF($J764="","Na carteira",IF($J764&lt;TODAY(),"VENCIDA",IF($L764="Em execução","Em execução",IF($J764=TODAY(),"Hoje","Programada")))))))</f>
        <v/>
      </c>
      <c r="Q764" s="31" t="str">
        <f aca="false">IF($E764="","",IF(ISNUMBER(SEARCH("(externo)",$G764)),"Terceirizada","Interna"))</f>
        <v/>
      </c>
      <c r="R764" s="36" t="str">
        <f aca="false">IF($J764="","",IF($M764="",$J764,$M764))</f>
        <v/>
      </c>
      <c r="S764" s="31" t="str">
        <f aca="false">IF($E764="","",IF(OR($K764="",$J764=""),0,IF($K764&lt;=$J764,1,0)))</f>
        <v/>
      </c>
      <c r="T764" s="31" t="str">
        <f aca="false">IF($E764="","",IF(OR($K764="",$R764=""),0,IF($K764&lt;=$R764,1,0)))</f>
        <v/>
      </c>
      <c r="U764" s="38" t="str">
        <f aca="false">IF(OR($K764="",$J764=""),"",MAX(0,$K764-$J764))</f>
        <v/>
      </c>
      <c r="V764" s="31" t="str">
        <f aca="false">IF($E764="","",IF(AND($M764&lt;&gt;"",$J764&lt;&gt;"",$M764&lt;&gt;$J764),1,0))</f>
        <v/>
      </c>
      <c r="W764" s="39" t="str">
        <f aca="false">IF($E764="","",IF($L764="Cancelada",0,IF(OR($K764&lt;&gt;"",$L764="Concluída"),1,0)))</f>
        <v/>
      </c>
    </row>
    <row r="765" customFormat="false" ht="15" hidden="false" customHeight="true" outlineLevel="0" collapsed="false">
      <c r="A765" s="31" t="str">
        <f aca="false">IF($E765="","",COUNTA($E$5:$E765))</f>
        <v/>
      </c>
      <c r="B765" s="32"/>
      <c r="C765" s="32"/>
      <c r="D765" s="32"/>
      <c r="E765" s="32"/>
      <c r="F765" s="33"/>
      <c r="G765" s="32"/>
      <c r="H765" s="34"/>
      <c r="I765" s="35"/>
      <c r="J765" s="36" t="str">
        <f aca="false">IF(OR($H765="",$I765=""),"",$H765+MATCH($I765,Listas!$F$5:$F$11,0)-1)</f>
        <v/>
      </c>
      <c r="K765" s="37"/>
      <c r="L765" s="33"/>
      <c r="M765" s="37"/>
      <c r="N765" s="32"/>
      <c r="O765" s="32"/>
      <c r="P765" s="38" t="str">
        <f aca="true">IF($E765="","",IF($L765="Cancelada","Cancelada",IF(OR($K765&lt;&gt;"",$L765="Concluída"),IF(OR($J765="",$K765="",$K765&lt;=$J765),"Concluída","Concluída com atraso"),IF($J765="","Na carteira",IF($J765&lt;TODAY(),"VENCIDA",IF($L765="Em execução","Em execução",IF($J765=TODAY(),"Hoje","Programada")))))))</f>
        <v/>
      </c>
      <c r="Q765" s="31" t="str">
        <f aca="false">IF($E765="","",IF(ISNUMBER(SEARCH("(externo)",$G765)),"Terceirizada","Interna"))</f>
        <v/>
      </c>
      <c r="R765" s="36" t="str">
        <f aca="false">IF($J765="","",IF($M765="",$J765,$M765))</f>
        <v/>
      </c>
      <c r="S765" s="31" t="str">
        <f aca="false">IF($E765="","",IF(OR($K765="",$J765=""),0,IF($K765&lt;=$J765,1,0)))</f>
        <v/>
      </c>
      <c r="T765" s="31" t="str">
        <f aca="false">IF($E765="","",IF(OR($K765="",$R765=""),0,IF($K765&lt;=$R765,1,0)))</f>
        <v/>
      </c>
      <c r="U765" s="38" t="str">
        <f aca="false">IF(OR($K765="",$J765=""),"",MAX(0,$K765-$J765))</f>
        <v/>
      </c>
      <c r="V765" s="31" t="str">
        <f aca="false">IF($E765="","",IF(AND($M765&lt;&gt;"",$J765&lt;&gt;"",$M765&lt;&gt;$J765),1,0))</f>
        <v/>
      </c>
      <c r="W765" s="39" t="str">
        <f aca="false">IF($E765="","",IF($L765="Cancelada",0,IF(OR($K765&lt;&gt;"",$L765="Concluída"),1,0)))</f>
        <v/>
      </c>
    </row>
    <row r="766" customFormat="false" ht="15" hidden="false" customHeight="true" outlineLevel="0" collapsed="false">
      <c r="A766" s="31" t="str">
        <f aca="false">IF($E766="","",COUNTA($E$5:$E766))</f>
        <v/>
      </c>
      <c r="B766" s="32"/>
      <c r="C766" s="32"/>
      <c r="D766" s="32"/>
      <c r="E766" s="32"/>
      <c r="F766" s="33"/>
      <c r="G766" s="32"/>
      <c r="H766" s="34"/>
      <c r="I766" s="35"/>
      <c r="J766" s="36" t="str">
        <f aca="false">IF(OR($H766="",$I766=""),"",$H766+MATCH($I766,Listas!$F$5:$F$11,0)-1)</f>
        <v/>
      </c>
      <c r="K766" s="37"/>
      <c r="L766" s="33"/>
      <c r="M766" s="37"/>
      <c r="N766" s="32"/>
      <c r="O766" s="32"/>
      <c r="P766" s="38" t="str">
        <f aca="true">IF($E766="","",IF($L766="Cancelada","Cancelada",IF(OR($K766&lt;&gt;"",$L766="Concluída"),IF(OR($J766="",$K766="",$K766&lt;=$J766),"Concluída","Concluída com atraso"),IF($J766="","Na carteira",IF($J766&lt;TODAY(),"VENCIDA",IF($L766="Em execução","Em execução",IF($J766=TODAY(),"Hoje","Programada")))))))</f>
        <v/>
      </c>
      <c r="Q766" s="31" t="str">
        <f aca="false">IF($E766="","",IF(ISNUMBER(SEARCH("(externo)",$G766)),"Terceirizada","Interna"))</f>
        <v/>
      </c>
      <c r="R766" s="36" t="str">
        <f aca="false">IF($J766="","",IF($M766="",$J766,$M766))</f>
        <v/>
      </c>
      <c r="S766" s="31" t="str">
        <f aca="false">IF($E766="","",IF(OR($K766="",$J766=""),0,IF($K766&lt;=$J766,1,0)))</f>
        <v/>
      </c>
      <c r="T766" s="31" t="str">
        <f aca="false">IF($E766="","",IF(OR($K766="",$R766=""),0,IF($K766&lt;=$R766,1,0)))</f>
        <v/>
      </c>
      <c r="U766" s="38" t="str">
        <f aca="false">IF(OR($K766="",$J766=""),"",MAX(0,$K766-$J766))</f>
        <v/>
      </c>
      <c r="V766" s="31" t="str">
        <f aca="false">IF($E766="","",IF(AND($M766&lt;&gt;"",$J766&lt;&gt;"",$M766&lt;&gt;$J766),1,0))</f>
        <v/>
      </c>
      <c r="W766" s="39" t="str">
        <f aca="false">IF($E766="","",IF($L766="Cancelada",0,IF(OR($K766&lt;&gt;"",$L766="Concluída"),1,0)))</f>
        <v/>
      </c>
    </row>
    <row r="767" customFormat="false" ht="15" hidden="false" customHeight="true" outlineLevel="0" collapsed="false">
      <c r="A767" s="31" t="str">
        <f aca="false">IF($E767="","",COUNTA($E$5:$E767))</f>
        <v/>
      </c>
      <c r="B767" s="32"/>
      <c r="C767" s="32"/>
      <c r="D767" s="32"/>
      <c r="E767" s="32"/>
      <c r="F767" s="33"/>
      <c r="G767" s="32"/>
      <c r="H767" s="34"/>
      <c r="I767" s="35"/>
      <c r="J767" s="36" t="str">
        <f aca="false">IF(OR($H767="",$I767=""),"",$H767+MATCH($I767,Listas!$F$5:$F$11,0)-1)</f>
        <v/>
      </c>
      <c r="K767" s="37"/>
      <c r="L767" s="33"/>
      <c r="M767" s="37"/>
      <c r="N767" s="32"/>
      <c r="O767" s="32"/>
      <c r="P767" s="38" t="str">
        <f aca="true">IF($E767="","",IF($L767="Cancelada","Cancelada",IF(OR($K767&lt;&gt;"",$L767="Concluída"),IF(OR($J767="",$K767="",$K767&lt;=$J767),"Concluída","Concluída com atraso"),IF($J767="","Na carteira",IF($J767&lt;TODAY(),"VENCIDA",IF($L767="Em execução","Em execução",IF($J767=TODAY(),"Hoje","Programada")))))))</f>
        <v/>
      </c>
      <c r="Q767" s="31" t="str">
        <f aca="false">IF($E767="","",IF(ISNUMBER(SEARCH("(externo)",$G767)),"Terceirizada","Interna"))</f>
        <v/>
      </c>
      <c r="R767" s="36" t="str">
        <f aca="false">IF($J767="","",IF($M767="",$J767,$M767))</f>
        <v/>
      </c>
      <c r="S767" s="31" t="str">
        <f aca="false">IF($E767="","",IF(OR($K767="",$J767=""),0,IF($K767&lt;=$J767,1,0)))</f>
        <v/>
      </c>
      <c r="T767" s="31" t="str">
        <f aca="false">IF($E767="","",IF(OR($K767="",$R767=""),0,IF($K767&lt;=$R767,1,0)))</f>
        <v/>
      </c>
      <c r="U767" s="38" t="str">
        <f aca="false">IF(OR($K767="",$J767=""),"",MAX(0,$K767-$J767))</f>
        <v/>
      </c>
      <c r="V767" s="31" t="str">
        <f aca="false">IF($E767="","",IF(AND($M767&lt;&gt;"",$J767&lt;&gt;"",$M767&lt;&gt;$J767),1,0))</f>
        <v/>
      </c>
      <c r="W767" s="39" t="str">
        <f aca="false">IF($E767="","",IF($L767="Cancelada",0,IF(OR($K767&lt;&gt;"",$L767="Concluída"),1,0)))</f>
        <v/>
      </c>
    </row>
    <row r="768" customFormat="false" ht="15" hidden="false" customHeight="true" outlineLevel="0" collapsed="false">
      <c r="A768" s="31" t="str">
        <f aca="false">IF($E768="","",COUNTA($E$5:$E768))</f>
        <v/>
      </c>
      <c r="B768" s="32"/>
      <c r="C768" s="32"/>
      <c r="D768" s="32"/>
      <c r="E768" s="32"/>
      <c r="F768" s="33"/>
      <c r="G768" s="32"/>
      <c r="H768" s="34"/>
      <c r="I768" s="35"/>
      <c r="J768" s="36" t="str">
        <f aca="false">IF(OR($H768="",$I768=""),"",$H768+MATCH($I768,Listas!$F$5:$F$11,0)-1)</f>
        <v/>
      </c>
      <c r="K768" s="37"/>
      <c r="L768" s="33"/>
      <c r="M768" s="37"/>
      <c r="N768" s="32"/>
      <c r="O768" s="32"/>
      <c r="P768" s="38" t="str">
        <f aca="true">IF($E768="","",IF($L768="Cancelada","Cancelada",IF(OR($K768&lt;&gt;"",$L768="Concluída"),IF(OR($J768="",$K768="",$K768&lt;=$J768),"Concluída","Concluída com atraso"),IF($J768="","Na carteira",IF($J768&lt;TODAY(),"VENCIDA",IF($L768="Em execução","Em execução",IF($J768=TODAY(),"Hoje","Programada")))))))</f>
        <v/>
      </c>
      <c r="Q768" s="31" t="str">
        <f aca="false">IF($E768="","",IF(ISNUMBER(SEARCH("(externo)",$G768)),"Terceirizada","Interna"))</f>
        <v/>
      </c>
      <c r="R768" s="36" t="str">
        <f aca="false">IF($J768="","",IF($M768="",$J768,$M768))</f>
        <v/>
      </c>
      <c r="S768" s="31" t="str">
        <f aca="false">IF($E768="","",IF(OR($K768="",$J768=""),0,IF($K768&lt;=$J768,1,0)))</f>
        <v/>
      </c>
      <c r="T768" s="31" t="str">
        <f aca="false">IF($E768="","",IF(OR($K768="",$R768=""),0,IF($K768&lt;=$R768,1,0)))</f>
        <v/>
      </c>
      <c r="U768" s="38" t="str">
        <f aca="false">IF(OR($K768="",$J768=""),"",MAX(0,$K768-$J768))</f>
        <v/>
      </c>
      <c r="V768" s="31" t="str">
        <f aca="false">IF($E768="","",IF(AND($M768&lt;&gt;"",$J768&lt;&gt;"",$M768&lt;&gt;$J768),1,0))</f>
        <v/>
      </c>
      <c r="W768" s="39" t="str">
        <f aca="false">IF($E768="","",IF($L768="Cancelada",0,IF(OR($K768&lt;&gt;"",$L768="Concluída"),1,0)))</f>
        <v/>
      </c>
    </row>
    <row r="769" customFormat="false" ht="15" hidden="false" customHeight="true" outlineLevel="0" collapsed="false">
      <c r="A769" s="31" t="str">
        <f aca="false">IF($E769="","",COUNTA($E$5:$E769))</f>
        <v/>
      </c>
      <c r="B769" s="32"/>
      <c r="C769" s="32"/>
      <c r="D769" s="32"/>
      <c r="E769" s="32"/>
      <c r="F769" s="33"/>
      <c r="G769" s="32"/>
      <c r="H769" s="34"/>
      <c r="I769" s="35"/>
      <c r="J769" s="36" t="str">
        <f aca="false">IF(OR($H769="",$I769=""),"",$H769+MATCH($I769,Listas!$F$5:$F$11,0)-1)</f>
        <v/>
      </c>
      <c r="K769" s="37"/>
      <c r="L769" s="33"/>
      <c r="M769" s="37"/>
      <c r="N769" s="32"/>
      <c r="O769" s="32"/>
      <c r="P769" s="38" t="str">
        <f aca="true">IF($E769="","",IF($L769="Cancelada","Cancelada",IF(OR($K769&lt;&gt;"",$L769="Concluída"),IF(OR($J769="",$K769="",$K769&lt;=$J769),"Concluída","Concluída com atraso"),IF($J769="","Na carteira",IF($J769&lt;TODAY(),"VENCIDA",IF($L769="Em execução","Em execução",IF($J769=TODAY(),"Hoje","Programada")))))))</f>
        <v/>
      </c>
      <c r="Q769" s="31" t="str">
        <f aca="false">IF($E769="","",IF(ISNUMBER(SEARCH("(externo)",$G769)),"Terceirizada","Interna"))</f>
        <v/>
      </c>
      <c r="R769" s="36" t="str">
        <f aca="false">IF($J769="","",IF($M769="",$J769,$M769))</f>
        <v/>
      </c>
      <c r="S769" s="31" t="str">
        <f aca="false">IF($E769="","",IF(OR($K769="",$J769=""),0,IF($K769&lt;=$J769,1,0)))</f>
        <v/>
      </c>
      <c r="T769" s="31" t="str">
        <f aca="false">IF($E769="","",IF(OR($K769="",$R769=""),0,IF($K769&lt;=$R769,1,0)))</f>
        <v/>
      </c>
      <c r="U769" s="38" t="str">
        <f aca="false">IF(OR($K769="",$J769=""),"",MAX(0,$K769-$J769))</f>
        <v/>
      </c>
      <c r="V769" s="31" t="str">
        <f aca="false">IF($E769="","",IF(AND($M769&lt;&gt;"",$J769&lt;&gt;"",$M769&lt;&gt;$J769),1,0))</f>
        <v/>
      </c>
      <c r="W769" s="39" t="str">
        <f aca="false">IF($E769="","",IF($L769="Cancelada",0,IF(OR($K769&lt;&gt;"",$L769="Concluída"),1,0)))</f>
        <v/>
      </c>
    </row>
    <row r="770" customFormat="false" ht="15" hidden="false" customHeight="true" outlineLevel="0" collapsed="false">
      <c r="A770" s="31" t="str">
        <f aca="false">IF($E770="","",COUNTA($E$5:$E770))</f>
        <v/>
      </c>
      <c r="B770" s="32"/>
      <c r="C770" s="32"/>
      <c r="D770" s="32"/>
      <c r="E770" s="32"/>
      <c r="F770" s="33"/>
      <c r="G770" s="32"/>
      <c r="H770" s="34"/>
      <c r="I770" s="35"/>
      <c r="J770" s="36" t="str">
        <f aca="false">IF(OR($H770="",$I770=""),"",$H770+MATCH($I770,Listas!$F$5:$F$11,0)-1)</f>
        <v/>
      </c>
      <c r="K770" s="37"/>
      <c r="L770" s="33"/>
      <c r="M770" s="37"/>
      <c r="N770" s="32"/>
      <c r="O770" s="32"/>
      <c r="P770" s="38" t="str">
        <f aca="true">IF($E770="","",IF($L770="Cancelada","Cancelada",IF(OR($K770&lt;&gt;"",$L770="Concluída"),IF(OR($J770="",$K770="",$K770&lt;=$J770),"Concluída","Concluída com atraso"),IF($J770="","Na carteira",IF($J770&lt;TODAY(),"VENCIDA",IF($L770="Em execução","Em execução",IF($J770=TODAY(),"Hoje","Programada")))))))</f>
        <v/>
      </c>
      <c r="Q770" s="31" t="str">
        <f aca="false">IF($E770="","",IF(ISNUMBER(SEARCH("(externo)",$G770)),"Terceirizada","Interna"))</f>
        <v/>
      </c>
      <c r="R770" s="36" t="str">
        <f aca="false">IF($J770="","",IF($M770="",$J770,$M770))</f>
        <v/>
      </c>
      <c r="S770" s="31" t="str">
        <f aca="false">IF($E770="","",IF(OR($K770="",$J770=""),0,IF($K770&lt;=$J770,1,0)))</f>
        <v/>
      </c>
      <c r="T770" s="31" t="str">
        <f aca="false">IF($E770="","",IF(OR($K770="",$R770=""),0,IF($K770&lt;=$R770,1,0)))</f>
        <v/>
      </c>
      <c r="U770" s="38" t="str">
        <f aca="false">IF(OR($K770="",$J770=""),"",MAX(0,$K770-$J770))</f>
        <v/>
      </c>
      <c r="V770" s="31" t="str">
        <f aca="false">IF($E770="","",IF(AND($M770&lt;&gt;"",$J770&lt;&gt;"",$M770&lt;&gt;$J770),1,0))</f>
        <v/>
      </c>
      <c r="W770" s="39" t="str">
        <f aca="false">IF($E770="","",IF($L770="Cancelada",0,IF(OR($K770&lt;&gt;"",$L770="Concluída"),1,0)))</f>
        <v/>
      </c>
    </row>
    <row r="771" customFormat="false" ht="15" hidden="false" customHeight="true" outlineLevel="0" collapsed="false">
      <c r="A771" s="31" t="str">
        <f aca="false">IF($E771="","",COUNTA($E$5:$E771))</f>
        <v/>
      </c>
      <c r="B771" s="32"/>
      <c r="C771" s="32"/>
      <c r="D771" s="32"/>
      <c r="E771" s="32"/>
      <c r="F771" s="33"/>
      <c r="G771" s="32"/>
      <c r="H771" s="34"/>
      <c r="I771" s="35"/>
      <c r="J771" s="36" t="str">
        <f aca="false">IF(OR($H771="",$I771=""),"",$H771+MATCH($I771,Listas!$F$5:$F$11,0)-1)</f>
        <v/>
      </c>
      <c r="K771" s="37"/>
      <c r="L771" s="33"/>
      <c r="M771" s="37"/>
      <c r="N771" s="32"/>
      <c r="O771" s="32"/>
      <c r="P771" s="38" t="str">
        <f aca="true">IF($E771="","",IF($L771="Cancelada","Cancelada",IF(OR($K771&lt;&gt;"",$L771="Concluída"),IF(OR($J771="",$K771="",$K771&lt;=$J771),"Concluída","Concluída com atraso"),IF($J771="","Na carteira",IF($J771&lt;TODAY(),"VENCIDA",IF($L771="Em execução","Em execução",IF($J771=TODAY(),"Hoje","Programada")))))))</f>
        <v/>
      </c>
      <c r="Q771" s="31" t="str">
        <f aca="false">IF($E771="","",IF(ISNUMBER(SEARCH("(externo)",$G771)),"Terceirizada","Interna"))</f>
        <v/>
      </c>
      <c r="R771" s="36" t="str">
        <f aca="false">IF($J771="","",IF($M771="",$J771,$M771))</f>
        <v/>
      </c>
      <c r="S771" s="31" t="str">
        <f aca="false">IF($E771="","",IF(OR($K771="",$J771=""),0,IF($K771&lt;=$J771,1,0)))</f>
        <v/>
      </c>
      <c r="T771" s="31" t="str">
        <f aca="false">IF($E771="","",IF(OR($K771="",$R771=""),0,IF($K771&lt;=$R771,1,0)))</f>
        <v/>
      </c>
      <c r="U771" s="38" t="str">
        <f aca="false">IF(OR($K771="",$J771=""),"",MAX(0,$K771-$J771))</f>
        <v/>
      </c>
      <c r="V771" s="31" t="str">
        <f aca="false">IF($E771="","",IF(AND($M771&lt;&gt;"",$J771&lt;&gt;"",$M771&lt;&gt;$J771),1,0))</f>
        <v/>
      </c>
      <c r="W771" s="39" t="str">
        <f aca="false">IF($E771="","",IF($L771="Cancelada",0,IF(OR($K771&lt;&gt;"",$L771="Concluída"),1,0)))</f>
        <v/>
      </c>
    </row>
    <row r="772" customFormat="false" ht="15" hidden="false" customHeight="true" outlineLevel="0" collapsed="false">
      <c r="A772" s="31" t="str">
        <f aca="false">IF($E772="","",COUNTA($E$5:$E772))</f>
        <v/>
      </c>
      <c r="B772" s="32"/>
      <c r="C772" s="32"/>
      <c r="D772" s="32"/>
      <c r="E772" s="32"/>
      <c r="F772" s="33"/>
      <c r="G772" s="32"/>
      <c r="H772" s="34"/>
      <c r="I772" s="35"/>
      <c r="J772" s="36" t="str">
        <f aca="false">IF(OR($H772="",$I772=""),"",$H772+MATCH($I772,Listas!$F$5:$F$11,0)-1)</f>
        <v/>
      </c>
      <c r="K772" s="37"/>
      <c r="L772" s="33"/>
      <c r="M772" s="37"/>
      <c r="N772" s="32"/>
      <c r="O772" s="32"/>
      <c r="P772" s="38" t="str">
        <f aca="true">IF($E772="","",IF($L772="Cancelada","Cancelada",IF(OR($K772&lt;&gt;"",$L772="Concluída"),IF(OR($J772="",$K772="",$K772&lt;=$J772),"Concluída","Concluída com atraso"),IF($J772="","Na carteira",IF($J772&lt;TODAY(),"VENCIDA",IF($L772="Em execução","Em execução",IF($J772=TODAY(),"Hoje","Programada")))))))</f>
        <v/>
      </c>
      <c r="Q772" s="31" t="str">
        <f aca="false">IF($E772="","",IF(ISNUMBER(SEARCH("(externo)",$G772)),"Terceirizada","Interna"))</f>
        <v/>
      </c>
      <c r="R772" s="36" t="str">
        <f aca="false">IF($J772="","",IF($M772="",$J772,$M772))</f>
        <v/>
      </c>
      <c r="S772" s="31" t="str">
        <f aca="false">IF($E772="","",IF(OR($K772="",$J772=""),0,IF($K772&lt;=$J772,1,0)))</f>
        <v/>
      </c>
      <c r="T772" s="31" t="str">
        <f aca="false">IF($E772="","",IF(OR($K772="",$R772=""),0,IF($K772&lt;=$R772,1,0)))</f>
        <v/>
      </c>
      <c r="U772" s="38" t="str">
        <f aca="false">IF(OR($K772="",$J772=""),"",MAX(0,$K772-$J772))</f>
        <v/>
      </c>
      <c r="V772" s="31" t="str">
        <f aca="false">IF($E772="","",IF(AND($M772&lt;&gt;"",$J772&lt;&gt;"",$M772&lt;&gt;$J772),1,0))</f>
        <v/>
      </c>
      <c r="W772" s="39" t="str">
        <f aca="false">IF($E772="","",IF($L772="Cancelada",0,IF(OR($K772&lt;&gt;"",$L772="Concluída"),1,0)))</f>
        <v/>
      </c>
    </row>
    <row r="773" customFormat="false" ht="15" hidden="false" customHeight="true" outlineLevel="0" collapsed="false">
      <c r="A773" s="31" t="str">
        <f aca="false">IF($E773="","",COUNTA($E$5:$E773))</f>
        <v/>
      </c>
      <c r="B773" s="32"/>
      <c r="C773" s="32"/>
      <c r="D773" s="32"/>
      <c r="E773" s="32"/>
      <c r="F773" s="33"/>
      <c r="G773" s="32"/>
      <c r="H773" s="34"/>
      <c r="I773" s="35"/>
      <c r="J773" s="36" t="str">
        <f aca="false">IF(OR($H773="",$I773=""),"",$H773+MATCH($I773,Listas!$F$5:$F$11,0)-1)</f>
        <v/>
      </c>
      <c r="K773" s="37"/>
      <c r="L773" s="33"/>
      <c r="M773" s="37"/>
      <c r="N773" s="32"/>
      <c r="O773" s="32"/>
      <c r="P773" s="38" t="str">
        <f aca="true">IF($E773="","",IF($L773="Cancelada","Cancelada",IF(OR($K773&lt;&gt;"",$L773="Concluída"),IF(OR($J773="",$K773="",$K773&lt;=$J773),"Concluída","Concluída com atraso"),IF($J773="","Na carteira",IF($J773&lt;TODAY(),"VENCIDA",IF($L773="Em execução","Em execução",IF($J773=TODAY(),"Hoje","Programada")))))))</f>
        <v/>
      </c>
      <c r="Q773" s="31" t="str">
        <f aca="false">IF($E773="","",IF(ISNUMBER(SEARCH("(externo)",$G773)),"Terceirizada","Interna"))</f>
        <v/>
      </c>
      <c r="R773" s="36" t="str">
        <f aca="false">IF($J773="","",IF($M773="",$J773,$M773))</f>
        <v/>
      </c>
      <c r="S773" s="31" t="str">
        <f aca="false">IF($E773="","",IF(OR($K773="",$J773=""),0,IF($K773&lt;=$J773,1,0)))</f>
        <v/>
      </c>
      <c r="T773" s="31" t="str">
        <f aca="false">IF($E773="","",IF(OR($K773="",$R773=""),0,IF($K773&lt;=$R773,1,0)))</f>
        <v/>
      </c>
      <c r="U773" s="38" t="str">
        <f aca="false">IF(OR($K773="",$J773=""),"",MAX(0,$K773-$J773))</f>
        <v/>
      </c>
      <c r="V773" s="31" t="str">
        <f aca="false">IF($E773="","",IF(AND($M773&lt;&gt;"",$J773&lt;&gt;"",$M773&lt;&gt;$J773),1,0))</f>
        <v/>
      </c>
      <c r="W773" s="39" t="str">
        <f aca="false">IF($E773="","",IF($L773="Cancelada",0,IF(OR($K773&lt;&gt;"",$L773="Concluída"),1,0)))</f>
        <v/>
      </c>
    </row>
    <row r="774" customFormat="false" ht="15" hidden="false" customHeight="true" outlineLevel="0" collapsed="false">
      <c r="A774" s="31" t="str">
        <f aca="false">IF($E774="","",COUNTA($E$5:$E774))</f>
        <v/>
      </c>
      <c r="B774" s="32"/>
      <c r="C774" s="32"/>
      <c r="D774" s="32"/>
      <c r="E774" s="32"/>
      <c r="F774" s="33"/>
      <c r="G774" s="32"/>
      <c r="H774" s="34"/>
      <c r="I774" s="35"/>
      <c r="J774" s="36" t="str">
        <f aca="false">IF(OR($H774="",$I774=""),"",$H774+MATCH($I774,Listas!$F$5:$F$11,0)-1)</f>
        <v/>
      </c>
      <c r="K774" s="37"/>
      <c r="L774" s="33"/>
      <c r="M774" s="37"/>
      <c r="N774" s="32"/>
      <c r="O774" s="32"/>
      <c r="P774" s="38" t="str">
        <f aca="true">IF($E774="","",IF($L774="Cancelada","Cancelada",IF(OR($K774&lt;&gt;"",$L774="Concluída"),IF(OR($J774="",$K774="",$K774&lt;=$J774),"Concluída","Concluída com atraso"),IF($J774="","Na carteira",IF($J774&lt;TODAY(),"VENCIDA",IF($L774="Em execução","Em execução",IF($J774=TODAY(),"Hoje","Programada")))))))</f>
        <v/>
      </c>
      <c r="Q774" s="31" t="str">
        <f aca="false">IF($E774="","",IF(ISNUMBER(SEARCH("(externo)",$G774)),"Terceirizada","Interna"))</f>
        <v/>
      </c>
      <c r="R774" s="36" t="str">
        <f aca="false">IF($J774="","",IF($M774="",$J774,$M774))</f>
        <v/>
      </c>
      <c r="S774" s="31" t="str">
        <f aca="false">IF($E774="","",IF(OR($K774="",$J774=""),0,IF($K774&lt;=$J774,1,0)))</f>
        <v/>
      </c>
      <c r="T774" s="31" t="str">
        <f aca="false">IF($E774="","",IF(OR($K774="",$R774=""),0,IF($K774&lt;=$R774,1,0)))</f>
        <v/>
      </c>
      <c r="U774" s="38" t="str">
        <f aca="false">IF(OR($K774="",$J774=""),"",MAX(0,$K774-$J774))</f>
        <v/>
      </c>
      <c r="V774" s="31" t="str">
        <f aca="false">IF($E774="","",IF(AND($M774&lt;&gt;"",$J774&lt;&gt;"",$M774&lt;&gt;$J774),1,0))</f>
        <v/>
      </c>
      <c r="W774" s="39" t="str">
        <f aca="false">IF($E774="","",IF($L774="Cancelada",0,IF(OR($K774&lt;&gt;"",$L774="Concluída"),1,0)))</f>
        <v/>
      </c>
    </row>
    <row r="775" customFormat="false" ht="15" hidden="false" customHeight="true" outlineLevel="0" collapsed="false">
      <c r="A775" s="31" t="str">
        <f aca="false">IF($E775="","",COUNTA($E$5:$E775))</f>
        <v/>
      </c>
      <c r="B775" s="32"/>
      <c r="C775" s="32"/>
      <c r="D775" s="32"/>
      <c r="E775" s="32"/>
      <c r="F775" s="33"/>
      <c r="G775" s="32"/>
      <c r="H775" s="34"/>
      <c r="I775" s="35"/>
      <c r="J775" s="36" t="str">
        <f aca="false">IF(OR($H775="",$I775=""),"",$H775+MATCH($I775,Listas!$F$5:$F$11,0)-1)</f>
        <v/>
      </c>
      <c r="K775" s="37"/>
      <c r="L775" s="33"/>
      <c r="M775" s="37"/>
      <c r="N775" s="32"/>
      <c r="O775" s="32"/>
      <c r="P775" s="38" t="str">
        <f aca="true">IF($E775="","",IF($L775="Cancelada","Cancelada",IF(OR($K775&lt;&gt;"",$L775="Concluída"),IF(OR($J775="",$K775="",$K775&lt;=$J775),"Concluída","Concluída com atraso"),IF($J775="","Na carteira",IF($J775&lt;TODAY(),"VENCIDA",IF($L775="Em execução","Em execução",IF($J775=TODAY(),"Hoje","Programada")))))))</f>
        <v/>
      </c>
      <c r="Q775" s="31" t="str">
        <f aca="false">IF($E775="","",IF(ISNUMBER(SEARCH("(externo)",$G775)),"Terceirizada","Interna"))</f>
        <v/>
      </c>
      <c r="R775" s="36" t="str">
        <f aca="false">IF($J775="","",IF($M775="",$J775,$M775))</f>
        <v/>
      </c>
      <c r="S775" s="31" t="str">
        <f aca="false">IF($E775="","",IF(OR($K775="",$J775=""),0,IF($K775&lt;=$J775,1,0)))</f>
        <v/>
      </c>
      <c r="T775" s="31" t="str">
        <f aca="false">IF($E775="","",IF(OR($K775="",$R775=""),0,IF($K775&lt;=$R775,1,0)))</f>
        <v/>
      </c>
      <c r="U775" s="38" t="str">
        <f aca="false">IF(OR($K775="",$J775=""),"",MAX(0,$K775-$J775))</f>
        <v/>
      </c>
      <c r="V775" s="31" t="str">
        <f aca="false">IF($E775="","",IF(AND($M775&lt;&gt;"",$J775&lt;&gt;"",$M775&lt;&gt;$J775),1,0))</f>
        <v/>
      </c>
      <c r="W775" s="39" t="str">
        <f aca="false">IF($E775="","",IF($L775="Cancelada",0,IF(OR($K775&lt;&gt;"",$L775="Concluída"),1,0)))</f>
        <v/>
      </c>
    </row>
    <row r="776" customFormat="false" ht="15" hidden="false" customHeight="true" outlineLevel="0" collapsed="false">
      <c r="A776" s="31" t="str">
        <f aca="false">IF($E776="","",COUNTA($E$5:$E776))</f>
        <v/>
      </c>
      <c r="B776" s="32"/>
      <c r="C776" s="32"/>
      <c r="D776" s="32"/>
      <c r="E776" s="32"/>
      <c r="F776" s="33"/>
      <c r="G776" s="32"/>
      <c r="H776" s="34"/>
      <c r="I776" s="35"/>
      <c r="J776" s="36" t="str">
        <f aca="false">IF(OR($H776="",$I776=""),"",$H776+MATCH($I776,Listas!$F$5:$F$11,0)-1)</f>
        <v/>
      </c>
      <c r="K776" s="37"/>
      <c r="L776" s="33"/>
      <c r="M776" s="37"/>
      <c r="N776" s="32"/>
      <c r="O776" s="32"/>
      <c r="P776" s="38" t="str">
        <f aca="true">IF($E776="","",IF($L776="Cancelada","Cancelada",IF(OR($K776&lt;&gt;"",$L776="Concluída"),IF(OR($J776="",$K776="",$K776&lt;=$J776),"Concluída","Concluída com atraso"),IF($J776="","Na carteira",IF($J776&lt;TODAY(),"VENCIDA",IF($L776="Em execução","Em execução",IF($J776=TODAY(),"Hoje","Programada")))))))</f>
        <v/>
      </c>
      <c r="Q776" s="31" t="str">
        <f aca="false">IF($E776="","",IF(ISNUMBER(SEARCH("(externo)",$G776)),"Terceirizada","Interna"))</f>
        <v/>
      </c>
      <c r="R776" s="36" t="str">
        <f aca="false">IF($J776="","",IF($M776="",$J776,$M776))</f>
        <v/>
      </c>
      <c r="S776" s="31" t="str">
        <f aca="false">IF($E776="","",IF(OR($K776="",$J776=""),0,IF($K776&lt;=$J776,1,0)))</f>
        <v/>
      </c>
      <c r="T776" s="31" t="str">
        <f aca="false">IF($E776="","",IF(OR($K776="",$R776=""),0,IF($K776&lt;=$R776,1,0)))</f>
        <v/>
      </c>
      <c r="U776" s="38" t="str">
        <f aca="false">IF(OR($K776="",$J776=""),"",MAX(0,$K776-$J776))</f>
        <v/>
      </c>
      <c r="V776" s="31" t="str">
        <f aca="false">IF($E776="","",IF(AND($M776&lt;&gt;"",$J776&lt;&gt;"",$M776&lt;&gt;$J776),1,0))</f>
        <v/>
      </c>
      <c r="W776" s="39" t="str">
        <f aca="false">IF($E776="","",IF($L776="Cancelada",0,IF(OR($K776&lt;&gt;"",$L776="Concluída"),1,0)))</f>
        <v/>
      </c>
    </row>
    <row r="777" customFormat="false" ht="15" hidden="false" customHeight="true" outlineLevel="0" collapsed="false">
      <c r="A777" s="31" t="str">
        <f aca="false">IF($E777="","",COUNTA($E$5:$E777))</f>
        <v/>
      </c>
      <c r="B777" s="32"/>
      <c r="C777" s="32"/>
      <c r="D777" s="32"/>
      <c r="E777" s="32"/>
      <c r="F777" s="33"/>
      <c r="G777" s="32"/>
      <c r="H777" s="34"/>
      <c r="I777" s="35"/>
      <c r="J777" s="36" t="str">
        <f aca="false">IF(OR($H777="",$I777=""),"",$H777+MATCH($I777,Listas!$F$5:$F$11,0)-1)</f>
        <v/>
      </c>
      <c r="K777" s="37"/>
      <c r="L777" s="33"/>
      <c r="M777" s="37"/>
      <c r="N777" s="32"/>
      <c r="O777" s="32"/>
      <c r="P777" s="38" t="str">
        <f aca="true">IF($E777="","",IF($L777="Cancelada","Cancelada",IF(OR($K777&lt;&gt;"",$L777="Concluída"),IF(OR($J777="",$K777="",$K777&lt;=$J777),"Concluída","Concluída com atraso"),IF($J777="","Na carteira",IF($J777&lt;TODAY(),"VENCIDA",IF($L777="Em execução","Em execução",IF($J777=TODAY(),"Hoje","Programada")))))))</f>
        <v/>
      </c>
      <c r="Q777" s="31" t="str">
        <f aca="false">IF($E777="","",IF(ISNUMBER(SEARCH("(externo)",$G777)),"Terceirizada","Interna"))</f>
        <v/>
      </c>
      <c r="R777" s="36" t="str">
        <f aca="false">IF($J777="","",IF($M777="",$J777,$M777))</f>
        <v/>
      </c>
      <c r="S777" s="31" t="str">
        <f aca="false">IF($E777="","",IF(OR($K777="",$J777=""),0,IF($K777&lt;=$J777,1,0)))</f>
        <v/>
      </c>
      <c r="T777" s="31" t="str">
        <f aca="false">IF($E777="","",IF(OR($K777="",$R777=""),0,IF($K777&lt;=$R777,1,0)))</f>
        <v/>
      </c>
      <c r="U777" s="38" t="str">
        <f aca="false">IF(OR($K777="",$J777=""),"",MAX(0,$K777-$J777))</f>
        <v/>
      </c>
      <c r="V777" s="31" t="str">
        <f aca="false">IF($E777="","",IF(AND($M777&lt;&gt;"",$J777&lt;&gt;"",$M777&lt;&gt;$J777),1,0))</f>
        <v/>
      </c>
      <c r="W777" s="39" t="str">
        <f aca="false">IF($E777="","",IF($L777="Cancelada",0,IF(OR($K777&lt;&gt;"",$L777="Concluída"),1,0)))</f>
        <v/>
      </c>
    </row>
    <row r="778" customFormat="false" ht="15" hidden="false" customHeight="true" outlineLevel="0" collapsed="false">
      <c r="A778" s="31" t="str">
        <f aca="false">IF($E778="","",COUNTA($E$5:$E778))</f>
        <v/>
      </c>
      <c r="B778" s="32"/>
      <c r="C778" s="32"/>
      <c r="D778" s="32"/>
      <c r="E778" s="32"/>
      <c r="F778" s="33"/>
      <c r="G778" s="32"/>
      <c r="H778" s="34"/>
      <c r="I778" s="35"/>
      <c r="J778" s="36" t="str">
        <f aca="false">IF(OR($H778="",$I778=""),"",$H778+MATCH($I778,Listas!$F$5:$F$11,0)-1)</f>
        <v/>
      </c>
      <c r="K778" s="37"/>
      <c r="L778" s="33"/>
      <c r="M778" s="37"/>
      <c r="N778" s="32"/>
      <c r="O778" s="32"/>
      <c r="P778" s="38" t="str">
        <f aca="true">IF($E778="","",IF($L778="Cancelada","Cancelada",IF(OR($K778&lt;&gt;"",$L778="Concluída"),IF(OR($J778="",$K778="",$K778&lt;=$J778),"Concluída","Concluída com atraso"),IF($J778="","Na carteira",IF($J778&lt;TODAY(),"VENCIDA",IF($L778="Em execução","Em execução",IF($J778=TODAY(),"Hoje","Programada")))))))</f>
        <v/>
      </c>
      <c r="Q778" s="31" t="str">
        <f aca="false">IF($E778="","",IF(ISNUMBER(SEARCH("(externo)",$G778)),"Terceirizada","Interna"))</f>
        <v/>
      </c>
      <c r="R778" s="36" t="str">
        <f aca="false">IF($J778="","",IF($M778="",$J778,$M778))</f>
        <v/>
      </c>
      <c r="S778" s="31" t="str">
        <f aca="false">IF($E778="","",IF(OR($K778="",$J778=""),0,IF($K778&lt;=$J778,1,0)))</f>
        <v/>
      </c>
      <c r="T778" s="31" t="str">
        <f aca="false">IF($E778="","",IF(OR($K778="",$R778=""),0,IF($K778&lt;=$R778,1,0)))</f>
        <v/>
      </c>
      <c r="U778" s="38" t="str">
        <f aca="false">IF(OR($K778="",$J778=""),"",MAX(0,$K778-$J778))</f>
        <v/>
      </c>
      <c r="V778" s="31" t="str">
        <f aca="false">IF($E778="","",IF(AND($M778&lt;&gt;"",$J778&lt;&gt;"",$M778&lt;&gt;$J778),1,0))</f>
        <v/>
      </c>
      <c r="W778" s="39" t="str">
        <f aca="false">IF($E778="","",IF($L778="Cancelada",0,IF(OR($K778&lt;&gt;"",$L778="Concluída"),1,0)))</f>
        <v/>
      </c>
    </row>
    <row r="779" customFormat="false" ht="15" hidden="false" customHeight="true" outlineLevel="0" collapsed="false">
      <c r="A779" s="31" t="str">
        <f aca="false">IF($E779="","",COUNTA($E$5:$E779))</f>
        <v/>
      </c>
      <c r="B779" s="32"/>
      <c r="C779" s="32"/>
      <c r="D779" s="32"/>
      <c r="E779" s="32"/>
      <c r="F779" s="33"/>
      <c r="G779" s="32"/>
      <c r="H779" s="34"/>
      <c r="I779" s="35"/>
      <c r="J779" s="36" t="str">
        <f aca="false">IF(OR($H779="",$I779=""),"",$H779+MATCH($I779,Listas!$F$5:$F$11,0)-1)</f>
        <v/>
      </c>
      <c r="K779" s="37"/>
      <c r="L779" s="33"/>
      <c r="M779" s="37"/>
      <c r="N779" s="32"/>
      <c r="O779" s="32"/>
      <c r="P779" s="38" t="str">
        <f aca="true">IF($E779="","",IF($L779="Cancelada","Cancelada",IF(OR($K779&lt;&gt;"",$L779="Concluída"),IF(OR($J779="",$K779="",$K779&lt;=$J779),"Concluída","Concluída com atraso"),IF($J779="","Na carteira",IF($J779&lt;TODAY(),"VENCIDA",IF($L779="Em execução","Em execução",IF($J779=TODAY(),"Hoje","Programada")))))))</f>
        <v/>
      </c>
      <c r="Q779" s="31" t="str">
        <f aca="false">IF($E779="","",IF(ISNUMBER(SEARCH("(externo)",$G779)),"Terceirizada","Interna"))</f>
        <v/>
      </c>
      <c r="R779" s="36" t="str">
        <f aca="false">IF($J779="","",IF($M779="",$J779,$M779))</f>
        <v/>
      </c>
      <c r="S779" s="31" t="str">
        <f aca="false">IF($E779="","",IF(OR($K779="",$J779=""),0,IF($K779&lt;=$J779,1,0)))</f>
        <v/>
      </c>
      <c r="T779" s="31" t="str">
        <f aca="false">IF($E779="","",IF(OR($K779="",$R779=""),0,IF($K779&lt;=$R779,1,0)))</f>
        <v/>
      </c>
      <c r="U779" s="38" t="str">
        <f aca="false">IF(OR($K779="",$J779=""),"",MAX(0,$K779-$J779))</f>
        <v/>
      </c>
      <c r="V779" s="31" t="str">
        <f aca="false">IF($E779="","",IF(AND($M779&lt;&gt;"",$J779&lt;&gt;"",$M779&lt;&gt;$J779),1,0))</f>
        <v/>
      </c>
      <c r="W779" s="39" t="str">
        <f aca="false">IF($E779="","",IF($L779="Cancelada",0,IF(OR($K779&lt;&gt;"",$L779="Concluída"),1,0)))</f>
        <v/>
      </c>
    </row>
    <row r="780" customFormat="false" ht="15" hidden="false" customHeight="true" outlineLevel="0" collapsed="false">
      <c r="A780" s="31" t="str">
        <f aca="false">IF($E780="","",COUNTA($E$5:$E780))</f>
        <v/>
      </c>
      <c r="B780" s="32"/>
      <c r="C780" s="32"/>
      <c r="D780" s="32"/>
      <c r="E780" s="32"/>
      <c r="F780" s="33"/>
      <c r="G780" s="32"/>
      <c r="H780" s="34"/>
      <c r="I780" s="35"/>
      <c r="J780" s="36" t="str">
        <f aca="false">IF(OR($H780="",$I780=""),"",$H780+MATCH($I780,Listas!$F$5:$F$11,0)-1)</f>
        <v/>
      </c>
      <c r="K780" s="37"/>
      <c r="L780" s="33"/>
      <c r="M780" s="37"/>
      <c r="N780" s="32"/>
      <c r="O780" s="32"/>
      <c r="P780" s="38" t="str">
        <f aca="true">IF($E780="","",IF($L780="Cancelada","Cancelada",IF(OR($K780&lt;&gt;"",$L780="Concluída"),IF(OR($J780="",$K780="",$K780&lt;=$J780),"Concluída","Concluída com atraso"),IF($J780="","Na carteira",IF($J780&lt;TODAY(),"VENCIDA",IF($L780="Em execução","Em execução",IF($J780=TODAY(),"Hoje","Programada")))))))</f>
        <v/>
      </c>
      <c r="Q780" s="31" t="str">
        <f aca="false">IF($E780="","",IF(ISNUMBER(SEARCH("(externo)",$G780)),"Terceirizada","Interna"))</f>
        <v/>
      </c>
      <c r="R780" s="36" t="str">
        <f aca="false">IF($J780="","",IF($M780="",$J780,$M780))</f>
        <v/>
      </c>
      <c r="S780" s="31" t="str">
        <f aca="false">IF($E780="","",IF(OR($K780="",$J780=""),0,IF($K780&lt;=$J780,1,0)))</f>
        <v/>
      </c>
      <c r="T780" s="31" t="str">
        <f aca="false">IF($E780="","",IF(OR($K780="",$R780=""),0,IF($K780&lt;=$R780,1,0)))</f>
        <v/>
      </c>
      <c r="U780" s="38" t="str">
        <f aca="false">IF(OR($K780="",$J780=""),"",MAX(0,$K780-$J780))</f>
        <v/>
      </c>
      <c r="V780" s="31" t="str">
        <f aca="false">IF($E780="","",IF(AND($M780&lt;&gt;"",$J780&lt;&gt;"",$M780&lt;&gt;$J780),1,0))</f>
        <v/>
      </c>
      <c r="W780" s="39" t="str">
        <f aca="false">IF($E780="","",IF($L780="Cancelada",0,IF(OR($K780&lt;&gt;"",$L780="Concluída"),1,0)))</f>
        <v/>
      </c>
    </row>
    <row r="781" customFormat="false" ht="15" hidden="false" customHeight="true" outlineLevel="0" collapsed="false">
      <c r="A781" s="31" t="str">
        <f aca="false">IF($E781="","",COUNTA($E$5:$E781))</f>
        <v/>
      </c>
      <c r="B781" s="32"/>
      <c r="C781" s="32"/>
      <c r="D781" s="32"/>
      <c r="E781" s="32"/>
      <c r="F781" s="33"/>
      <c r="G781" s="32"/>
      <c r="H781" s="34"/>
      <c r="I781" s="35"/>
      <c r="J781" s="36" t="str">
        <f aca="false">IF(OR($H781="",$I781=""),"",$H781+MATCH($I781,Listas!$F$5:$F$11,0)-1)</f>
        <v/>
      </c>
      <c r="K781" s="37"/>
      <c r="L781" s="33"/>
      <c r="M781" s="37"/>
      <c r="N781" s="32"/>
      <c r="O781" s="32"/>
      <c r="P781" s="38" t="str">
        <f aca="true">IF($E781="","",IF($L781="Cancelada","Cancelada",IF(OR($K781&lt;&gt;"",$L781="Concluída"),IF(OR($J781="",$K781="",$K781&lt;=$J781),"Concluída","Concluída com atraso"),IF($J781="","Na carteira",IF($J781&lt;TODAY(),"VENCIDA",IF($L781="Em execução","Em execução",IF($J781=TODAY(),"Hoje","Programada")))))))</f>
        <v/>
      </c>
      <c r="Q781" s="31" t="str">
        <f aca="false">IF($E781="","",IF(ISNUMBER(SEARCH("(externo)",$G781)),"Terceirizada","Interna"))</f>
        <v/>
      </c>
      <c r="R781" s="36" t="str">
        <f aca="false">IF($J781="","",IF($M781="",$J781,$M781))</f>
        <v/>
      </c>
      <c r="S781" s="31" t="str">
        <f aca="false">IF($E781="","",IF(OR($K781="",$J781=""),0,IF($K781&lt;=$J781,1,0)))</f>
        <v/>
      </c>
      <c r="T781" s="31" t="str">
        <f aca="false">IF($E781="","",IF(OR($K781="",$R781=""),0,IF($K781&lt;=$R781,1,0)))</f>
        <v/>
      </c>
      <c r="U781" s="38" t="str">
        <f aca="false">IF(OR($K781="",$J781=""),"",MAX(0,$K781-$J781))</f>
        <v/>
      </c>
      <c r="V781" s="31" t="str">
        <f aca="false">IF($E781="","",IF(AND($M781&lt;&gt;"",$J781&lt;&gt;"",$M781&lt;&gt;$J781),1,0))</f>
        <v/>
      </c>
      <c r="W781" s="39" t="str">
        <f aca="false">IF($E781="","",IF($L781="Cancelada",0,IF(OR($K781&lt;&gt;"",$L781="Concluída"),1,0)))</f>
        <v/>
      </c>
    </row>
    <row r="782" customFormat="false" ht="15" hidden="false" customHeight="true" outlineLevel="0" collapsed="false">
      <c r="A782" s="31" t="str">
        <f aca="false">IF($E782="","",COUNTA($E$5:$E782))</f>
        <v/>
      </c>
      <c r="B782" s="32"/>
      <c r="C782" s="32"/>
      <c r="D782" s="32"/>
      <c r="E782" s="32"/>
      <c r="F782" s="33"/>
      <c r="G782" s="32"/>
      <c r="H782" s="34"/>
      <c r="I782" s="35"/>
      <c r="J782" s="36" t="str">
        <f aca="false">IF(OR($H782="",$I782=""),"",$H782+MATCH($I782,Listas!$F$5:$F$11,0)-1)</f>
        <v/>
      </c>
      <c r="K782" s="37"/>
      <c r="L782" s="33"/>
      <c r="M782" s="37"/>
      <c r="N782" s="32"/>
      <c r="O782" s="32"/>
      <c r="P782" s="38" t="str">
        <f aca="true">IF($E782="","",IF($L782="Cancelada","Cancelada",IF(OR($K782&lt;&gt;"",$L782="Concluída"),IF(OR($J782="",$K782="",$K782&lt;=$J782),"Concluída","Concluída com atraso"),IF($J782="","Na carteira",IF($J782&lt;TODAY(),"VENCIDA",IF($L782="Em execução","Em execução",IF($J782=TODAY(),"Hoje","Programada")))))))</f>
        <v/>
      </c>
      <c r="Q782" s="31" t="str">
        <f aca="false">IF($E782="","",IF(ISNUMBER(SEARCH("(externo)",$G782)),"Terceirizada","Interna"))</f>
        <v/>
      </c>
      <c r="R782" s="36" t="str">
        <f aca="false">IF($J782="","",IF($M782="",$J782,$M782))</f>
        <v/>
      </c>
      <c r="S782" s="31" t="str">
        <f aca="false">IF($E782="","",IF(OR($K782="",$J782=""),0,IF($K782&lt;=$J782,1,0)))</f>
        <v/>
      </c>
      <c r="T782" s="31" t="str">
        <f aca="false">IF($E782="","",IF(OR($K782="",$R782=""),0,IF($K782&lt;=$R782,1,0)))</f>
        <v/>
      </c>
      <c r="U782" s="38" t="str">
        <f aca="false">IF(OR($K782="",$J782=""),"",MAX(0,$K782-$J782))</f>
        <v/>
      </c>
      <c r="V782" s="31" t="str">
        <f aca="false">IF($E782="","",IF(AND($M782&lt;&gt;"",$J782&lt;&gt;"",$M782&lt;&gt;$J782),1,0))</f>
        <v/>
      </c>
      <c r="W782" s="39" t="str">
        <f aca="false">IF($E782="","",IF($L782="Cancelada",0,IF(OR($K782&lt;&gt;"",$L782="Concluída"),1,0)))</f>
        <v/>
      </c>
    </row>
    <row r="783" customFormat="false" ht="15" hidden="false" customHeight="true" outlineLevel="0" collapsed="false">
      <c r="A783" s="31" t="str">
        <f aca="false">IF($E783="","",COUNTA($E$5:$E783))</f>
        <v/>
      </c>
      <c r="B783" s="32"/>
      <c r="C783" s="32"/>
      <c r="D783" s="32"/>
      <c r="E783" s="32"/>
      <c r="F783" s="33"/>
      <c r="G783" s="32"/>
      <c r="H783" s="34"/>
      <c r="I783" s="35"/>
      <c r="J783" s="36" t="str">
        <f aca="false">IF(OR($H783="",$I783=""),"",$H783+MATCH($I783,Listas!$F$5:$F$11,0)-1)</f>
        <v/>
      </c>
      <c r="K783" s="37"/>
      <c r="L783" s="33"/>
      <c r="M783" s="37"/>
      <c r="N783" s="32"/>
      <c r="O783" s="32"/>
      <c r="P783" s="38" t="str">
        <f aca="true">IF($E783="","",IF($L783="Cancelada","Cancelada",IF(OR($K783&lt;&gt;"",$L783="Concluída"),IF(OR($J783="",$K783="",$K783&lt;=$J783),"Concluída","Concluída com atraso"),IF($J783="","Na carteira",IF($J783&lt;TODAY(),"VENCIDA",IF($L783="Em execução","Em execução",IF($J783=TODAY(),"Hoje","Programada")))))))</f>
        <v/>
      </c>
      <c r="Q783" s="31" t="str">
        <f aca="false">IF($E783="","",IF(ISNUMBER(SEARCH("(externo)",$G783)),"Terceirizada","Interna"))</f>
        <v/>
      </c>
      <c r="R783" s="36" t="str">
        <f aca="false">IF($J783="","",IF($M783="",$J783,$M783))</f>
        <v/>
      </c>
      <c r="S783" s="31" t="str">
        <f aca="false">IF($E783="","",IF(OR($K783="",$J783=""),0,IF($K783&lt;=$J783,1,0)))</f>
        <v/>
      </c>
      <c r="T783" s="31" t="str">
        <f aca="false">IF($E783="","",IF(OR($K783="",$R783=""),0,IF($K783&lt;=$R783,1,0)))</f>
        <v/>
      </c>
      <c r="U783" s="38" t="str">
        <f aca="false">IF(OR($K783="",$J783=""),"",MAX(0,$K783-$J783))</f>
        <v/>
      </c>
      <c r="V783" s="31" t="str">
        <f aca="false">IF($E783="","",IF(AND($M783&lt;&gt;"",$J783&lt;&gt;"",$M783&lt;&gt;$J783),1,0))</f>
        <v/>
      </c>
      <c r="W783" s="39" t="str">
        <f aca="false">IF($E783="","",IF($L783="Cancelada",0,IF(OR($K783&lt;&gt;"",$L783="Concluída"),1,0)))</f>
        <v/>
      </c>
    </row>
    <row r="784" customFormat="false" ht="15" hidden="false" customHeight="true" outlineLevel="0" collapsed="false">
      <c r="A784" s="31" t="str">
        <f aca="false">IF($E784="","",COUNTA($E$5:$E784))</f>
        <v/>
      </c>
      <c r="B784" s="32"/>
      <c r="C784" s="32"/>
      <c r="D784" s="32"/>
      <c r="E784" s="32"/>
      <c r="F784" s="33"/>
      <c r="G784" s="32"/>
      <c r="H784" s="34"/>
      <c r="I784" s="35"/>
      <c r="J784" s="36" t="str">
        <f aca="false">IF(OR($H784="",$I784=""),"",$H784+MATCH($I784,Listas!$F$5:$F$11,0)-1)</f>
        <v/>
      </c>
      <c r="K784" s="37"/>
      <c r="L784" s="33"/>
      <c r="M784" s="37"/>
      <c r="N784" s="32"/>
      <c r="O784" s="32"/>
      <c r="P784" s="38" t="str">
        <f aca="true">IF($E784="","",IF($L784="Cancelada","Cancelada",IF(OR($K784&lt;&gt;"",$L784="Concluída"),IF(OR($J784="",$K784="",$K784&lt;=$J784),"Concluída","Concluída com atraso"),IF($J784="","Na carteira",IF($J784&lt;TODAY(),"VENCIDA",IF($L784="Em execução","Em execução",IF($J784=TODAY(),"Hoje","Programada")))))))</f>
        <v/>
      </c>
      <c r="Q784" s="31" t="str">
        <f aca="false">IF($E784="","",IF(ISNUMBER(SEARCH("(externo)",$G784)),"Terceirizada","Interna"))</f>
        <v/>
      </c>
      <c r="R784" s="36" t="str">
        <f aca="false">IF($J784="","",IF($M784="",$J784,$M784))</f>
        <v/>
      </c>
      <c r="S784" s="31" t="str">
        <f aca="false">IF($E784="","",IF(OR($K784="",$J784=""),0,IF($K784&lt;=$J784,1,0)))</f>
        <v/>
      </c>
      <c r="T784" s="31" t="str">
        <f aca="false">IF($E784="","",IF(OR($K784="",$R784=""),0,IF($K784&lt;=$R784,1,0)))</f>
        <v/>
      </c>
      <c r="U784" s="38" t="str">
        <f aca="false">IF(OR($K784="",$J784=""),"",MAX(0,$K784-$J784))</f>
        <v/>
      </c>
      <c r="V784" s="31" t="str">
        <f aca="false">IF($E784="","",IF(AND($M784&lt;&gt;"",$J784&lt;&gt;"",$M784&lt;&gt;$J784),1,0))</f>
        <v/>
      </c>
      <c r="W784" s="39" t="str">
        <f aca="false">IF($E784="","",IF($L784="Cancelada",0,IF(OR($K784&lt;&gt;"",$L784="Concluída"),1,0)))</f>
        <v/>
      </c>
    </row>
    <row r="785" customFormat="false" ht="15" hidden="false" customHeight="true" outlineLevel="0" collapsed="false">
      <c r="A785" s="31" t="str">
        <f aca="false">IF($E785="","",COUNTA($E$5:$E785))</f>
        <v/>
      </c>
      <c r="B785" s="32"/>
      <c r="C785" s="32"/>
      <c r="D785" s="32"/>
      <c r="E785" s="32"/>
      <c r="F785" s="33"/>
      <c r="G785" s="32"/>
      <c r="H785" s="34"/>
      <c r="I785" s="35"/>
      <c r="J785" s="36" t="str">
        <f aca="false">IF(OR($H785="",$I785=""),"",$H785+MATCH($I785,Listas!$F$5:$F$11,0)-1)</f>
        <v/>
      </c>
      <c r="K785" s="37"/>
      <c r="L785" s="33"/>
      <c r="M785" s="37"/>
      <c r="N785" s="32"/>
      <c r="O785" s="32"/>
      <c r="P785" s="38" t="str">
        <f aca="true">IF($E785="","",IF($L785="Cancelada","Cancelada",IF(OR($K785&lt;&gt;"",$L785="Concluída"),IF(OR($J785="",$K785="",$K785&lt;=$J785),"Concluída","Concluída com atraso"),IF($J785="","Na carteira",IF($J785&lt;TODAY(),"VENCIDA",IF($L785="Em execução","Em execução",IF($J785=TODAY(),"Hoje","Programada")))))))</f>
        <v/>
      </c>
      <c r="Q785" s="31" t="str">
        <f aca="false">IF($E785="","",IF(ISNUMBER(SEARCH("(externo)",$G785)),"Terceirizada","Interna"))</f>
        <v/>
      </c>
      <c r="R785" s="36" t="str">
        <f aca="false">IF($J785="","",IF($M785="",$J785,$M785))</f>
        <v/>
      </c>
      <c r="S785" s="31" t="str">
        <f aca="false">IF($E785="","",IF(OR($K785="",$J785=""),0,IF($K785&lt;=$J785,1,0)))</f>
        <v/>
      </c>
      <c r="T785" s="31" t="str">
        <f aca="false">IF($E785="","",IF(OR($K785="",$R785=""),0,IF($K785&lt;=$R785,1,0)))</f>
        <v/>
      </c>
      <c r="U785" s="38" t="str">
        <f aca="false">IF(OR($K785="",$J785=""),"",MAX(0,$K785-$J785))</f>
        <v/>
      </c>
      <c r="V785" s="31" t="str">
        <f aca="false">IF($E785="","",IF(AND($M785&lt;&gt;"",$J785&lt;&gt;"",$M785&lt;&gt;$J785),1,0))</f>
        <v/>
      </c>
      <c r="W785" s="39" t="str">
        <f aca="false">IF($E785="","",IF($L785="Cancelada",0,IF(OR($K785&lt;&gt;"",$L785="Concluída"),1,0)))</f>
        <v/>
      </c>
    </row>
    <row r="786" customFormat="false" ht="15" hidden="false" customHeight="true" outlineLevel="0" collapsed="false">
      <c r="A786" s="31" t="str">
        <f aca="false">IF($E786="","",COUNTA($E$5:$E786))</f>
        <v/>
      </c>
      <c r="B786" s="32"/>
      <c r="C786" s="32"/>
      <c r="D786" s="32"/>
      <c r="E786" s="32"/>
      <c r="F786" s="33"/>
      <c r="G786" s="32"/>
      <c r="H786" s="34"/>
      <c r="I786" s="35"/>
      <c r="J786" s="36" t="str">
        <f aca="false">IF(OR($H786="",$I786=""),"",$H786+MATCH($I786,Listas!$F$5:$F$11,0)-1)</f>
        <v/>
      </c>
      <c r="K786" s="37"/>
      <c r="L786" s="33"/>
      <c r="M786" s="37"/>
      <c r="N786" s="32"/>
      <c r="O786" s="32"/>
      <c r="P786" s="38" t="str">
        <f aca="true">IF($E786="","",IF($L786="Cancelada","Cancelada",IF(OR($K786&lt;&gt;"",$L786="Concluída"),IF(OR($J786="",$K786="",$K786&lt;=$J786),"Concluída","Concluída com atraso"),IF($J786="","Na carteira",IF($J786&lt;TODAY(),"VENCIDA",IF($L786="Em execução","Em execução",IF($J786=TODAY(),"Hoje","Programada")))))))</f>
        <v/>
      </c>
      <c r="Q786" s="31" t="str">
        <f aca="false">IF($E786="","",IF(ISNUMBER(SEARCH("(externo)",$G786)),"Terceirizada","Interna"))</f>
        <v/>
      </c>
      <c r="R786" s="36" t="str">
        <f aca="false">IF($J786="","",IF($M786="",$J786,$M786))</f>
        <v/>
      </c>
      <c r="S786" s="31" t="str">
        <f aca="false">IF($E786="","",IF(OR($K786="",$J786=""),0,IF($K786&lt;=$J786,1,0)))</f>
        <v/>
      </c>
      <c r="T786" s="31" t="str">
        <f aca="false">IF($E786="","",IF(OR($K786="",$R786=""),0,IF($K786&lt;=$R786,1,0)))</f>
        <v/>
      </c>
      <c r="U786" s="38" t="str">
        <f aca="false">IF(OR($K786="",$J786=""),"",MAX(0,$K786-$J786))</f>
        <v/>
      </c>
      <c r="V786" s="31" t="str">
        <f aca="false">IF($E786="","",IF(AND($M786&lt;&gt;"",$J786&lt;&gt;"",$M786&lt;&gt;$J786),1,0))</f>
        <v/>
      </c>
      <c r="W786" s="39" t="str">
        <f aca="false">IF($E786="","",IF($L786="Cancelada",0,IF(OR($K786&lt;&gt;"",$L786="Concluída"),1,0)))</f>
        <v/>
      </c>
    </row>
    <row r="787" customFormat="false" ht="15" hidden="false" customHeight="true" outlineLevel="0" collapsed="false">
      <c r="A787" s="31" t="str">
        <f aca="false">IF($E787="","",COUNTA($E$5:$E787))</f>
        <v/>
      </c>
      <c r="B787" s="32"/>
      <c r="C787" s="32"/>
      <c r="D787" s="32"/>
      <c r="E787" s="32"/>
      <c r="F787" s="33"/>
      <c r="G787" s="32"/>
      <c r="H787" s="34"/>
      <c r="I787" s="35"/>
      <c r="J787" s="36" t="str">
        <f aca="false">IF(OR($H787="",$I787=""),"",$H787+MATCH($I787,Listas!$F$5:$F$11,0)-1)</f>
        <v/>
      </c>
      <c r="K787" s="37"/>
      <c r="L787" s="33"/>
      <c r="M787" s="37"/>
      <c r="N787" s="32"/>
      <c r="O787" s="32"/>
      <c r="P787" s="38" t="str">
        <f aca="true">IF($E787="","",IF($L787="Cancelada","Cancelada",IF(OR($K787&lt;&gt;"",$L787="Concluída"),IF(OR($J787="",$K787="",$K787&lt;=$J787),"Concluída","Concluída com atraso"),IF($J787="","Na carteira",IF($J787&lt;TODAY(),"VENCIDA",IF($L787="Em execução","Em execução",IF($J787=TODAY(),"Hoje","Programada")))))))</f>
        <v/>
      </c>
      <c r="Q787" s="31" t="str">
        <f aca="false">IF($E787="","",IF(ISNUMBER(SEARCH("(externo)",$G787)),"Terceirizada","Interna"))</f>
        <v/>
      </c>
      <c r="R787" s="36" t="str">
        <f aca="false">IF($J787="","",IF($M787="",$J787,$M787))</f>
        <v/>
      </c>
      <c r="S787" s="31" t="str">
        <f aca="false">IF($E787="","",IF(OR($K787="",$J787=""),0,IF($K787&lt;=$J787,1,0)))</f>
        <v/>
      </c>
      <c r="T787" s="31" t="str">
        <f aca="false">IF($E787="","",IF(OR($K787="",$R787=""),0,IF($K787&lt;=$R787,1,0)))</f>
        <v/>
      </c>
      <c r="U787" s="38" t="str">
        <f aca="false">IF(OR($K787="",$J787=""),"",MAX(0,$K787-$J787))</f>
        <v/>
      </c>
      <c r="V787" s="31" t="str">
        <f aca="false">IF($E787="","",IF(AND($M787&lt;&gt;"",$J787&lt;&gt;"",$M787&lt;&gt;$J787),1,0))</f>
        <v/>
      </c>
      <c r="W787" s="39" t="str">
        <f aca="false">IF($E787="","",IF($L787="Cancelada",0,IF(OR($K787&lt;&gt;"",$L787="Concluída"),1,0)))</f>
        <v/>
      </c>
    </row>
    <row r="788" customFormat="false" ht="15" hidden="false" customHeight="true" outlineLevel="0" collapsed="false">
      <c r="A788" s="31" t="str">
        <f aca="false">IF($E788="","",COUNTA($E$5:$E788))</f>
        <v/>
      </c>
      <c r="B788" s="32"/>
      <c r="C788" s="32"/>
      <c r="D788" s="32"/>
      <c r="E788" s="32"/>
      <c r="F788" s="33"/>
      <c r="G788" s="32"/>
      <c r="H788" s="34"/>
      <c r="I788" s="35"/>
      <c r="J788" s="36" t="str">
        <f aca="false">IF(OR($H788="",$I788=""),"",$H788+MATCH($I788,Listas!$F$5:$F$11,0)-1)</f>
        <v/>
      </c>
      <c r="K788" s="37"/>
      <c r="L788" s="33"/>
      <c r="M788" s="37"/>
      <c r="N788" s="32"/>
      <c r="O788" s="32"/>
      <c r="P788" s="38" t="str">
        <f aca="true">IF($E788="","",IF($L788="Cancelada","Cancelada",IF(OR($K788&lt;&gt;"",$L788="Concluída"),IF(OR($J788="",$K788="",$K788&lt;=$J788),"Concluída","Concluída com atraso"),IF($J788="","Na carteira",IF($J788&lt;TODAY(),"VENCIDA",IF($L788="Em execução","Em execução",IF($J788=TODAY(),"Hoje","Programada")))))))</f>
        <v/>
      </c>
      <c r="Q788" s="31" t="str">
        <f aca="false">IF($E788="","",IF(ISNUMBER(SEARCH("(externo)",$G788)),"Terceirizada","Interna"))</f>
        <v/>
      </c>
      <c r="R788" s="36" t="str">
        <f aca="false">IF($J788="","",IF($M788="",$J788,$M788))</f>
        <v/>
      </c>
      <c r="S788" s="31" t="str">
        <f aca="false">IF($E788="","",IF(OR($K788="",$J788=""),0,IF($K788&lt;=$J788,1,0)))</f>
        <v/>
      </c>
      <c r="T788" s="31" t="str">
        <f aca="false">IF($E788="","",IF(OR($K788="",$R788=""),0,IF($K788&lt;=$R788,1,0)))</f>
        <v/>
      </c>
      <c r="U788" s="38" t="str">
        <f aca="false">IF(OR($K788="",$J788=""),"",MAX(0,$K788-$J788))</f>
        <v/>
      </c>
      <c r="V788" s="31" t="str">
        <f aca="false">IF($E788="","",IF(AND($M788&lt;&gt;"",$J788&lt;&gt;"",$M788&lt;&gt;$J788),1,0))</f>
        <v/>
      </c>
      <c r="W788" s="39" t="str">
        <f aca="false">IF($E788="","",IF($L788="Cancelada",0,IF(OR($K788&lt;&gt;"",$L788="Concluída"),1,0)))</f>
        <v/>
      </c>
    </row>
    <row r="789" customFormat="false" ht="15" hidden="false" customHeight="true" outlineLevel="0" collapsed="false">
      <c r="A789" s="31" t="str">
        <f aca="false">IF($E789="","",COUNTA($E$5:$E789))</f>
        <v/>
      </c>
      <c r="B789" s="32"/>
      <c r="C789" s="32"/>
      <c r="D789" s="32"/>
      <c r="E789" s="32"/>
      <c r="F789" s="33"/>
      <c r="G789" s="32"/>
      <c r="H789" s="34"/>
      <c r="I789" s="35"/>
      <c r="J789" s="36" t="str">
        <f aca="false">IF(OR($H789="",$I789=""),"",$H789+MATCH($I789,Listas!$F$5:$F$11,0)-1)</f>
        <v/>
      </c>
      <c r="K789" s="37"/>
      <c r="L789" s="33"/>
      <c r="M789" s="37"/>
      <c r="N789" s="32"/>
      <c r="O789" s="32"/>
      <c r="P789" s="38" t="str">
        <f aca="true">IF($E789="","",IF($L789="Cancelada","Cancelada",IF(OR($K789&lt;&gt;"",$L789="Concluída"),IF(OR($J789="",$K789="",$K789&lt;=$J789),"Concluída","Concluída com atraso"),IF($J789="","Na carteira",IF($J789&lt;TODAY(),"VENCIDA",IF($L789="Em execução","Em execução",IF($J789=TODAY(),"Hoje","Programada")))))))</f>
        <v/>
      </c>
      <c r="Q789" s="31" t="str">
        <f aca="false">IF($E789="","",IF(ISNUMBER(SEARCH("(externo)",$G789)),"Terceirizada","Interna"))</f>
        <v/>
      </c>
      <c r="R789" s="36" t="str">
        <f aca="false">IF($J789="","",IF($M789="",$J789,$M789))</f>
        <v/>
      </c>
      <c r="S789" s="31" t="str">
        <f aca="false">IF($E789="","",IF(OR($K789="",$J789=""),0,IF($K789&lt;=$J789,1,0)))</f>
        <v/>
      </c>
      <c r="T789" s="31" t="str">
        <f aca="false">IF($E789="","",IF(OR($K789="",$R789=""),0,IF($K789&lt;=$R789,1,0)))</f>
        <v/>
      </c>
      <c r="U789" s="38" t="str">
        <f aca="false">IF(OR($K789="",$J789=""),"",MAX(0,$K789-$J789))</f>
        <v/>
      </c>
      <c r="V789" s="31" t="str">
        <f aca="false">IF($E789="","",IF(AND($M789&lt;&gt;"",$J789&lt;&gt;"",$M789&lt;&gt;$J789),1,0))</f>
        <v/>
      </c>
      <c r="W789" s="39" t="str">
        <f aca="false">IF($E789="","",IF($L789="Cancelada",0,IF(OR($K789&lt;&gt;"",$L789="Concluída"),1,0)))</f>
        <v/>
      </c>
    </row>
    <row r="790" customFormat="false" ht="15" hidden="false" customHeight="true" outlineLevel="0" collapsed="false">
      <c r="A790" s="31" t="str">
        <f aca="false">IF($E790="","",COUNTA($E$5:$E790))</f>
        <v/>
      </c>
      <c r="B790" s="32"/>
      <c r="C790" s="32"/>
      <c r="D790" s="32"/>
      <c r="E790" s="32"/>
      <c r="F790" s="33"/>
      <c r="G790" s="32"/>
      <c r="H790" s="34"/>
      <c r="I790" s="35"/>
      <c r="J790" s="36" t="str">
        <f aca="false">IF(OR($H790="",$I790=""),"",$H790+MATCH($I790,Listas!$F$5:$F$11,0)-1)</f>
        <v/>
      </c>
      <c r="K790" s="37"/>
      <c r="L790" s="33"/>
      <c r="M790" s="37"/>
      <c r="N790" s="32"/>
      <c r="O790" s="32"/>
      <c r="P790" s="38" t="str">
        <f aca="true">IF($E790="","",IF($L790="Cancelada","Cancelada",IF(OR($K790&lt;&gt;"",$L790="Concluída"),IF(OR($J790="",$K790="",$K790&lt;=$J790),"Concluída","Concluída com atraso"),IF($J790="","Na carteira",IF($J790&lt;TODAY(),"VENCIDA",IF($L790="Em execução","Em execução",IF($J790=TODAY(),"Hoje","Programada")))))))</f>
        <v/>
      </c>
      <c r="Q790" s="31" t="str">
        <f aca="false">IF($E790="","",IF(ISNUMBER(SEARCH("(externo)",$G790)),"Terceirizada","Interna"))</f>
        <v/>
      </c>
      <c r="R790" s="36" t="str">
        <f aca="false">IF($J790="","",IF($M790="",$J790,$M790))</f>
        <v/>
      </c>
      <c r="S790" s="31" t="str">
        <f aca="false">IF($E790="","",IF(OR($K790="",$J790=""),0,IF($K790&lt;=$J790,1,0)))</f>
        <v/>
      </c>
      <c r="T790" s="31" t="str">
        <f aca="false">IF($E790="","",IF(OR($K790="",$R790=""),0,IF($K790&lt;=$R790,1,0)))</f>
        <v/>
      </c>
      <c r="U790" s="38" t="str">
        <f aca="false">IF(OR($K790="",$J790=""),"",MAX(0,$K790-$J790))</f>
        <v/>
      </c>
      <c r="V790" s="31" t="str">
        <f aca="false">IF($E790="","",IF(AND($M790&lt;&gt;"",$J790&lt;&gt;"",$M790&lt;&gt;$J790),1,0))</f>
        <v/>
      </c>
      <c r="W790" s="39" t="str">
        <f aca="false">IF($E790="","",IF($L790="Cancelada",0,IF(OR($K790&lt;&gt;"",$L790="Concluída"),1,0)))</f>
        <v/>
      </c>
    </row>
    <row r="791" customFormat="false" ht="15" hidden="false" customHeight="true" outlineLevel="0" collapsed="false">
      <c r="A791" s="31" t="str">
        <f aca="false">IF($E791="","",COUNTA($E$5:$E791))</f>
        <v/>
      </c>
      <c r="B791" s="32"/>
      <c r="C791" s="32"/>
      <c r="D791" s="32"/>
      <c r="E791" s="32"/>
      <c r="F791" s="33"/>
      <c r="G791" s="32"/>
      <c r="H791" s="34"/>
      <c r="I791" s="35"/>
      <c r="J791" s="36" t="str">
        <f aca="false">IF(OR($H791="",$I791=""),"",$H791+MATCH($I791,Listas!$F$5:$F$11,0)-1)</f>
        <v/>
      </c>
      <c r="K791" s="37"/>
      <c r="L791" s="33"/>
      <c r="M791" s="37"/>
      <c r="N791" s="32"/>
      <c r="O791" s="32"/>
      <c r="P791" s="38" t="str">
        <f aca="true">IF($E791="","",IF($L791="Cancelada","Cancelada",IF(OR($K791&lt;&gt;"",$L791="Concluída"),IF(OR($J791="",$K791="",$K791&lt;=$J791),"Concluída","Concluída com atraso"),IF($J791="","Na carteira",IF($J791&lt;TODAY(),"VENCIDA",IF($L791="Em execução","Em execução",IF($J791=TODAY(),"Hoje","Programada")))))))</f>
        <v/>
      </c>
      <c r="Q791" s="31" t="str">
        <f aca="false">IF($E791="","",IF(ISNUMBER(SEARCH("(externo)",$G791)),"Terceirizada","Interna"))</f>
        <v/>
      </c>
      <c r="R791" s="36" t="str">
        <f aca="false">IF($J791="","",IF($M791="",$J791,$M791))</f>
        <v/>
      </c>
      <c r="S791" s="31" t="str">
        <f aca="false">IF($E791="","",IF(OR($K791="",$J791=""),0,IF($K791&lt;=$J791,1,0)))</f>
        <v/>
      </c>
      <c r="T791" s="31" t="str">
        <f aca="false">IF($E791="","",IF(OR($K791="",$R791=""),0,IF($K791&lt;=$R791,1,0)))</f>
        <v/>
      </c>
      <c r="U791" s="38" t="str">
        <f aca="false">IF(OR($K791="",$J791=""),"",MAX(0,$K791-$J791))</f>
        <v/>
      </c>
      <c r="V791" s="31" t="str">
        <f aca="false">IF($E791="","",IF(AND($M791&lt;&gt;"",$J791&lt;&gt;"",$M791&lt;&gt;$J791),1,0))</f>
        <v/>
      </c>
      <c r="W791" s="39" t="str">
        <f aca="false">IF($E791="","",IF($L791="Cancelada",0,IF(OR($K791&lt;&gt;"",$L791="Concluída"),1,0)))</f>
        <v/>
      </c>
    </row>
    <row r="792" customFormat="false" ht="15" hidden="false" customHeight="true" outlineLevel="0" collapsed="false">
      <c r="A792" s="31" t="str">
        <f aca="false">IF($E792="","",COUNTA($E$5:$E792))</f>
        <v/>
      </c>
      <c r="B792" s="32"/>
      <c r="C792" s="32"/>
      <c r="D792" s="32"/>
      <c r="E792" s="32"/>
      <c r="F792" s="33"/>
      <c r="G792" s="32"/>
      <c r="H792" s="34"/>
      <c r="I792" s="35"/>
      <c r="J792" s="36" t="str">
        <f aca="false">IF(OR($H792="",$I792=""),"",$H792+MATCH($I792,Listas!$F$5:$F$11,0)-1)</f>
        <v/>
      </c>
      <c r="K792" s="37"/>
      <c r="L792" s="33"/>
      <c r="M792" s="37"/>
      <c r="N792" s="32"/>
      <c r="O792" s="32"/>
      <c r="P792" s="38" t="str">
        <f aca="true">IF($E792="","",IF($L792="Cancelada","Cancelada",IF(OR($K792&lt;&gt;"",$L792="Concluída"),IF(OR($J792="",$K792="",$K792&lt;=$J792),"Concluída","Concluída com atraso"),IF($J792="","Na carteira",IF($J792&lt;TODAY(),"VENCIDA",IF($L792="Em execução","Em execução",IF($J792=TODAY(),"Hoje","Programada")))))))</f>
        <v/>
      </c>
      <c r="Q792" s="31" t="str">
        <f aca="false">IF($E792="","",IF(ISNUMBER(SEARCH("(externo)",$G792)),"Terceirizada","Interna"))</f>
        <v/>
      </c>
      <c r="R792" s="36" t="str">
        <f aca="false">IF($J792="","",IF($M792="",$J792,$M792))</f>
        <v/>
      </c>
      <c r="S792" s="31" t="str">
        <f aca="false">IF($E792="","",IF(OR($K792="",$J792=""),0,IF($K792&lt;=$J792,1,0)))</f>
        <v/>
      </c>
      <c r="T792" s="31" t="str">
        <f aca="false">IF($E792="","",IF(OR($K792="",$R792=""),0,IF($K792&lt;=$R792,1,0)))</f>
        <v/>
      </c>
      <c r="U792" s="38" t="str">
        <f aca="false">IF(OR($K792="",$J792=""),"",MAX(0,$K792-$J792))</f>
        <v/>
      </c>
      <c r="V792" s="31" t="str">
        <f aca="false">IF($E792="","",IF(AND($M792&lt;&gt;"",$J792&lt;&gt;"",$M792&lt;&gt;$J792),1,0))</f>
        <v/>
      </c>
      <c r="W792" s="39" t="str">
        <f aca="false">IF($E792="","",IF($L792="Cancelada",0,IF(OR($K792&lt;&gt;"",$L792="Concluída"),1,0)))</f>
        <v/>
      </c>
    </row>
    <row r="793" customFormat="false" ht="15" hidden="false" customHeight="true" outlineLevel="0" collapsed="false">
      <c r="A793" s="31" t="str">
        <f aca="false">IF($E793="","",COUNTA($E$5:$E793))</f>
        <v/>
      </c>
      <c r="B793" s="32"/>
      <c r="C793" s="32"/>
      <c r="D793" s="32"/>
      <c r="E793" s="32"/>
      <c r="F793" s="33"/>
      <c r="G793" s="32"/>
      <c r="H793" s="34"/>
      <c r="I793" s="35"/>
      <c r="J793" s="36" t="str">
        <f aca="false">IF(OR($H793="",$I793=""),"",$H793+MATCH($I793,Listas!$F$5:$F$11,0)-1)</f>
        <v/>
      </c>
      <c r="K793" s="37"/>
      <c r="L793" s="33"/>
      <c r="M793" s="37"/>
      <c r="N793" s="32"/>
      <c r="O793" s="32"/>
      <c r="P793" s="38" t="str">
        <f aca="true">IF($E793="","",IF($L793="Cancelada","Cancelada",IF(OR($K793&lt;&gt;"",$L793="Concluída"),IF(OR($J793="",$K793="",$K793&lt;=$J793),"Concluída","Concluída com atraso"),IF($J793="","Na carteira",IF($J793&lt;TODAY(),"VENCIDA",IF($L793="Em execução","Em execução",IF($J793=TODAY(),"Hoje","Programada")))))))</f>
        <v/>
      </c>
      <c r="Q793" s="31" t="str">
        <f aca="false">IF($E793="","",IF(ISNUMBER(SEARCH("(externo)",$G793)),"Terceirizada","Interna"))</f>
        <v/>
      </c>
      <c r="R793" s="36" t="str">
        <f aca="false">IF($J793="","",IF($M793="",$J793,$M793))</f>
        <v/>
      </c>
      <c r="S793" s="31" t="str">
        <f aca="false">IF($E793="","",IF(OR($K793="",$J793=""),0,IF($K793&lt;=$J793,1,0)))</f>
        <v/>
      </c>
      <c r="T793" s="31" t="str">
        <f aca="false">IF($E793="","",IF(OR($K793="",$R793=""),0,IF($K793&lt;=$R793,1,0)))</f>
        <v/>
      </c>
      <c r="U793" s="38" t="str">
        <f aca="false">IF(OR($K793="",$J793=""),"",MAX(0,$K793-$J793))</f>
        <v/>
      </c>
      <c r="V793" s="31" t="str">
        <f aca="false">IF($E793="","",IF(AND($M793&lt;&gt;"",$J793&lt;&gt;"",$M793&lt;&gt;$J793),1,0))</f>
        <v/>
      </c>
      <c r="W793" s="39" t="str">
        <f aca="false">IF($E793="","",IF($L793="Cancelada",0,IF(OR($K793&lt;&gt;"",$L793="Concluída"),1,0)))</f>
        <v/>
      </c>
    </row>
    <row r="794" customFormat="false" ht="15" hidden="false" customHeight="true" outlineLevel="0" collapsed="false">
      <c r="A794" s="31" t="str">
        <f aca="false">IF($E794="","",COUNTA($E$5:$E794))</f>
        <v/>
      </c>
      <c r="B794" s="32"/>
      <c r="C794" s="32"/>
      <c r="D794" s="32"/>
      <c r="E794" s="32"/>
      <c r="F794" s="33"/>
      <c r="G794" s="32"/>
      <c r="H794" s="34"/>
      <c r="I794" s="35"/>
      <c r="J794" s="36" t="str">
        <f aca="false">IF(OR($H794="",$I794=""),"",$H794+MATCH($I794,Listas!$F$5:$F$11,0)-1)</f>
        <v/>
      </c>
      <c r="K794" s="37"/>
      <c r="L794" s="33"/>
      <c r="M794" s="37"/>
      <c r="N794" s="32"/>
      <c r="O794" s="32"/>
      <c r="P794" s="38" t="str">
        <f aca="true">IF($E794="","",IF($L794="Cancelada","Cancelada",IF(OR($K794&lt;&gt;"",$L794="Concluída"),IF(OR($J794="",$K794="",$K794&lt;=$J794),"Concluída","Concluída com atraso"),IF($J794="","Na carteira",IF($J794&lt;TODAY(),"VENCIDA",IF($L794="Em execução","Em execução",IF($J794=TODAY(),"Hoje","Programada")))))))</f>
        <v/>
      </c>
      <c r="Q794" s="31" t="str">
        <f aca="false">IF($E794="","",IF(ISNUMBER(SEARCH("(externo)",$G794)),"Terceirizada","Interna"))</f>
        <v/>
      </c>
      <c r="R794" s="36" t="str">
        <f aca="false">IF($J794="","",IF($M794="",$J794,$M794))</f>
        <v/>
      </c>
      <c r="S794" s="31" t="str">
        <f aca="false">IF($E794="","",IF(OR($K794="",$J794=""),0,IF($K794&lt;=$J794,1,0)))</f>
        <v/>
      </c>
      <c r="T794" s="31" t="str">
        <f aca="false">IF($E794="","",IF(OR($K794="",$R794=""),0,IF($K794&lt;=$R794,1,0)))</f>
        <v/>
      </c>
      <c r="U794" s="38" t="str">
        <f aca="false">IF(OR($K794="",$J794=""),"",MAX(0,$K794-$J794))</f>
        <v/>
      </c>
      <c r="V794" s="31" t="str">
        <f aca="false">IF($E794="","",IF(AND($M794&lt;&gt;"",$J794&lt;&gt;"",$M794&lt;&gt;$J794),1,0))</f>
        <v/>
      </c>
      <c r="W794" s="39" t="str">
        <f aca="false">IF($E794="","",IF($L794="Cancelada",0,IF(OR($K794&lt;&gt;"",$L794="Concluída"),1,0)))</f>
        <v/>
      </c>
    </row>
    <row r="795" customFormat="false" ht="15" hidden="false" customHeight="true" outlineLevel="0" collapsed="false">
      <c r="A795" s="31" t="str">
        <f aca="false">IF($E795="","",COUNTA($E$5:$E795))</f>
        <v/>
      </c>
      <c r="B795" s="32"/>
      <c r="C795" s="32"/>
      <c r="D795" s="32"/>
      <c r="E795" s="32"/>
      <c r="F795" s="33"/>
      <c r="G795" s="32"/>
      <c r="H795" s="34"/>
      <c r="I795" s="35"/>
      <c r="J795" s="36" t="str">
        <f aca="false">IF(OR($H795="",$I795=""),"",$H795+MATCH($I795,Listas!$F$5:$F$11,0)-1)</f>
        <v/>
      </c>
      <c r="K795" s="37"/>
      <c r="L795" s="33"/>
      <c r="M795" s="37"/>
      <c r="N795" s="32"/>
      <c r="O795" s="32"/>
      <c r="P795" s="38" t="str">
        <f aca="true">IF($E795="","",IF($L795="Cancelada","Cancelada",IF(OR($K795&lt;&gt;"",$L795="Concluída"),IF(OR($J795="",$K795="",$K795&lt;=$J795),"Concluída","Concluída com atraso"),IF($J795="","Na carteira",IF($J795&lt;TODAY(),"VENCIDA",IF($L795="Em execução","Em execução",IF($J795=TODAY(),"Hoje","Programada")))))))</f>
        <v/>
      </c>
      <c r="Q795" s="31" t="str">
        <f aca="false">IF($E795="","",IF(ISNUMBER(SEARCH("(externo)",$G795)),"Terceirizada","Interna"))</f>
        <v/>
      </c>
      <c r="R795" s="36" t="str">
        <f aca="false">IF($J795="","",IF($M795="",$J795,$M795))</f>
        <v/>
      </c>
      <c r="S795" s="31" t="str">
        <f aca="false">IF($E795="","",IF(OR($K795="",$J795=""),0,IF($K795&lt;=$J795,1,0)))</f>
        <v/>
      </c>
      <c r="T795" s="31" t="str">
        <f aca="false">IF($E795="","",IF(OR($K795="",$R795=""),0,IF($K795&lt;=$R795,1,0)))</f>
        <v/>
      </c>
      <c r="U795" s="38" t="str">
        <f aca="false">IF(OR($K795="",$J795=""),"",MAX(0,$K795-$J795))</f>
        <v/>
      </c>
      <c r="V795" s="31" t="str">
        <f aca="false">IF($E795="","",IF(AND($M795&lt;&gt;"",$J795&lt;&gt;"",$M795&lt;&gt;$J795),1,0))</f>
        <v/>
      </c>
      <c r="W795" s="39" t="str">
        <f aca="false">IF($E795="","",IF($L795="Cancelada",0,IF(OR($K795&lt;&gt;"",$L795="Concluída"),1,0)))</f>
        <v/>
      </c>
    </row>
    <row r="796" customFormat="false" ht="15" hidden="false" customHeight="true" outlineLevel="0" collapsed="false">
      <c r="A796" s="31" t="str">
        <f aca="false">IF($E796="","",COUNTA($E$5:$E796))</f>
        <v/>
      </c>
      <c r="B796" s="32"/>
      <c r="C796" s="32"/>
      <c r="D796" s="32"/>
      <c r="E796" s="32"/>
      <c r="F796" s="33"/>
      <c r="G796" s="32"/>
      <c r="H796" s="34"/>
      <c r="I796" s="35"/>
      <c r="J796" s="36" t="str">
        <f aca="false">IF(OR($H796="",$I796=""),"",$H796+MATCH($I796,Listas!$F$5:$F$11,0)-1)</f>
        <v/>
      </c>
      <c r="K796" s="37"/>
      <c r="L796" s="33"/>
      <c r="M796" s="37"/>
      <c r="N796" s="32"/>
      <c r="O796" s="32"/>
      <c r="P796" s="38" t="str">
        <f aca="true">IF($E796="","",IF($L796="Cancelada","Cancelada",IF(OR($K796&lt;&gt;"",$L796="Concluída"),IF(OR($J796="",$K796="",$K796&lt;=$J796),"Concluída","Concluída com atraso"),IF($J796="","Na carteira",IF($J796&lt;TODAY(),"VENCIDA",IF($L796="Em execução","Em execução",IF($J796=TODAY(),"Hoje","Programada")))))))</f>
        <v/>
      </c>
      <c r="Q796" s="31" t="str">
        <f aca="false">IF($E796="","",IF(ISNUMBER(SEARCH("(externo)",$G796)),"Terceirizada","Interna"))</f>
        <v/>
      </c>
      <c r="R796" s="36" t="str">
        <f aca="false">IF($J796="","",IF($M796="",$J796,$M796))</f>
        <v/>
      </c>
      <c r="S796" s="31" t="str">
        <f aca="false">IF($E796="","",IF(OR($K796="",$J796=""),0,IF($K796&lt;=$J796,1,0)))</f>
        <v/>
      </c>
      <c r="T796" s="31" t="str">
        <f aca="false">IF($E796="","",IF(OR($K796="",$R796=""),0,IF($K796&lt;=$R796,1,0)))</f>
        <v/>
      </c>
      <c r="U796" s="38" t="str">
        <f aca="false">IF(OR($K796="",$J796=""),"",MAX(0,$K796-$J796))</f>
        <v/>
      </c>
      <c r="V796" s="31" t="str">
        <f aca="false">IF($E796="","",IF(AND($M796&lt;&gt;"",$J796&lt;&gt;"",$M796&lt;&gt;$J796),1,0))</f>
        <v/>
      </c>
      <c r="W796" s="39" t="str">
        <f aca="false">IF($E796="","",IF($L796="Cancelada",0,IF(OR($K796&lt;&gt;"",$L796="Concluída"),1,0)))</f>
        <v/>
      </c>
    </row>
    <row r="797" customFormat="false" ht="15" hidden="false" customHeight="true" outlineLevel="0" collapsed="false">
      <c r="A797" s="31" t="str">
        <f aca="false">IF($E797="","",COUNTA($E$5:$E797))</f>
        <v/>
      </c>
      <c r="B797" s="32"/>
      <c r="C797" s="32"/>
      <c r="D797" s="32"/>
      <c r="E797" s="32"/>
      <c r="F797" s="33"/>
      <c r="G797" s="32"/>
      <c r="H797" s="34"/>
      <c r="I797" s="35"/>
      <c r="J797" s="36" t="str">
        <f aca="false">IF(OR($H797="",$I797=""),"",$H797+MATCH($I797,Listas!$F$5:$F$11,0)-1)</f>
        <v/>
      </c>
      <c r="K797" s="37"/>
      <c r="L797" s="33"/>
      <c r="M797" s="37"/>
      <c r="N797" s="32"/>
      <c r="O797" s="32"/>
      <c r="P797" s="38" t="str">
        <f aca="true">IF($E797="","",IF($L797="Cancelada","Cancelada",IF(OR($K797&lt;&gt;"",$L797="Concluída"),IF(OR($J797="",$K797="",$K797&lt;=$J797),"Concluída","Concluída com atraso"),IF($J797="","Na carteira",IF($J797&lt;TODAY(),"VENCIDA",IF($L797="Em execução","Em execução",IF($J797=TODAY(),"Hoje","Programada")))))))</f>
        <v/>
      </c>
      <c r="Q797" s="31" t="str">
        <f aca="false">IF($E797="","",IF(ISNUMBER(SEARCH("(externo)",$G797)),"Terceirizada","Interna"))</f>
        <v/>
      </c>
      <c r="R797" s="36" t="str">
        <f aca="false">IF($J797="","",IF($M797="",$J797,$M797))</f>
        <v/>
      </c>
      <c r="S797" s="31" t="str">
        <f aca="false">IF($E797="","",IF(OR($K797="",$J797=""),0,IF($K797&lt;=$J797,1,0)))</f>
        <v/>
      </c>
      <c r="T797" s="31" t="str">
        <f aca="false">IF($E797="","",IF(OR($K797="",$R797=""),0,IF($K797&lt;=$R797,1,0)))</f>
        <v/>
      </c>
      <c r="U797" s="38" t="str">
        <f aca="false">IF(OR($K797="",$J797=""),"",MAX(0,$K797-$J797))</f>
        <v/>
      </c>
      <c r="V797" s="31" t="str">
        <f aca="false">IF($E797="","",IF(AND($M797&lt;&gt;"",$J797&lt;&gt;"",$M797&lt;&gt;$J797),1,0))</f>
        <v/>
      </c>
      <c r="W797" s="39" t="str">
        <f aca="false">IF($E797="","",IF($L797="Cancelada",0,IF(OR($K797&lt;&gt;"",$L797="Concluída"),1,0)))</f>
        <v/>
      </c>
    </row>
    <row r="798" customFormat="false" ht="15" hidden="false" customHeight="true" outlineLevel="0" collapsed="false">
      <c r="A798" s="31" t="str">
        <f aca="false">IF($E798="","",COUNTA($E$5:$E798))</f>
        <v/>
      </c>
      <c r="B798" s="32"/>
      <c r="C798" s="32"/>
      <c r="D798" s="32"/>
      <c r="E798" s="32"/>
      <c r="F798" s="33"/>
      <c r="G798" s="32"/>
      <c r="H798" s="34"/>
      <c r="I798" s="35"/>
      <c r="J798" s="36" t="str">
        <f aca="false">IF(OR($H798="",$I798=""),"",$H798+MATCH($I798,Listas!$F$5:$F$11,0)-1)</f>
        <v/>
      </c>
      <c r="K798" s="37"/>
      <c r="L798" s="33"/>
      <c r="M798" s="37"/>
      <c r="N798" s="32"/>
      <c r="O798" s="32"/>
      <c r="P798" s="38" t="str">
        <f aca="true">IF($E798="","",IF($L798="Cancelada","Cancelada",IF(OR($K798&lt;&gt;"",$L798="Concluída"),IF(OR($J798="",$K798="",$K798&lt;=$J798),"Concluída","Concluída com atraso"),IF($J798="","Na carteira",IF($J798&lt;TODAY(),"VENCIDA",IF($L798="Em execução","Em execução",IF($J798=TODAY(),"Hoje","Programada")))))))</f>
        <v/>
      </c>
      <c r="Q798" s="31" t="str">
        <f aca="false">IF($E798="","",IF(ISNUMBER(SEARCH("(externo)",$G798)),"Terceirizada","Interna"))</f>
        <v/>
      </c>
      <c r="R798" s="36" t="str">
        <f aca="false">IF($J798="","",IF($M798="",$J798,$M798))</f>
        <v/>
      </c>
      <c r="S798" s="31" t="str">
        <f aca="false">IF($E798="","",IF(OR($K798="",$J798=""),0,IF($K798&lt;=$J798,1,0)))</f>
        <v/>
      </c>
      <c r="T798" s="31" t="str">
        <f aca="false">IF($E798="","",IF(OR($K798="",$R798=""),0,IF($K798&lt;=$R798,1,0)))</f>
        <v/>
      </c>
      <c r="U798" s="38" t="str">
        <f aca="false">IF(OR($K798="",$J798=""),"",MAX(0,$K798-$J798))</f>
        <v/>
      </c>
      <c r="V798" s="31" t="str">
        <f aca="false">IF($E798="","",IF(AND($M798&lt;&gt;"",$J798&lt;&gt;"",$M798&lt;&gt;$J798),1,0))</f>
        <v/>
      </c>
      <c r="W798" s="39" t="str">
        <f aca="false">IF($E798="","",IF($L798="Cancelada",0,IF(OR($K798&lt;&gt;"",$L798="Concluída"),1,0)))</f>
        <v/>
      </c>
    </row>
    <row r="799" customFormat="false" ht="15" hidden="false" customHeight="true" outlineLevel="0" collapsed="false">
      <c r="A799" s="31" t="str">
        <f aca="false">IF($E799="","",COUNTA($E$5:$E799))</f>
        <v/>
      </c>
      <c r="B799" s="32"/>
      <c r="C799" s="32"/>
      <c r="D799" s="32"/>
      <c r="E799" s="32"/>
      <c r="F799" s="33"/>
      <c r="G799" s="32"/>
      <c r="H799" s="34"/>
      <c r="I799" s="35"/>
      <c r="J799" s="36" t="str">
        <f aca="false">IF(OR($H799="",$I799=""),"",$H799+MATCH($I799,Listas!$F$5:$F$11,0)-1)</f>
        <v/>
      </c>
      <c r="K799" s="37"/>
      <c r="L799" s="33"/>
      <c r="M799" s="37"/>
      <c r="N799" s="32"/>
      <c r="O799" s="32"/>
      <c r="P799" s="38" t="str">
        <f aca="true">IF($E799="","",IF($L799="Cancelada","Cancelada",IF(OR($K799&lt;&gt;"",$L799="Concluída"),IF(OR($J799="",$K799="",$K799&lt;=$J799),"Concluída","Concluída com atraso"),IF($J799="","Na carteira",IF($J799&lt;TODAY(),"VENCIDA",IF($L799="Em execução","Em execução",IF($J799=TODAY(),"Hoje","Programada")))))))</f>
        <v/>
      </c>
      <c r="Q799" s="31" t="str">
        <f aca="false">IF($E799="","",IF(ISNUMBER(SEARCH("(externo)",$G799)),"Terceirizada","Interna"))</f>
        <v/>
      </c>
      <c r="R799" s="36" t="str">
        <f aca="false">IF($J799="","",IF($M799="",$J799,$M799))</f>
        <v/>
      </c>
      <c r="S799" s="31" t="str">
        <f aca="false">IF($E799="","",IF(OR($K799="",$J799=""),0,IF($K799&lt;=$J799,1,0)))</f>
        <v/>
      </c>
      <c r="T799" s="31" t="str">
        <f aca="false">IF($E799="","",IF(OR($K799="",$R799=""),0,IF($K799&lt;=$R799,1,0)))</f>
        <v/>
      </c>
      <c r="U799" s="38" t="str">
        <f aca="false">IF(OR($K799="",$J799=""),"",MAX(0,$K799-$J799))</f>
        <v/>
      </c>
      <c r="V799" s="31" t="str">
        <f aca="false">IF($E799="","",IF(AND($M799&lt;&gt;"",$J799&lt;&gt;"",$M799&lt;&gt;$J799),1,0))</f>
        <v/>
      </c>
      <c r="W799" s="39" t="str">
        <f aca="false">IF($E799="","",IF($L799="Cancelada",0,IF(OR($K799&lt;&gt;"",$L799="Concluída"),1,0)))</f>
        <v/>
      </c>
    </row>
    <row r="800" customFormat="false" ht="15" hidden="false" customHeight="true" outlineLevel="0" collapsed="false">
      <c r="A800" s="31" t="str">
        <f aca="false">IF($E800="","",COUNTA($E$5:$E800))</f>
        <v/>
      </c>
      <c r="B800" s="32"/>
      <c r="C800" s="32"/>
      <c r="D800" s="32"/>
      <c r="E800" s="32"/>
      <c r="F800" s="33"/>
      <c r="G800" s="32"/>
      <c r="H800" s="34"/>
      <c r="I800" s="35"/>
      <c r="J800" s="36" t="str">
        <f aca="false">IF(OR($H800="",$I800=""),"",$H800+MATCH($I800,Listas!$F$5:$F$11,0)-1)</f>
        <v/>
      </c>
      <c r="K800" s="37"/>
      <c r="L800" s="33"/>
      <c r="M800" s="37"/>
      <c r="N800" s="32"/>
      <c r="O800" s="32"/>
      <c r="P800" s="38" t="str">
        <f aca="true">IF($E800="","",IF($L800="Cancelada","Cancelada",IF(OR($K800&lt;&gt;"",$L800="Concluída"),IF(OR($J800="",$K800="",$K800&lt;=$J800),"Concluída","Concluída com atraso"),IF($J800="","Na carteira",IF($J800&lt;TODAY(),"VENCIDA",IF($L800="Em execução","Em execução",IF($J800=TODAY(),"Hoje","Programada")))))))</f>
        <v/>
      </c>
      <c r="Q800" s="31" t="str">
        <f aca="false">IF($E800="","",IF(ISNUMBER(SEARCH("(externo)",$G800)),"Terceirizada","Interna"))</f>
        <v/>
      </c>
      <c r="R800" s="36" t="str">
        <f aca="false">IF($J800="","",IF($M800="",$J800,$M800))</f>
        <v/>
      </c>
      <c r="S800" s="31" t="str">
        <f aca="false">IF($E800="","",IF(OR($K800="",$J800=""),0,IF($K800&lt;=$J800,1,0)))</f>
        <v/>
      </c>
      <c r="T800" s="31" t="str">
        <f aca="false">IF($E800="","",IF(OR($K800="",$R800=""),0,IF($K800&lt;=$R800,1,0)))</f>
        <v/>
      </c>
      <c r="U800" s="38" t="str">
        <f aca="false">IF(OR($K800="",$J800=""),"",MAX(0,$K800-$J800))</f>
        <v/>
      </c>
      <c r="V800" s="31" t="str">
        <f aca="false">IF($E800="","",IF(AND($M800&lt;&gt;"",$J800&lt;&gt;"",$M800&lt;&gt;$J800),1,0))</f>
        <v/>
      </c>
      <c r="W800" s="39" t="str">
        <f aca="false">IF($E800="","",IF($L800="Cancelada",0,IF(OR($K800&lt;&gt;"",$L800="Concluída"),1,0)))</f>
        <v/>
      </c>
    </row>
    <row r="801" customFormat="false" ht="15" hidden="false" customHeight="true" outlineLevel="0" collapsed="false">
      <c r="A801" s="31" t="str">
        <f aca="false">IF($E801="","",COUNTA($E$5:$E801))</f>
        <v/>
      </c>
      <c r="B801" s="32"/>
      <c r="C801" s="32"/>
      <c r="D801" s="32"/>
      <c r="E801" s="32"/>
      <c r="F801" s="33"/>
      <c r="G801" s="32"/>
      <c r="H801" s="34"/>
      <c r="I801" s="35"/>
      <c r="J801" s="36" t="str">
        <f aca="false">IF(OR($H801="",$I801=""),"",$H801+MATCH($I801,Listas!$F$5:$F$11,0)-1)</f>
        <v/>
      </c>
      <c r="K801" s="37"/>
      <c r="L801" s="33"/>
      <c r="M801" s="37"/>
      <c r="N801" s="32"/>
      <c r="O801" s="32"/>
      <c r="P801" s="38" t="str">
        <f aca="true">IF($E801="","",IF($L801="Cancelada","Cancelada",IF(OR($K801&lt;&gt;"",$L801="Concluída"),IF(OR($J801="",$K801="",$K801&lt;=$J801),"Concluída","Concluída com atraso"),IF($J801="","Na carteira",IF($J801&lt;TODAY(),"VENCIDA",IF($L801="Em execução","Em execução",IF($J801=TODAY(),"Hoje","Programada")))))))</f>
        <v/>
      </c>
      <c r="Q801" s="31" t="str">
        <f aca="false">IF($E801="","",IF(ISNUMBER(SEARCH("(externo)",$G801)),"Terceirizada","Interna"))</f>
        <v/>
      </c>
      <c r="R801" s="36" t="str">
        <f aca="false">IF($J801="","",IF($M801="",$J801,$M801))</f>
        <v/>
      </c>
      <c r="S801" s="31" t="str">
        <f aca="false">IF($E801="","",IF(OR($K801="",$J801=""),0,IF($K801&lt;=$J801,1,0)))</f>
        <v/>
      </c>
      <c r="T801" s="31" t="str">
        <f aca="false">IF($E801="","",IF(OR($K801="",$R801=""),0,IF($K801&lt;=$R801,1,0)))</f>
        <v/>
      </c>
      <c r="U801" s="38" t="str">
        <f aca="false">IF(OR($K801="",$J801=""),"",MAX(0,$K801-$J801))</f>
        <v/>
      </c>
      <c r="V801" s="31" t="str">
        <f aca="false">IF($E801="","",IF(AND($M801&lt;&gt;"",$J801&lt;&gt;"",$M801&lt;&gt;$J801),1,0))</f>
        <v/>
      </c>
      <c r="W801" s="39" t="str">
        <f aca="false">IF($E801="","",IF($L801="Cancelada",0,IF(OR($K801&lt;&gt;"",$L801="Concluída"),1,0)))</f>
        <v/>
      </c>
    </row>
    <row r="802" customFormat="false" ht="15" hidden="false" customHeight="true" outlineLevel="0" collapsed="false">
      <c r="A802" s="31" t="str">
        <f aca="false">IF($E802="","",COUNTA($E$5:$E802))</f>
        <v/>
      </c>
      <c r="B802" s="32"/>
      <c r="C802" s="32"/>
      <c r="D802" s="32"/>
      <c r="E802" s="32"/>
      <c r="F802" s="33"/>
      <c r="G802" s="32"/>
      <c r="H802" s="34"/>
      <c r="I802" s="35"/>
      <c r="J802" s="36" t="str">
        <f aca="false">IF(OR($H802="",$I802=""),"",$H802+MATCH($I802,Listas!$F$5:$F$11,0)-1)</f>
        <v/>
      </c>
      <c r="K802" s="37"/>
      <c r="L802" s="33"/>
      <c r="M802" s="37"/>
      <c r="N802" s="32"/>
      <c r="O802" s="32"/>
      <c r="P802" s="38" t="str">
        <f aca="true">IF($E802="","",IF($L802="Cancelada","Cancelada",IF(OR($K802&lt;&gt;"",$L802="Concluída"),IF(OR($J802="",$K802="",$K802&lt;=$J802),"Concluída","Concluída com atraso"),IF($J802="","Na carteira",IF($J802&lt;TODAY(),"VENCIDA",IF($L802="Em execução","Em execução",IF($J802=TODAY(),"Hoje","Programada")))))))</f>
        <v/>
      </c>
      <c r="Q802" s="31" t="str">
        <f aca="false">IF($E802="","",IF(ISNUMBER(SEARCH("(externo)",$G802)),"Terceirizada","Interna"))</f>
        <v/>
      </c>
      <c r="R802" s="36" t="str">
        <f aca="false">IF($J802="","",IF($M802="",$J802,$M802))</f>
        <v/>
      </c>
      <c r="S802" s="31" t="str">
        <f aca="false">IF($E802="","",IF(OR($K802="",$J802=""),0,IF($K802&lt;=$J802,1,0)))</f>
        <v/>
      </c>
      <c r="T802" s="31" t="str">
        <f aca="false">IF($E802="","",IF(OR($K802="",$R802=""),0,IF($K802&lt;=$R802,1,0)))</f>
        <v/>
      </c>
      <c r="U802" s="38" t="str">
        <f aca="false">IF(OR($K802="",$J802=""),"",MAX(0,$K802-$J802))</f>
        <v/>
      </c>
      <c r="V802" s="31" t="str">
        <f aca="false">IF($E802="","",IF(AND($M802&lt;&gt;"",$J802&lt;&gt;"",$M802&lt;&gt;$J802),1,0))</f>
        <v/>
      </c>
      <c r="W802" s="39" t="str">
        <f aca="false">IF($E802="","",IF($L802="Cancelada",0,IF(OR($K802&lt;&gt;"",$L802="Concluída"),1,0)))</f>
        <v/>
      </c>
    </row>
    <row r="803" customFormat="false" ht="15" hidden="false" customHeight="true" outlineLevel="0" collapsed="false">
      <c r="A803" s="31" t="str">
        <f aca="false">IF($E803="","",COUNTA($E$5:$E803))</f>
        <v/>
      </c>
      <c r="B803" s="32"/>
      <c r="C803" s="32"/>
      <c r="D803" s="32"/>
      <c r="E803" s="32"/>
      <c r="F803" s="33"/>
      <c r="G803" s="32"/>
      <c r="H803" s="34"/>
      <c r="I803" s="35"/>
      <c r="J803" s="36" t="str">
        <f aca="false">IF(OR($H803="",$I803=""),"",$H803+MATCH($I803,Listas!$F$5:$F$11,0)-1)</f>
        <v/>
      </c>
      <c r="K803" s="37"/>
      <c r="L803" s="33"/>
      <c r="M803" s="37"/>
      <c r="N803" s="32"/>
      <c r="O803" s="32"/>
      <c r="P803" s="38" t="str">
        <f aca="true">IF($E803="","",IF($L803="Cancelada","Cancelada",IF(OR($K803&lt;&gt;"",$L803="Concluída"),IF(OR($J803="",$K803="",$K803&lt;=$J803),"Concluída","Concluída com atraso"),IF($J803="","Na carteira",IF($J803&lt;TODAY(),"VENCIDA",IF($L803="Em execução","Em execução",IF($J803=TODAY(),"Hoje","Programada")))))))</f>
        <v/>
      </c>
      <c r="Q803" s="31" t="str">
        <f aca="false">IF($E803="","",IF(ISNUMBER(SEARCH("(externo)",$G803)),"Terceirizada","Interna"))</f>
        <v/>
      </c>
      <c r="R803" s="36" t="str">
        <f aca="false">IF($J803="","",IF($M803="",$J803,$M803))</f>
        <v/>
      </c>
      <c r="S803" s="31" t="str">
        <f aca="false">IF($E803="","",IF(OR($K803="",$J803=""),0,IF($K803&lt;=$J803,1,0)))</f>
        <v/>
      </c>
      <c r="T803" s="31" t="str">
        <f aca="false">IF($E803="","",IF(OR($K803="",$R803=""),0,IF($K803&lt;=$R803,1,0)))</f>
        <v/>
      </c>
      <c r="U803" s="38" t="str">
        <f aca="false">IF(OR($K803="",$J803=""),"",MAX(0,$K803-$J803))</f>
        <v/>
      </c>
      <c r="V803" s="31" t="str">
        <f aca="false">IF($E803="","",IF(AND($M803&lt;&gt;"",$J803&lt;&gt;"",$M803&lt;&gt;$J803),1,0))</f>
        <v/>
      </c>
      <c r="W803" s="39" t="str">
        <f aca="false">IF($E803="","",IF($L803="Cancelada",0,IF(OR($K803&lt;&gt;"",$L803="Concluída"),1,0)))</f>
        <v/>
      </c>
    </row>
    <row r="804" customFormat="false" ht="15" hidden="false" customHeight="true" outlineLevel="0" collapsed="false">
      <c r="A804" s="31" t="str">
        <f aca="false">IF($E804="","",COUNTA($E$5:$E804))</f>
        <v/>
      </c>
      <c r="B804" s="32"/>
      <c r="C804" s="32"/>
      <c r="D804" s="32"/>
      <c r="E804" s="32"/>
      <c r="F804" s="33"/>
      <c r="G804" s="32"/>
      <c r="H804" s="34"/>
      <c r="I804" s="35"/>
      <c r="J804" s="36" t="str">
        <f aca="false">IF(OR($H804="",$I804=""),"",$H804+MATCH($I804,Listas!$F$5:$F$11,0)-1)</f>
        <v/>
      </c>
      <c r="K804" s="37"/>
      <c r="L804" s="33"/>
      <c r="M804" s="37"/>
      <c r="N804" s="32"/>
      <c r="O804" s="32"/>
      <c r="P804" s="38" t="str">
        <f aca="true">IF($E804="","",IF($L804="Cancelada","Cancelada",IF(OR($K804&lt;&gt;"",$L804="Concluída"),IF(OR($J804="",$K804="",$K804&lt;=$J804),"Concluída","Concluída com atraso"),IF($J804="","Na carteira",IF($J804&lt;TODAY(),"VENCIDA",IF($L804="Em execução","Em execução",IF($J804=TODAY(),"Hoje","Programada")))))))</f>
        <v/>
      </c>
      <c r="Q804" s="31" t="str">
        <f aca="false">IF($E804="","",IF(ISNUMBER(SEARCH("(externo)",$G804)),"Terceirizada","Interna"))</f>
        <v/>
      </c>
      <c r="R804" s="36" t="str">
        <f aca="false">IF($J804="","",IF($M804="",$J804,$M804))</f>
        <v/>
      </c>
      <c r="S804" s="31" t="str">
        <f aca="false">IF($E804="","",IF(OR($K804="",$J804=""),0,IF($K804&lt;=$J804,1,0)))</f>
        <v/>
      </c>
      <c r="T804" s="31" t="str">
        <f aca="false">IF($E804="","",IF(OR($K804="",$R804=""),0,IF($K804&lt;=$R804,1,0)))</f>
        <v/>
      </c>
      <c r="U804" s="38" t="str">
        <f aca="false">IF(OR($K804="",$J804=""),"",MAX(0,$K804-$J804))</f>
        <v/>
      </c>
      <c r="V804" s="31" t="str">
        <f aca="false">IF($E804="","",IF(AND($M804&lt;&gt;"",$J804&lt;&gt;"",$M804&lt;&gt;$J804),1,0))</f>
        <v/>
      </c>
      <c r="W804" s="39" t="str">
        <f aca="false">IF($E804="","",IF($L804="Cancelada",0,IF(OR($K804&lt;&gt;"",$L804="Concluída"),1,0)))</f>
        <v/>
      </c>
    </row>
    <row r="805" customFormat="false" ht="15" hidden="false" customHeight="true" outlineLevel="0" collapsed="false">
      <c r="A805" s="31" t="str">
        <f aca="false">IF($E805="","",COUNTA($E$5:$E805))</f>
        <v/>
      </c>
      <c r="B805" s="32"/>
      <c r="C805" s="32"/>
      <c r="D805" s="32"/>
      <c r="E805" s="32"/>
      <c r="F805" s="33"/>
      <c r="G805" s="32"/>
      <c r="H805" s="34"/>
      <c r="I805" s="35"/>
      <c r="J805" s="36" t="str">
        <f aca="false">IF(OR($H805="",$I805=""),"",$H805+MATCH($I805,Listas!$F$5:$F$11,0)-1)</f>
        <v/>
      </c>
      <c r="K805" s="37"/>
      <c r="L805" s="33"/>
      <c r="M805" s="37"/>
      <c r="N805" s="32"/>
      <c r="O805" s="32"/>
      <c r="P805" s="38" t="str">
        <f aca="true">IF($E805="","",IF($L805="Cancelada","Cancelada",IF(OR($K805&lt;&gt;"",$L805="Concluída"),IF(OR($J805="",$K805="",$K805&lt;=$J805),"Concluída","Concluída com atraso"),IF($J805="","Na carteira",IF($J805&lt;TODAY(),"VENCIDA",IF($L805="Em execução","Em execução",IF($J805=TODAY(),"Hoje","Programada")))))))</f>
        <v/>
      </c>
      <c r="Q805" s="31" t="str">
        <f aca="false">IF($E805="","",IF(ISNUMBER(SEARCH("(externo)",$G805)),"Terceirizada","Interna"))</f>
        <v/>
      </c>
      <c r="R805" s="36" t="str">
        <f aca="false">IF($J805="","",IF($M805="",$J805,$M805))</f>
        <v/>
      </c>
      <c r="S805" s="31" t="str">
        <f aca="false">IF($E805="","",IF(OR($K805="",$J805=""),0,IF($K805&lt;=$J805,1,0)))</f>
        <v/>
      </c>
      <c r="T805" s="31" t="str">
        <f aca="false">IF($E805="","",IF(OR($K805="",$R805=""),0,IF($K805&lt;=$R805,1,0)))</f>
        <v/>
      </c>
      <c r="U805" s="38" t="str">
        <f aca="false">IF(OR($K805="",$J805=""),"",MAX(0,$K805-$J805))</f>
        <v/>
      </c>
      <c r="V805" s="31" t="str">
        <f aca="false">IF($E805="","",IF(AND($M805&lt;&gt;"",$J805&lt;&gt;"",$M805&lt;&gt;$J805),1,0))</f>
        <v/>
      </c>
      <c r="W805" s="39" t="str">
        <f aca="false">IF($E805="","",IF($L805="Cancelada",0,IF(OR($K805&lt;&gt;"",$L805="Concluída"),1,0)))</f>
        <v/>
      </c>
    </row>
    <row r="806" customFormat="false" ht="15" hidden="false" customHeight="true" outlineLevel="0" collapsed="false">
      <c r="A806" s="31" t="str">
        <f aca="false">IF($E806="","",COUNTA($E$5:$E806))</f>
        <v/>
      </c>
      <c r="B806" s="32"/>
      <c r="C806" s="32"/>
      <c r="D806" s="32"/>
      <c r="E806" s="32"/>
      <c r="F806" s="33"/>
      <c r="G806" s="32"/>
      <c r="H806" s="34"/>
      <c r="I806" s="35"/>
      <c r="J806" s="36" t="str">
        <f aca="false">IF(OR($H806="",$I806=""),"",$H806+MATCH($I806,Listas!$F$5:$F$11,0)-1)</f>
        <v/>
      </c>
      <c r="K806" s="37"/>
      <c r="L806" s="33"/>
      <c r="M806" s="37"/>
      <c r="N806" s="32"/>
      <c r="O806" s="32"/>
      <c r="P806" s="38" t="str">
        <f aca="true">IF($E806="","",IF($L806="Cancelada","Cancelada",IF(OR($K806&lt;&gt;"",$L806="Concluída"),IF(OR($J806="",$K806="",$K806&lt;=$J806),"Concluída","Concluída com atraso"),IF($J806="","Na carteira",IF($J806&lt;TODAY(),"VENCIDA",IF($L806="Em execução","Em execução",IF($J806=TODAY(),"Hoje","Programada")))))))</f>
        <v/>
      </c>
      <c r="Q806" s="31" t="str">
        <f aca="false">IF($E806="","",IF(ISNUMBER(SEARCH("(externo)",$G806)),"Terceirizada","Interna"))</f>
        <v/>
      </c>
      <c r="R806" s="36" t="str">
        <f aca="false">IF($J806="","",IF($M806="",$J806,$M806))</f>
        <v/>
      </c>
      <c r="S806" s="31" t="str">
        <f aca="false">IF($E806="","",IF(OR($K806="",$J806=""),0,IF($K806&lt;=$J806,1,0)))</f>
        <v/>
      </c>
      <c r="T806" s="31" t="str">
        <f aca="false">IF($E806="","",IF(OR($K806="",$R806=""),0,IF($K806&lt;=$R806,1,0)))</f>
        <v/>
      </c>
      <c r="U806" s="38" t="str">
        <f aca="false">IF(OR($K806="",$J806=""),"",MAX(0,$K806-$J806))</f>
        <v/>
      </c>
      <c r="V806" s="31" t="str">
        <f aca="false">IF($E806="","",IF(AND($M806&lt;&gt;"",$J806&lt;&gt;"",$M806&lt;&gt;$J806),1,0))</f>
        <v/>
      </c>
      <c r="W806" s="39" t="str">
        <f aca="false">IF($E806="","",IF($L806="Cancelada",0,IF(OR($K806&lt;&gt;"",$L806="Concluída"),1,0)))</f>
        <v/>
      </c>
    </row>
    <row r="807" customFormat="false" ht="15" hidden="false" customHeight="true" outlineLevel="0" collapsed="false">
      <c r="A807" s="31" t="str">
        <f aca="false">IF($E807="","",COUNTA($E$5:$E807))</f>
        <v/>
      </c>
      <c r="B807" s="32"/>
      <c r="C807" s="32"/>
      <c r="D807" s="32"/>
      <c r="E807" s="32"/>
      <c r="F807" s="33"/>
      <c r="G807" s="32"/>
      <c r="H807" s="34"/>
      <c r="I807" s="35"/>
      <c r="J807" s="36" t="str">
        <f aca="false">IF(OR($H807="",$I807=""),"",$H807+MATCH($I807,Listas!$F$5:$F$11,0)-1)</f>
        <v/>
      </c>
      <c r="K807" s="37"/>
      <c r="L807" s="33"/>
      <c r="M807" s="37"/>
      <c r="N807" s="32"/>
      <c r="O807" s="32"/>
      <c r="P807" s="38" t="str">
        <f aca="true">IF($E807="","",IF($L807="Cancelada","Cancelada",IF(OR($K807&lt;&gt;"",$L807="Concluída"),IF(OR($J807="",$K807="",$K807&lt;=$J807),"Concluída","Concluída com atraso"),IF($J807="","Na carteira",IF($J807&lt;TODAY(),"VENCIDA",IF($L807="Em execução","Em execução",IF($J807=TODAY(),"Hoje","Programada")))))))</f>
        <v/>
      </c>
      <c r="Q807" s="31" t="str">
        <f aca="false">IF($E807="","",IF(ISNUMBER(SEARCH("(externo)",$G807)),"Terceirizada","Interna"))</f>
        <v/>
      </c>
      <c r="R807" s="36" t="str">
        <f aca="false">IF($J807="","",IF($M807="",$J807,$M807))</f>
        <v/>
      </c>
      <c r="S807" s="31" t="str">
        <f aca="false">IF($E807="","",IF(OR($K807="",$J807=""),0,IF($K807&lt;=$J807,1,0)))</f>
        <v/>
      </c>
      <c r="T807" s="31" t="str">
        <f aca="false">IF($E807="","",IF(OR($K807="",$R807=""),0,IF($K807&lt;=$R807,1,0)))</f>
        <v/>
      </c>
      <c r="U807" s="38" t="str">
        <f aca="false">IF(OR($K807="",$J807=""),"",MAX(0,$K807-$J807))</f>
        <v/>
      </c>
      <c r="V807" s="31" t="str">
        <f aca="false">IF($E807="","",IF(AND($M807&lt;&gt;"",$J807&lt;&gt;"",$M807&lt;&gt;$J807),1,0))</f>
        <v/>
      </c>
      <c r="W807" s="39" t="str">
        <f aca="false">IF($E807="","",IF($L807="Cancelada",0,IF(OR($K807&lt;&gt;"",$L807="Concluída"),1,0)))</f>
        <v/>
      </c>
    </row>
    <row r="808" customFormat="false" ht="15" hidden="false" customHeight="true" outlineLevel="0" collapsed="false">
      <c r="A808" s="31" t="str">
        <f aca="false">IF($E808="","",COUNTA($E$5:$E808))</f>
        <v/>
      </c>
      <c r="B808" s="32"/>
      <c r="C808" s="32"/>
      <c r="D808" s="32"/>
      <c r="E808" s="32"/>
      <c r="F808" s="33"/>
      <c r="G808" s="32"/>
      <c r="H808" s="34"/>
      <c r="I808" s="35"/>
      <c r="J808" s="36" t="str">
        <f aca="false">IF(OR($H808="",$I808=""),"",$H808+MATCH($I808,Listas!$F$5:$F$11,0)-1)</f>
        <v/>
      </c>
      <c r="K808" s="37"/>
      <c r="L808" s="33"/>
      <c r="M808" s="37"/>
      <c r="N808" s="32"/>
      <c r="O808" s="32"/>
      <c r="P808" s="38" t="str">
        <f aca="true">IF($E808="","",IF($L808="Cancelada","Cancelada",IF(OR($K808&lt;&gt;"",$L808="Concluída"),IF(OR($J808="",$K808="",$K808&lt;=$J808),"Concluída","Concluída com atraso"),IF($J808="","Na carteira",IF($J808&lt;TODAY(),"VENCIDA",IF($L808="Em execução","Em execução",IF($J808=TODAY(),"Hoje","Programada")))))))</f>
        <v/>
      </c>
      <c r="Q808" s="31" t="str">
        <f aca="false">IF($E808="","",IF(ISNUMBER(SEARCH("(externo)",$G808)),"Terceirizada","Interna"))</f>
        <v/>
      </c>
      <c r="R808" s="36" t="str">
        <f aca="false">IF($J808="","",IF($M808="",$J808,$M808))</f>
        <v/>
      </c>
      <c r="S808" s="31" t="str">
        <f aca="false">IF($E808="","",IF(OR($K808="",$J808=""),0,IF($K808&lt;=$J808,1,0)))</f>
        <v/>
      </c>
      <c r="T808" s="31" t="str">
        <f aca="false">IF($E808="","",IF(OR($K808="",$R808=""),0,IF($K808&lt;=$R808,1,0)))</f>
        <v/>
      </c>
      <c r="U808" s="38" t="str">
        <f aca="false">IF(OR($K808="",$J808=""),"",MAX(0,$K808-$J808))</f>
        <v/>
      </c>
      <c r="V808" s="31" t="str">
        <f aca="false">IF($E808="","",IF(AND($M808&lt;&gt;"",$J808&lt;&gt;"",$M808&lt;&gt;$J808),1,0))</f>
        <v/>
      </c>
      <c r="W808" s="39" t="str">
        <f aca="false">IF($E808="","",IF($L808="Cancelada",0,IF(OR($K808&lt;&gt;"",$L808="Concluída"),1,0)))</f>
        <v/>
      </c>
    </row>
    <row r="809" customFormat="false" ht="15" hidden="false" customHeight="true" outlineLevel="0" collapsed="false">
      <c r="A809" s="31" t="str">
        <f aca="false">IF($E809="","",COUNTA($E$5:$E809))</f>
        <v/>
      </c>
      <c r="B809" s="32"/>
      <c r="C809" s="32"/>
      <c r="D809" s="32"/>
      <c r="E809" s="32"/>
      <c r="F809" s="33"/>
      <c r="G809" s="32"/>
      <c r="H809" s="34"/>
      <c r="I809" s="35"/>
      <c r="J809" s="36" t="str">
        <f aca="false">IF(OR($H809="",$I809=""),"",$H809+MATCH($I809,Listas!$F$5:$F$11,0)-1)</f>
        <v/>
      </c>
      <c r="K809" s="37"/>
      <c r="L809" s="33"/>
      <c r="M809" s="37"/>
      <c r="N809" s="32"/>
      <c r="O809" s="32"/>
      <c r="P809" s="38" t="str">
        <f aca="true">IF($E809="","",IF($L809="Cancelada","Cancelada",IF(OR($K809&lt;&gt;"",$L809="Concluída"),IF(OR($J809="",$K809="",$K809&lt;=$J809),"Concluída","Concluída com atraso"),IF($J809="","Na carteira",IF($J809&lt;TODAY(),"VENCIDA",IF($L809="Em execução","Em execução",IF($J809=TODAY(),"Hoje","Programada")))))))</f>
        <v/>
      </c>
      <c r="Q809" s="31" t="str">
        <f aca="false">IF($E809="","",IF(ISNUMBER(SEARCH("(externo)",$G809)),"Terceirizada","Interna"))</f>
        <v/>
      </c>
      <c r="R809" s="36" t="str">
        <f aca="false">IF($J809="","",IF($M809="",$J809,$M809))</f>
        <v/>
      </c>
      <c r="S809" s="31" t="str">
        <f aca="false">IF($E809="","",IF(OR($K809="",$J809=""),0,IF($K809&lt;=$J809,1,0)))</f>
        <v/>
      </c>
      <c r="T809" s="31" t="str">
        <f aca="false">IF($E809="","",IF(OR($K809="",$R809=""),0,IF($K809&lt;=$R809,1,0)))</f>
        <v/>
      </c>
      <c r="U809" s="38" t="str">
        <f aca="false">IF(OR($K809="",$J809=""),"",MAX(0,$K809-$J809))</f>
        <v/>
      </c>
      <c r="V809" s="31" t="str">
        <f aca="false">IF($E809="","",IF(AND($M809&lt;&gt;"",$J809&lt;&gt;"",$M809&lt;&gt;$J809),1,0))</f>
        <v/>
      </c>
      <c r="W809" s="39" t="str">
        <f aca="false">IF($E809="","",IF($L809="Cancelada",0,IF(OR($K809&lt;&gt;"",$L809="Concluída"),1,0)))</f>
        <v/>
      </c>
    </row>
    <row r="810" customFormat="false" ht="15" hidden="false" customHeight="true" outlineLevel="0" collapsed="false">
      <c r="A810" s="31" t="str">
        <f aca="false">IF($E810="","",COUNTA($E$5:$E810))</f>
        <v/>
      </c>
      <c r="B810" s="32"/>
      <c r="C810" s="32"/>
      <c r="D810" s="32"/>
      <c r="E810" s="32"/>
      <c r="F810" s="33"/>
      <c r="G810" s="32"/>
      <c r="H810" s="34"/>
      <c r="I810" s="35"/>
      <c r="J810" s="36" t="str">
        <f aca="false">IF(OR($H810="",$I810=""),"",$H810+MATCH($I810,Listas!$F$5:$F$11,0)-1)</f>
        <v/>
      </c>
      <c r="K810" s="37"/>
      <c r="L810" s="33"/>
      <c r="M810" s="37"/>
      <c r="N810" s="32"/>
      <c r="O810" s="32"/>
      <c r="P810" s="38" t="str">
        <f aca="true">IF($E810="","",IF($L810="Cancelada","Cancelada",IF(OR($K810&lt;&gt;"",$L810="Concluída"),IF(OR($J810="",$K810="",$K810&lt;=$J810),"Concluída","Concluída com atraso"),IF($J810="","Na carteira",IF($J810&lt;TODAY(),"VENCIDA",IF($L810="Em execução","Em execução",IF($J810=TODAY(),"Hoje","Programada")))))))</f>
        <v/>
      </c>
      <c r="Q810" s="31" t="str">
        <f aca="false">IF($E810="","",IF(ISNUMBER(SEARCH("(externo)",$G810)),"Terceirizada","Interna"))</f>
        <v/>
      </c>
      <c r="R810" s="36" t="str">
        <f aca="false">IF($J810="","",IF($M810="",$J810,$M810))</f>
        <v/>
      </c>
      <c r="S810" s="31" t="str">
        <f aca="false">IF($E810="","",IF(OR($K810="",$J810=""),0,IF($K810&lt;=$J810,1,0)))</f>
        <v/>
      </c>
      <c r="T810" s="31" t="str">
        <f aca="false">IF($E810="","",IF(OR($K810="",$R810=""),0,IF($K810&lt;=$R810,1,0)))</f>
        <v/>
      </c>
      <c r="U810" s="38" t="str">
        <f aca="false">IF(OR($K810="",$J810=""),"",MAX(0,$K810-$J810))</f>
        <v/>
      </c>
      <c r="V810" s="31" t="str">
        <f aca="false">IF($E810="","",IF(AND($M810&lt;&gt;"",$J810&lt;&gt;"",$M810&lt;&gt;$J810),1,0))</f>
        <v/>
      </c>
      <c r="W810" s="39" t="str">
        <f aca="false">IF($E810="","",IF($L810="Cancelada",0,IF(OR($K810&lt;&gt;"",$L810="Concluída"),1,0)))</f>
        <v/>
      </c>
    </row>
    <row r="811" customFormat="false" ht="15" hidden="false" customHeight="true" outlineLevel="0" collapsed="false">
      <c r="A811" s="31" t="str">
        <f aca="false">IF($E811="","",COUNTA($E$5:$E811))</f>
        <v/>
      </c>
      <c r="B811" s="32"/>
      <c r="C811" s="32"/>
      <c r="D811" s="32"/>
      <c r="E811" s="32"/>
      <c r="F811" s="33"/>
      <c r="G811" s="32"/>
      <c r="H811" s="34"/>
      <c r="I811" s="35"/>
      <c r="J811" s="36" t="str">
        <f aca="false">IF(OR($H811="",$I811=""),"",$H811+MATCH($I811,Listas!$F$5:$F$11,0)-1)</f>
        <v/>
      </c>
      <c r="K811" s="37"/>
      <c r="L811" s="33"/>
      <c r="M811" s="37"/>
      <c r="N811" s="32"/>
      <c r="O811" s="32"/>
      <c r="P811" s="38" t="str">
        <f aca="true">IF($E811="","",IF($L811="Cancelada","Cancelada",IF(OR($K811&lt;&gt;"",$L811="Concluída"),IF(OR($J811="",$K811="",$K811&lt;=$J811),"Concluída","Concluída com atraso"),IF($J811="","Na carteira",IF($J811&lt;TODAY(),"VENCIDA",IF($L811="Em execução","Em execução",IF($J811=TODAY(),"Hoje","Programada")))))))</f>
        <v/>
      </c>
      <c r="Q811" s="31" t="str">
        <f aca="false">IF($E811="","",IF(ISNUMBER(SEARCH("(externo)",$G811)),"Terceirizada","Interna"))</f>
        <v/>
      </c>
      <c r="R811" s="36" t="str">
        <f aca="false">IF($J811="","",IF($M811="",$J811,$M811))</f>
        <v/>
      </c>
      <c r="S811" s="31" t="str">
        <f aca="false">IF($E811="","",IF(OR($K811="",$J811=""),0,IF($K811&lt;=$J811,1,0)))</f>
        <v/>
      </c>
      <c r="T811" s="31" t="str">
        <f aca="false">IF($E811="","",IF(OR($K811="",$R811=""),0,IF($K811&lt;=$R811,1,0)))</f>
        <v/>
      </c>
      <c r="U811" s="38" t="str">
        <f aca="false">IF(OR($K811="",$J811=""),"",MAX(0,$K811-$J811))</f>
        <v/>
      </c>
      <c r="V811" s="31" t="str">
        <f aca="false">IF($E811="","",IF(AND($M811&lt;&gt;"",$J811&lt;&gt;"",$M811&lt;&gt;$J811),1,0))</f>
        <v/>
      </c>
      <c r="W811" s="39" t="str">
        <f aca="false">IF($E811="","",IF($L811="Cancelada",0,IF(OR($K811&lt;&gt;"",$L811="Concluída"),1,0)))</f>
        <v/>
      </c>
    </row>
    <row r="812" customFormat="false" ht="15" hidden="false" customHeight="true" outlineLevel="0" collapsed="false">
      <c r="A812" s="31" t="str">
        <f aca="false">IF($E812="","",COUNTA($E$5:$E812))</f>
        <v/>
      </c>
      <c r="B812" s="32"/>
      <c r="C812" s="32"/>
      <c r="D812" s="32"/>
      <c r="E812" s="32"/>
      <c r="F812" s="33"/>
      <c r="G812" s="32"/>
      <c r="H812" s="34"/>
      <c r="I812" s="35"/>
      <c r="J812" s="36" t="str">
        <f aca="false">IF(OR($H812="",$I812=""),"",$H812+MATCH($I812,Listas!$F$5:$F$11,0)-1)</f>
        <v/>
      </c>
      <c r="K812" s="37"/>
      <c r="L812" s="33"/>
      <c r="M812" s="37"/>
      <c r="N812" s="32"/>
      <c r="O812" s="32"/>
      <c r="P812" s="38" t="str">
        <f aca="true">IF($E812="","",IF($L812="Cancelada","Cancelada",IF(OR($K812&lt;&gt;"",$L812="Concluída"),IF(OR($J812="",$K812="",$K812&lt;=$J812),"Concluída","Concluída com atraso"),IF($J812="","Na carteira",IF($J812&lt;TODAY(),"VENCIDA",IF($L812="Em execução","Em execução",IF($J812=TODAY(),"Hoje","Programada")))))))</f>
        <v/>
      </c>
      <c r="Q812" s="31" t="str">
        <f aca="false">IF($E812="","",IF(ISNUMBER(SEARCH("(externo)",$G812)),"Terceirizada","Interna"))</f>
        <v/>
      </c>
      <c r="R812" s="36" t="str">
        <f aca="false">IF($J812="","",IF($M812="",$J812,$M812))</f>
        <v/>
      </c>
      <c r="S812" s="31" t="str">
        <f aca="false">IF($E812="","",IF(OR($K812="",$J812=""),0,IF($K812&lt;=$J812,1,0)))</f>
        <v/>
      </c>
      <c r="T812" s="31" t="str">
        <f aca="false">IF($E812="","",IF(OR($K812="",$R812=""),0,IF($K812&lt;=$R812,1,0)))</f>
        <v/>
      </c>
      <c r="U812" s="38" t="str">
        <f aca="false">IF(OR($K812="",$J812=""),"",MAX(0,$K812-$J812))</f>
        <v/>
      </c>
      <c r="V812" s="31" t="str">
        <f aca="false">IF($E812="","",IF(AND($M812&lt;&gt;"",$J812&lt;&gt;"",$M812&lt;&gt;$J812),1,0))</f>
        <v/>
      </c>
      <c r="W812" s="39" t="str">
        <f aca="false">IF($E812="","",IF($L812="Cancelada",0,IF(OR($K812&lt;&gt;"",$L812="Concluída"),1,0)))</f>
        <v/>
      </c>
    </row>
    <row r="813" customFormat="false" ht="15" hidden="false" customHeight="true" outlineLevel="0" collapsed="false">
      <c r="A813" s="31" t="str">
        <f aca="false">IF($E813="","",COUNTA($E$5:$E813))</f>
        <v/>
      </c>
      <c r="B813" s="32"/>
      <c r="C813" s="32"/>
      <c r="D813" s="32"/>
      <c r="E813" s="32"/>
      <c r="F813" s="33"/>
      <c r="G813" s="32"/>
      <c r="H813" s="34"/>
      <c r="I813" s="35"/>
      <c r="J813" s="36" t="str">
        <f aca="false">IF(OR($H813="",$I813=""),"",$H813+MATCH($I813,Listas!$F$5:$F$11,0)-1)</f>
        <v/>
      </c>
      <c r="K813" s="37"/>
      <c r="L813" s="33"/>
      <c r="M813" s="37"/>
      <c r="N813" s="32"/>
      <c r="O813" s="32"/>
      <c r="P813" s="38" t="str">
        <f aca="true">IF($E813="","",IF($L813="Cancelada","Cancelada",IF(OR($K813&lt;&gt;"",$L813="Concluída"),IF(OR($J813="",$K813="",$K813&lt;=$J813),"Concluída","Concluída com atraso"),IF($J813="","Na carteira",IF($J813&lt;TODAY(),"VENCIDA",IF($L813="Em execução","Em execução",IF($J813=TODAY(),"Hoje","Programada")))))))</f>
        <v/>
      </c>
      <c r="Q813" s="31" t="str">
        <f aca="false">IF($E813="","",IF(ISNUMBER(SEARCH("(externo)",$G813)),"Terceirizada","Interna"))</f>
        <v/>
      </c>
      <c r="R813" s="36" t="str">
        <f aca="false">IF($J813="","",IF($M813="",$J813,$M813))</f>
        <v/>
      </c>
      <c r="S813" s="31" t="str">
        <f aca="false">IF($E813="","",IF(OR($K813="",$J813=""),0,IF($K813&lt;=$J813,1,0)))</f>
        <v/>
      </c>
      <c r="T813" s="31" t="str">
        <f aca="false">IF($E813="","",IF(OR($K813="",$R813=""),0,IF($K813&lt;=$R813,1,0)))</f>
        <v/>
      </c>
      <c r="U813" s="38" t="str">
        <f aca="false">IF(OR($K813="",$J813=""),"",MAX(0,$K813-$J813))</f>
        <v/>
      </c>
      <c r="V813" s="31" t="str">
        <f aca="false">IF($E813="","",IF(AND($M813&lt;&gt;"",$J813&lt;&gt;"",$M813&lt;&gt;$J813),1,0))</f>
        <v/>
      </c>
      <c r="W813" s="39" t="str">
        <f aca="false">IF($E813="","",IF($L813="Cancelada",0,IF(OR($K813&lt;&gt;"",$L813="Concluída"),1,0)))</f>
        <v/>
      </c>
    </row>
    <row r="814" customFormat="false" ht="15" hidden="false" customHeight="true" outlineLevel="0" collapsed="false">
      <c r="A814" s="31" t="str">
        <f aca="false">IF($E814="","",COUNTA($E$5:$E814))</f>
        <v/>
      </c>
      <c r="B814" s="32"/>
      <c r="C814" s="32"/>
      <c r="D814" s="32"/>
      <c r="E814" s="32"/>
      <c r="F814" s="33"/>
      <c r="G814" s="32"/>
      <c r="H814" s="34"/>
      <c r="I814" s="35"/>
      <c r="J814" s="36" t="str">
        <f aca="false">IF(OR($H814="",$I814=""),"",$H814+MATCH($I814,Listas!$F$5:$F$11,0)-1)</f>
        <v/>
      </c>
      <c r="K814" s="37"/>
      <c r="L814" s="33"/>
      <c r="M814" s="37"/>
      <c r="N814" s="32"/>
      <c r="O814" s="32"/>
      <c r="P814" s="38" t="str">
        <f aca="true">IF($E814="","",IF($L814="Cancelada","Cancelada",IF(OR($K814&lt;&gt;"",$L814="Concluída"),IF(OR($J814="",$K814="",$K814&lt;=$J814),"Concluída","Concluída com atraso"),IF($J814="","Na carteira",IF($J814&lt;TODAY(),"VENCIDA",IF($L814="Em execução","Em execução",IF($J814=TODAY(),"Hoje","Programada")))))))</f>
        <v/>
      </c>
      <c r="Q814" s="31" t="str">
        <f aca="false">IF($E814="","",IF(ISNUMBER(SEARCH("(externo)",$G814)),"Terceirizada","Interna"))</f>
        <v/>
      </c>
      <c r="R814" s="36" t="str">
        <f aca="false">IF($J814="","",IF($M814="",$J814,$M814))</f>
        <v/>
      </c>
      <c r="S814" s="31" t="str">
        <f aca="false">IF($E814="","",IF(OR($K814="",$J814=""),0,IF($K814&lt;=$J814,1,0)))</f>
        <v/>
      </c>
      <c r="T814" s="31" t="str">
        <f aca="false">IF($E814="","",IF(OR($K814="",$R814=""),0,IF($K814&lt;=$R814,1,0)))</f>
        <v/>
      </c>
      <c r="U814" s="38" t="str">
        <f aca="false">IF(OR($K814="",$J814=""),"",MAX(0,$K814-$J814))</f>
        <v/>
      </c>
      <c r="V814" s="31" t="str">
        <f aca="false">IF($E814="","",IF(AND($M814&lt;&gt;"",$J814&lt;&gt;"",$M814&lt;&gt;$J814),1,0))</f>
        <v/>
      </c>
      <c r="W814" s="39" t="str">
        <f aca="false">IF($E814="","",IF($L814="Cancelada",0,IF(OR($K814&lt;&gt;"",$L814="Concluída"),1,0)))</f>
        <v/>
      </c>
    </row>
    <row r="815" customFormat="false" ht="15" hidden="false" customHeight="true" outlineLevel="0" collapsed="false">
      <c r="A815" s="31" t="str">
        <f aca="false">IF($E815="","",COUNTA($E$5:$E815))</f>
        <v/>
      </c>
      <c r="B815" s="32"/>
      <c r="C815" s="32"/>
      <c r="D815" s="32"/>
      <c r="E815" s="32"/>
      <c r="F815" s="33"/>
      <c r="G815" s="32"/>
      <c r="H815" s="34"/>
      <c r="I815" s="35"/>
      <c r="J815" s="36" t="str">
        <f aca="false">IF(OR($H815="",$I815=""),"",$H815+MATCH($I815,Listas!$F$5:$F$11,0)-1)</f>
        <v/>
      </c>
      <c r="K815" s="37"/>
      <c r="L815" s="33"/>
      <c r="M815" s="37"/>
      <c r="N815" s="32"/>
      <c r="O815" s="32"/>
      <c r="P815" s="38" t="str">
        <f aca="true">IF($E815="","",IF($L815="Cancelada","Cancelada",IF(OR($K815&lt;&gt;"",$L815="Concluída"),IF(OR($J815="",$K815="",$K815&lt;=$J815),"Concluída","Concluída com atraso"),IF($J815="","Na carteira",IF($J815&lt;TODAY(),"VENCIDA",IF($L815="Em execução","Em execução",IF($J815=TODAY(),"Hoje","Programada")))))))</f>
        <v/>
      </c>
      <c r="Q815" s="31" t="str">
        <f aca="false">IF($E815="","",IF(ISNUMBER(SEARCH("(externo)",$G815)),"Terceirizada","Interna"))</f>
        <v/>
      </c>
      <c r="R815" s="36" t="str">
        <f aca="false">IF($J815="","",IF($M815="",$J815,$M815))</f>
        <v/>
      </c>
      <c r="S815" s="31" t="str">
        <f aca="false">IF($E815="","",IF(OR($K815="",$J815=""),0,IF($K815&lt;=$J815,1,0)))</f>
        <v/>
      </c>
      <c r="T815" s="31" t="str">
        <f aca="false">IF($E815="","",IF(OR($K815="",$R815=""),0,IF($K815&lt;=$R815,1,0)))</f>
        <v/>
      </c>
      <c r="U815" s="38" t="str">
        <f aca="false">IF(OR($K815="",$J815=""),"",MAX(0,$K815-$J815))</f>
        <v/>
      </c>
      <c r="V815" s="31" t="str">
        <f aca="false">IF($E815="","",IF(AND($M815&lt;&gt;"",$J815&lt;&gt;"",$M815&lt;&gt;$J815),1,0))</f>
        <v/>
      </c>
      <c r="W815" s="39" t="str">
        <f aca="false">IF($E815="","",IF($L815="Cancelada",0,IF(OR($K815&lt;&gt;"",$L815="Concluída"),1,0)))</f>
        <v/>
      </c>
    </row>
    <row r="816" customFormat="false" ht="15" hidden="false" customHeight="true" outlineLevel="0" collapsed="false">
      <c r="A816" s="31" t="str">
        <f aca="false">IF($E816="","",COUNTA($E$5:$E816))</f>
        <v/>
      </c>
      <c r="B816" s="32"/>
      <c r="C816" s="32"/>
      <c r="D816" s="32"/>
      <c r="E816" s="32"/>
      <c r="F816" s="33"/>
      <c r="G816" s="32"/>
      <c r="H816" s="34"/>
      <c r="I816" s="35"/>
      <c r="J816" s="36" t="str">
        <f aca="false">IF(OR($H816="",$I816=""),"",$H816+MATCH($I816,Listas!$F$5:$F$11,0)-1)</f>
        <v/>
      </c>
      <c r="K816" s="37"/>
      <c r="L816" s="33"/>
      <c r="M816" s="37"/>
      <c r="N816" s="32"/>
      <c r="O816" s="32"/>
      <c r="P816" s="38" t="str">
        <f aca="true">IF($E816="","",IF($L816="Cancelada","Cancelada",IF(OR($K816&lt;&gt;"",$L816="Concluída"),IF(OR($J816="",$K816="",$K816&lt;=$J816),"Concluída","Concluída com atraso"),IF($J816="","Na carteira",IF($J816&lt;TODAY(),"VENCIDA",IF($L816="Em execução","Em execução",IF($J816=TODAY(),"Hoje","Programada")))))))</f>
        <v/>
      </c>
      <c r="Q816" s="31" t="str">
        <f aca="false">IF($E816="","",IF(ISNUMBER(SEARCH("(externo)",$G816)),"Terceirizada","Interna"))</f>
        <v/>
      </c>
      <c r="R816" s="36" t="str">
        <f aca="false">IF($J816="","",IF($M816="",$J816,$M816))</f>
        <v/>
      </c>
      <c r="S816" s="31" t="str">
        <f aca="false">IF($E816="","",IF(OR($K816="",$J816=""),0,IF($K816&lt;=$J816,1,0)))</f>
        <v/>
      </c>
      <c r="T816" s="31" t="str">
        <f aca="false">IF($E816="","",IF(OR($K816="",$R816=""),0,IF($K816&lt;=$R816,1,0)))</f>
        <v/>
      </c>
      <c r="U816" s="38" t="str">
        <f aca="false">IF(OR($K816="",$J816=""),"",MAX(0,$K816-$J816))</f>
        <v/>
      </c>
      <c r="V816" s="31" t="str">
        <f aca="false">IF($E816="","",IF(AND($M816&lt;&gt;"",$J816&lt;&gt;"",$M816&lt;&gt;$J816),1,0))</f>
        <v/>
      </c>
      <c r="W816" s="39" t="str">
        <f aca="false">IF($E816="","",IF($L816="Cancelada",0,IF(OR($K816&lt;&gt;"",$L816="Concluída"),1,0)))</f>
        <v/>
      </c>
    </row>
    <row r="817" customFormat="false" ht="15" hidden="false" customHeight="true" outlineLevel="0" collapsed="false">
      <c r="A817" s="31" t="str">
        <f aca="false">IF($E817="","",COUNTA($E$5:$E817))</f>
        <v/>
      </c>
      <c r="B817" s="32"/>
      <c r="C817" s="32"/>
      <c r="D817" s="32"/>
      <c r="E817" s="32"/>
      <c r="F817" s="33"/>
      <c r="G817" s="32"/>
      <c r="H817" s="34"/>
      <c r="I817" s="35"/>
      <c r="J817" s="36" t="str">
        <f aca="false">IF(OR($H817="",$I817=""),"",$H817+MATCH($I817,Listas!$F$5:$F$11,0)-1)</f>
        <v/>
      </c>
      <c r="K817" s="37"/>
      <c r="L817" s="33"/>
      <c r="M817" s="37"/>
      <c r="N817" s="32"/>
      <c r="O817" s="32"/>
      <c r="P817" s="38" t="str">
        <f aca="true">IF($E817="","",IF($L817="Cancelada","Cancelada",IF(OR($K817&lt;&gt;"",$L817="Concluída"),IF(OR($J817="",$K817="",$K817&lt;=$J817),"Concluída","Concluída com atraso"),IF($J817="","Na carteira",IF($J817&lt;TODAY(),"VENCIDA",IF($L817="Em execução","Em execução",IF($J817=TODAY(),"Hoje","Programada")))))))</f>
        <v/>
      </c>
      <c r="Q817" s="31" t="str">
        <f aca="false">IF($E817="","",IF(ISNUMBER(SEARCH("(externo)",$G817)),"Terceirizada","Interna"))</f>
        <v/>
      </c>
      <c r="R817" s="36" t="str">
        <f aca="false">IF($J817="","",IF($M817="",$J817,$M817))</f>
        <v/>
      </c>
      <c r="S817" s="31" t="str">
        <f aca="false">IF($E817="","",IF(OR($K817="",$J817=""),0,IF($K817&lt;=$J817,1,0)))</f>
        <v/>
      </c>
      <c r="T817" s="31" t="str">
        <f aca="false">IF($E817="","",IF(OR($K817="",$R817=""),0,IF($K817&lt;=$R817,1,0)))</f>
        <v/>
      </c>
      <c r="U817" s="38" t="str">
        <f aca="false">IF(OR($K817="",$J817=""),"",MAX(0,$K817-$J817))</f>
        <v/>
      </c>
      <c r="V817" s="31" t="str">
        <f aca="false">IF($E817="","",IF(AND($M817&lt;&gt;"",$J817&lt;&gt;"",$M817&lt;&gt;$J817),1,0))</f>
        <v/>
      </c>
      <c r="W817" s="39" t="str">
        <f aca="false">IF($E817="","",IF($L817="Cancelada",0,IF(OR($K817&lt;&gt;"",$L817="Concluída"),1,0)))</f>
        <v/>
      </c>
    </row>
    <row r="818" customFormat="false" ht="15" hidden="false" customHeight="true" outlineLevel="0" collapsed="false">
      <c r="A818" s="31" t="str">
        <f aca="false">IF($E818="","",COUNTA($E$5:$E818))</f>
        <v/>
      </c>
      <c r="B818" s="32"/>
      <c r="C818" s="32"/>
      <c r="D818" s="32"/>
      <c r="E818" s="32"/>
      <c r="F818" s="33"/>
      <c r="G818" s="32"/>
      <c r="H818" s="34"/>
      <c r="I818" s="35"/>
      <c r="J818" s="36" t="str">
        <f aca="false">IF(OR($H818="",$I818=""),"",$H818+MATCH($I818,Listas!$F$5:$F$11,0)-1)</f>
        <v/>
      </c>
      <c r="K818" s="37"/>
      <c r="L818" s="33"/>
      <c r="M818" s="37"/>
      <c r="N818" s="32"/>
      <c r="O818" s="32"/>
      <c r="P818" s="38" t="str">
        <f aca="true">IF($E818="","",IF($L818="Cancelada","Cancelada",IF(OR($K818&lt;&gt;"",$L818="Concluída"),IF(OR($J818="",$K818="",$K818&lt;=$J818),"Concluída","Concluída com atraso"),IF($J818="","Na carteira",IF($J818&lt;TODAY(),"VENCIDA",IF($L818="Em execução","Em execução",IF($J818=TODAY(),"Hoje","Programada")))))))</f>
        <v/>
      </c>
      <c r="Q818" s="31" t="str">
        <f aca="false">IF($E818="","",IF(ISNUMBER(SEARCH("(externo)",$G818)),"Terceirizada","Interna"))</f>
        <v/>
      </c>
      <c r="R818" s="36" t="str">
        <f aca="false">IF($J818="","",IF($M818="",$J818,$M818))</f>
        <v/>
      </c>
      <c r="S818" s="31" t="str">
        <f aca="false">IF($E818="","",IF(OR($K818="",$J818=""),0,IF($K818&lt;=$J818,1,0)))</f>
        <v/>
      </c>
      <c r="T818" s="31" t="str">
        <f aca="false">IF($E818="","",IF(OR($K818="",$R818=""),0,IF($K818&lt;=$R818,1,0)))</f>
        <v/>
      </c>
      <c r="U818" s="38" t="str">
        <f aca="false">IF(OR($K818="",$J818=""),"",MAX(0,$K818-$J818))</f>
        <v/>
      </c>
      <c r="V818" s="31" t="str">
        <f aca="false">IF($E818="","",IF(AND($M818&lt;&gt;"",$J818&lt;&gt;"",$M818&lt;&gt;$J818),1,0))</f>
        <v/>
      </c>
      <c r="W818" s="39" t="str">
        <f aca="false">IF($E818="","",IF($L818="Cancelada",0,IF(OR($K818&lt;&gt;"",$L818="Concluída"),1,0)))</f>
        <v/>
      </c>
    </row>
    <row r="819" customFormat="false" ht="15" hidden="false" customHeight="true" outlineLevel="0" collapsed="false">
      <c r="A819" s="31" t="str">
        <f aca="false">IF($E819="","",COUNTA($E$5:$E819))</f>
        <v/>
      </c>
      <c r="B819" s="32"/>
      <c r="C819" s="32"/>
      <c r="D819" s="32"/>
      <c r="E819" s="32"/>
      <c r="F819" s="33"/>
      <c r="G819" s="32"/>
      <c r="H819" s="34"/>
      <c r="I819" s="35"/>
      <c r="J819" s="36" t="str">
        <f aca="false">IF(OR($H819="",$I819=""),"",$H819+MATCH($I819,Listas!$F$5:$F$11,0)-1)</f>
        <v/>
      </c>
      <c r="K819" s="37"/>
      <c r="L819" s="33"/>
      <c r="M819" s="37"/>
      <c r="N819" s="32"/>
      <c r="O819" s="32"/>
      <c r="P819" s="38" t="str">
        <f aca="true">IF($E819="","",IF($L819="Cancelada","Cancelada",IF(OR($K819&lt;&gt;"",$L819="Concluída"),IF(OR($J819="",$K819="",$K819&lt;=$J819),"Concluída","Concluída com atraso"),IF($J819="","Na carteira",IF($J819&lt;TODAY(),"VENCIDA",IF($L819="Em execução","Em execução",IF($J819=TODAY(),"Hoje","Programada")))))))</f>
        <v/>
      </c>
      <c r="Q819" s="31" t="str">
        <f aca="false">IF($E819="","",IF(ISNUMBER(SEARCH("(externo)",$G819)),"Terceirizada","Interna"))</f>
        <v/>
      </c>
      <c r="R819" s="36" t="str">
        <f aca="false">IF($J819="","",IF($M819="",$J819,$M819))</f>
        <v/>
      </c>
      <c r="S819" s="31" t="str">
        <f aca="false">IF($E819="","",IF(OR($K819="",$J819=""),0,IF($K819&lt;=$J819,1,0)))</f>
        <v/>
      </c>
      <c r="T819" s="31" t="str">
        <f aca="false">IF($E819="","",IF(OR($K819="",$R819=""),0,IF($K819&lt;=$R819,1,0)))</f>
        <v/>
      </c>
      <c r="U819" s="38" t="str">
        <f aca="false">IF(OR($K819="",$J819=""),"",MAX(0,$K819-$J819))</f>
        <v/>
      </c>
      <c r="V819" s="31" t="str">
        <f aca="false">IF($E819="","",IF(AND($M819&lt;&gt;"",$J819&lt;&gt;"",$M819&lt;&gt;$J819),1,0))</f>
        <v/>
      </c>
      <c r="W819" s="39" t="str">
        <f aca="false">IF($E819="","",IF($L819="Cancelada",0,IF(OR($K819&lt;&gt;"",$L819="Concluída"),1,0)))</f>
        <v/>
      </c>
    </row>
    <row r="820" customFormat="false" ht="15" hidden="false" customHeight="true" outlineLevel="0" collapsed="false">
      <c r="A820" s="31" t="str">
        <f aca="false">IF($E820="","",COUNTA($E$5:$E820))</f>
        <v/>
      </c>
      <c r="B820" s="32"/>
      <c r="C820" s="32"/>
      <c r="D820" s="32"/>
      <c r="E820" s="32"/>
      <c r="F820" s="33"/>
      <c r="G820" s="32"/>
      <c r="H820" s="34"/>
      <c r="I820" s="35"/>
      <c r="J820" s="36" t="str">
        <f aca="false">IF(OR($H820="",$I820=""),"",$H820+MATCH($I820,Listas!$F$5:$F$11,0)-1)</f>
        <v/>
      </c>
      <c r="K820" s="37"/>
      <c r="L820" s="33"/>
      <c r="M820" s="37"/>
      <c r="N820" s="32"/>
      <c r="O820" s="32"/>
      <c r="P820" s="38" t="str">
        <f aca="true">IF($E820="","",IF($L820="Cancelada","Cancelada",IF(OR($K820&lt;&gt;"",$L820="Concluída"),IF(OR($J820="",$K820="",$K820&lt;=$J820),"Concluída","Concluída com atraso"),IF($J820="","Na carteira",IF($J820&lt;TODAY(),"VENCIDA",IF($L820="Em execução","Em execução",IF($J820=TODAY(),"Hoje","Programada")))))))</f>
        <v/>
      </c>
      <c r="Q820" s="31" t="str">
        <f aca="false">IF($E820="","",IF(ISNUMBER(SEARCH("(externo)",$G820)),"Terceirizada","Interna"))</f>
        <v/>
      </c>
      <c r="R820" s="36" t="str">
        <f aca="false">IF($J820="","",IF($M820="",$J820,$M820))</f>
        <v/>
      </c>
      <c r="S820" s="31" t="str">
        <f aca="false">IF($E820="","",IF(OR($K820="",$J820=""),0,IF($K820&lt;=$J820,1,0)))</f>
        <v/>
      </c>
      <c r="T820" s="31" t="str">
        <f aca="false">IF($E820="","",IF(OR($K820="",$R820=""),0,IF($K820&lt;=$R820,1,0)))</f>
        <v/>
      </c>
      <c r="U820" s="38" t="str">
        <f aca="false">IF(OR($K820="",$J820=""),"",MAX(0,$K820-$J820))</f>
        <v/>
      </c>
      <c r="V820" s="31" t="str">
        <f aca="false">IF($E820="","",IF(AND($M820&lt;&gt;"",$J820&lt;&gt;"",$M820&lt;&gt;$J820),1,0))</f>
        <v/>
      </c>
      <c r="W820" s="39" t="str">
        <f aca="false">IF($E820="","",IF($L820="Cancelada",0,IF(OR($K820&lt;&gt;"",$L820="Concluída"),1,0)))</f>
        <v/>
      </c>
    </row>
    <row r="821" customFormat="false" ht="15" hidden="false" customHeight="true" outlineLevel="0" collapsed="false">
      <c r="A821" s="31" t="str">
        <f aca="false">IF($E821="","",COUNTA($E$5:$E821))</f>
        <v/>
      </c>
      <c r="B821" s="32"/>
      <c r="C821" s="32"/>
      <c r="D821" s="32"/>
      <c r="E821" s="32"/>
      <c r="F821" s="33"/>
      <c r="G821" s="32"/>
      <c r="H821" s="34"/>
      <c r="I821" s="35"/>
      <c r="J821" s="36" t="str">
        <f aca="false">IF(OR($H821="",$I821=""),"",$H821+MATCH($I821,Listas!$F$5:$F$11,0)-1)</f>
        <v/>
      </c>
      <c r="K821" s="37"/>
      <c r="L821" s="33"/>
      <c r="M821" s="37"/>
      <c r="N821" s="32"/>
      <c r="O821" s="32"/>
      <c r="P821" s="38" t="str">
        <f aca="true">IF($E821="","",IF($L821="Cancelada","Cancelada",IF(OR($K821&lt;&gt;"",$L821="Concluída"),IF(OR($J821="",$K821="",$K821&lt;=$J821),"Concluída","Concluída com atraso"),IF($J821="","Na carteira",IF($J821&lt;TODAY(),"VENCIDA",IF($L821="Em execução","Em execução",IF($J821=TODAY(),"Hoje","Programada")))))))</f>
        <v/>
      </c>
      <c r="Q821" s="31" t="str">
        <f aca="false">IF($E821="","",IF(ISNUMBER(SEARCH("(externo)",$G821)),"Terceirizada","Interna"))</f>
        <v/>
      </c>
      <c r="R821" s="36" t="str">
        <f aca="false">IF($J821="","",IF($M821="",$J821,$M821))</f>
        <v/>
      </c>
      <c r="S821" s="31" t="str">
        <f aca="false">IF($E821="","",IF(OR($K821="",$J821=""),0,IF($K821&lt;=$J821,1,0)))</f>
        <v/>
      </c>
      <c r="T821" s="31" t="str">
        <f aca="false">IF($E821="","",IF(OR($K821="",$R821=""),0,IF($K821&lt;=$R821,1,0)))</f>
        <v/>
      </c>
      <c r="U821" s="38" t="str">
        <f aca="false">IF(OR($K821="",$J821=""),"",MAX(0,$K821-$J821))</f>
        <v/>
      </c>
      <c r="V821" s="31" t="str">
        <f aca="false">IF($E821="","",IF(AND($M821&lt;&gt;"",$J821&lt;&gt;"",$M821&lt;&gt;$J821),1,0))</f>
        <v/>
      </c>
      <c r="W821" s="39" t="str">
        <f aca="false">IF($E821="","",IF($L821="Cancelada",0,IF(OR($K821&lt;&gt;"",$L821="Concluída"),1,0)))</f>
        <v/>
      </c>
    </row>
    <row r="822" customFormat="false" ht="15" hidden="false" customHeight="true" outlineLevel="0" collapsed="false">
      <c r="A822" s="31" t="str">
        <f aca="false">IF($E822="","",COUNTA($E$5:$E822))</f>
        <v/>
      </c>
      <c r="B822" s="32"/>
      <c r="C822" s="32"/>
      <c r="D822" s="32"/>
      <c r="E822" s="32"/>
      <c r="F822" s="33"/>
      <c r="G822" s="32"/>
      <c r="H822" s="34"/>
      <c r="I822" s="35"/>
      <c r="J822" s="36" t="str">
        <f aca="false">IF(OR($H822="",$I822=""),"",$H822+MATCH($I822,Listas!$F$5:$F$11,0)-1)</f>
        <v/>
      </c>
      <c r="K822" s="37"/>
      <c r="L822" s="33"/>
      <c r="M822" s="37"/>
      <c r="N822" s="32"/>
      <c r="O822" s="32"/>
      <c r="P822" s="38" t="str">
        <f aca="true">IF($E822="","",IF($L822="Cancelada","Cancelada",IF(OR($K822&lt;&gt;"",$L822="Concluída"),IF(OR($J822="",$K822="",$K822&lt;=$J822),"Concluída","Concluída com atraso"),IF($J822="","Na carteira",IF($J822&lt;TODAY(),"VENCIDA",IF($L822="Em execução","Em execução",IF($J822=TODAY(),"Hoje","Programada")))))))</f>
        <v/>
      </c>
      <c r="Q822" s="31" t="str">
        <f aca="false">IF($E822="","",IF(ISNUMBER(SEARCH("(externo)",$G822)),"Terceirizada","Interna"))</f>
        <v/>
      </c>
      <c r="R822" s="36" t="str">
        <f aca="false">IF($J822="","",IF($M822="",$J822,$M822))</f>
        <v/>
      </c>
      <c r="S822" s="31" t="str">
        <f aca="false">IF($E822="","",IF(OR($K822="",$J822=""),0,IF($K822&lt;=$J822,1,0)))</f>
        <v/>
      </c>
      <c r="T822" s="31" t="str">
        <f aca="false">IF($E822="","",IF(OR($K822="",$R822=""),0,IF($K822&lt;=$R822,1,0)))</f>
        <v/>
      </c>
      <c r="U822" s="38" t="str">
        <f aca="false">IF(OR($K822="",$J822=""),"",MAX(0,$K822-$J822))</f>
        <v/>
      </c>
      <c r="V822" s="31" t="str">
        <f aca="false">IF($E822="","",IF(AND($M822&lt;&gt;"",$J822&lt;&gt;"",$M822&lt;&gt;$J822),1,0))</f>
        <v/>
      </c>
      <c r="W822" s="39" t="str">
        <f aca="false">IF($E822="","",IF($L822="Cancelada",0,IF(OR($K822&lt;&gt;"",$L822="Concluída"),1,0)))</f>
        <v/>
      </c>
    </row>
    <row r="823" customFormat="false" ht="15" hidden="false" customHeight="true" outlineLevel="0" collapsed="false">
      <c r="A823" s="31" t="str">
        <f aca="false">IF($E823="","",COUNTA($E$5:$E823))</f>
        <v/>
      </c>
      <c r="B823" s="32"/>
      <c r="C823" s="32"/>
      <c r="D823" s="32"/>
      <c r="E823" s="32"/>
      <c r="F823" s="33"/>
      <c r="G823" s="32"/>
      <c r="H823" s="34"/>
      <c r="I823" s="35"/>
      <c r="J823" s="36" t="str">
        <f aca="false">IF(OR($H823="",$I823=""),"",$H823+MATCH($I823,Listas!$F$5:$F$11,0)-1)</f>
        <v/>
      </c>
      <c r="K823" s="37"/>
      <c r="L823" s="33"/>
      <c r="M823" s="37"/>
      <c r="N823" s="32"/>
      <c r="O823" s="32"/>
      <c r="P823" s="38" t="str">
        <f aca="true">IF($E823="","",IF($L823="Cancelada","Cancelada",IF(OR($K823&lt;&gt;"",$L823="Concluída"),IF(OR($J823="",$K823="",$K823&lt;=$J823),"Concluída","Concluída com atraso"),IF($J823="","Na carteira",IF($J823&lt;TODAY(),"VENCIDA",IF($L823="Em execução","Em execução",IF($J823=TODAY(),"Hoje","Programada")))))))</f>
        <v/>
      </c>
      <c r="Q823" s="31" t="str">
        <f aca="false">IF($E823="","",IF(ISNUMBER(SEARCH("(externo)",$G823)),"Terceirizada","Interna"))</f>
        <v/>
      </c>
      <c r="R823" s="36" t="str">
        <f aca="false">IF($J823="","",IF($M823="",$J823,$M823))</f>
        <v/>
      </c>
      <c r="S823" s="31" t="str">
        <f aca="false">IF($E823="","",IF(OR($K823="",$J823=""),0,IF($K823&lt;=$J823,1,0)))</f>
        <v/>
      </c>
      <c r="T823" s="31" t="str">
        <f aca="false">IF($E823="","",IF(OR($K823="",$R823=""),0,IF($K823&lt;=$R823,1,0)))</f>
        <v/>
      </c>
      <c r="U823" s="38" t="str">
        <f aca="false">IF(OR($K823="",$J823=""),"",MAX(0,$K823-$J823))</f>
        <v/>
      </c>
      <c r="V823" s="31" t="str">
        <f aca="false">IF($E823="","",IF(AND($M823&lt;&gt;"",$J823&lt;&gt;"",$M823&lt;&gt;$J823),1,0))</f>
        <v/>
      </c>
      <c r="W823" s="39" t="str">
        <f aca="false">IF($E823="","",IF($L823="Cancelada",0,IF(OR($K823&lt;&gt;"",$L823="Concluída"),1,0)))</f>
        <v/>
      </c>
    </row>
    <row r="824" customFormat="false" ht="15" hidden="false" customHeight="true" outlineLevel="0" collapsed="false">
      <c r="A824" s="31" t="str">
        <f aca="false">IF($E824="","",COUNTA($E$5:$E824))</f>
        <v/>
      </c>
      <c r="B824" s="32"/>
      <c r="C824" s="32"/>
      <c r="D824" s="32"/>
      <c r="E824" s="32"/>
      <c r="F824" s="33"/>
      <c r="G824" s="32"/>
      <c r="H824" s="34"/>
      <c r="I824" s="35"/>
      <c r="J824" s="36" t="str">
        <f aca="false">IF(OR($H824="",$I824=""),"",$H824+MATCH($I824,Listas!$F$5:$F$11,0)-1)</f>
        <v/>
      </c>
      <c r="K824" s="37"/>
      <c r="L824" s="33"/>
      <c r="M824" s="37"/>
      <c r="N824" s="32"/>
      <c r="O824" s="32"/>
      <c r="P824" s="38" t="str">
        <f aca="true">IF($E824="","",IF($L824="Cancelada","Cancelada",IF(OR($K824&lt;&gt;"",$L824="Concluída"),IF(OR($J824="",$K824="",$K824&lt;=$J824),"Concluída","Concluída com atraso"),IF($J824="","Na carteira",IF($J824&lt;TODAY(),"VENCIDA",IF($L824="Em execução","Em execução",IF($J824=TODAY(),"Hoje","Programada")))))))</f>
        <v/>
      </c>
      <c r="Q824" s="31" t="str">
        <f aca="false">IF($E824="","",IF(ISNUMBER(SEARCH("(externo)",$G824)),"Terceirizada","Interna"))</f>
        <v/>
      </c>
      <c r="R824" s="36" t="str">
        <f aca="false">IF($J824="","",IF($M824="",$J824,$M824))</f>
        <v/>
      </c>
      <c r="S824" s="31" t="str">
        <f aca="false">IF($E824="","",IF(OR($K824="",$J824=""),0,IF($K824&lt;=$J824,1,0)))</f>
        <v/>
      </c>
      <c r="T824" s="31" t="str">
        <f aca="false">IF($E824="","",IF(OR($K824="",$R824=""),0,IF($K824&lt;=$R824,1,0)))</f>
        <v/>
      </c>
      <c r="U824" s="38" t="str">
        <f aca="false">IF(OR($K824="",$J824=""),"",MAX(0,$K824-$J824))</f>
        <v/>
      </c>
      <c r="V824" s="31" t="str">
        <f aca="false">IF($E824="","",IF(AND($M824&lt;&gt;"",$J824&lt;&gt;"",$M824&lt;&gt;$J824),1,0))</f>
        <v/>
      </c>
      <c r="W824" s="39" t="str">
        <f aca="false">IF($E824="","",IF($L824="Cancelada",0,IF(OR($K824&lt;&gt;"",$L824="Concluída"),1,0)))</f>
        <v/>
      </c>
    </row>
    <row r="825" customFormat="false" ht="15" hidden="false" customHeight="true" outlineLevel="0" collapsed="false">
      <c r="A825" s="31" t="str">
        <f aca="false">IF($E825="","",COUNTA($E$5:$E825))</f>
        <v/>
      </c>
      <c r="B825" s="32"/>
      <c r="C825" s="32"/>
      <c r="D825" s="32"/>
      <c r="E825" s="32"/>
      <c r="F825" s="33"/>
      <c r="G825" s="32"/>
      <c r="H825" s="34"/>
      <c r="I825" s="35"/>
      <c r="J825" s="36" t="str">
        <f aca="false">IF(OR($H825="",$I825=""),"",$H825+MATCH($I825,Listas!$F$5:$F$11,0)-1)</f>
        <v/>
      </c>
      <c r="K825" s="37"/>
      <c r="L825" s="33"/>
      <c r="M825" s="37"/>
      <c r="N825" s="32"/>
      <c r="O825" s="32"/>
      <c r="P825" s="38" t="str">
        <f aca="true">IF($E825="","",IF($L825="Cancelada","Cancelada",IF(OR($K825&lt;&gt;"",$L825="Concluída"),IF(OR($J825="",$K825="",$K825&lt;=$J825),"Concluída","Concluída com atraso"),IF($J825="","Na carteira",IF($J825&lt;TODAY(),"VENCIDA",IF($L825="Em execução","Em execução",IF($J825=TODAY(),"Hoje","Programada")))))))</f>
        <v/>
      </c>
      <c r="Q825" s="31" t="str">
        <f aca="false">IF($E825="","",IF(ISNUMBER(SEARCH("(externo)",$G825)),"Terceirizada","Interna"))</f>
        <v/>
      </c>
      <c r="R825" s="36" t="str">
        <f aca="false">IF($J825="","",IF($M825="",$J825,$M825))</f>
        <v/>
      </c>
      <c r="S825" s="31" t="str">
        <f aca="false">IF($E825="","",IF(OR($K825="",$J825=""),0,IF($K825&lt;=$J825,1,0)))</f>
        <v/>
      </c>
      <c r="T825" s="31" t="str">
        <f aca="false">IF($E825="","",IF(OR($K825="",$R825=""),0,IF($K825&lt;=$R825,1,0)))</f>
        <v/>
      </c>
      <c r="U825" s="38" t="str">
        <f aca="false">IF(OR($K825="",$J825=""),"",MAX(0,$K825-$J825))</f>
        <v/>
      </c>
      <c r="V825" s="31" t="str">
        <f aca="false">IF($E825="","",IF(AND($M825&lt;&gt;"",$J825&lt;&gt;"",$M825&lt;&gt;$J825),1,0))</f>
        <v/>
      </c>
      <c r="W825" s="39" t="str">
        <f aca="false">IF($E825="","",IF($L825="Cancelada",0,IF(OR($K825&lt;&gt;"",$L825="Concluída"),1,0)))</f>
        <v/>
      </c>
    </row>
    <row r="826" customFormat="false" ht="15" hidden="false" customHeight="true" outlineLevel="0" collapsed="false">
      <c r="A826" s="31" t="str">
        <f aca="false">IF($E826="","",COUNTA($E$5:$E826))</f>
        <v/>
      </c>
      <c r="B826" s="32"/>
      <c r="C826" s="32"/>
      <c r="D826" s="32"/>
      <c r="E826" s="32"/>
      <c r="F826" s="33"/>
      <c r="G826" s="32"/>
      <c r="H826" s="34"/>
      <c r="I826" s="35"/>
      <c r="J826" s="36" t="str">
        <f aca="false">IF(OR($H826="",$I826=""),"",$H826+MATCH($I826,Listas!$F$5:$F$11,0)-1)</f>
        <v/>
      </c>
      <c r="K826" s="37"/>
      <c r="L826" s="33"/>
      <c r="M826" s="37"/>
      <c r="N826" s="32"/>
      <c r="O826" s="32"/>
      <c r="P826" s="38" t="str">
        <f aca="true">IF($E826="","",IF($L826="Cancelada","Cancelada",IF(OR($K826&lt;&gt;"",$L826="Concluída"),IF(OR($J826="",$K826="",$K826&lt;=$J826),"Concluída","Concluída com atraso"),IF($J826="","Na carteira",IF($J826&lt;TODAY(),"VENCIDA",IF($L826="Em execução","Em execução",IF($J826=TODAY(),"Hoje","Programada")))))))</f>
        <v/>
      </c>
      <c r="Q826" s="31" t="str">
        <f aca="false">IF($E826="","",IF(ISNUMBER(SEARCH("(externo)",$G826)),"Terceirizada","Interna"))</f>
        <v/>
      </c>
      <c r="R826" s="36" t="str">
        <f aca="false">IF($J826="","",IF($M826="",$J826,$M826))</f>
        <v/>
      </c>
      <c r="S826" s="31" t="str">
        <f aca="false">IF($E826="","",IF(OR($K826="",$J826=""),0,IF($K826&lt;=$J826,1,0)))</f>
        <v/>
      </c>
      <c r="T826" s="31" t="str">
        <f aca="false">IF($E826="","",IF(OR($K826="",$R826=""),0,IF($K826&lt;=$R826,1,0)))</f>
        <v/>
      </c>
      <c r="U826" s="38" t="str">
        <f aca="false">IF(OR($K826="",$J826=""),"",MAX(0,$K826-$J826))</f>
        <v/>
      </c>
      <c r="V826" s="31" t="str">
        <f aca="false">IF($E826="","",IF(AND($M826&lt;&gt;"",$J826&lt;&gt;"",$M826&lt;&gt;$J826),1,0))</f>
        <v/>
      </c>
      <c r="W826" s="39" t="str">
        <f aca="false">IF($E826="","",IF($L826="Cancelada",0,IF(OR($K826&lt;&gt;"",$L826="Concluída"),1,0)))</f>
        <v/>
      </c>
    </row>
    <row r="827" customFormat="false" ht="15" hidden="false" customHeight="true" outlineLevel="0" collapsed="false">
      <c r="A827" s="31" t="str">
        <f aca="false">IF($E827="","",COUNTA($E$5:$E827))</f>
        <v/>
      </c>
      <c r="B827" s="32"/>
      <c r="C827" s="32"/>
      <c r="D827" s="32"/>
      <c r="E827" s="32"/>
      <c r="F827" s="33"/>
      <c r="G827" s="32"/>
      <c r="H827" s="34"/>
      <c r="I827" s="35"/>
      <c r="J827" s="36" t="str">
        <f aca="false">IF(OR($H827="",$I827=""),"",$H827+MATCH($I827,Listas!$F$5:$F$11,0)-1)</f>
        <v/>
      </c>
      <c r="K827" s="37"/>
      <c r="L827" s="33"/>
      <c r="M827" s="37"/>
      <c r="N827" s="32"/>
      <c r="O827" s="32"/>
      <c r="P827" s="38" t="str">
        <f aca="true">IF($E827="","",IF($L827="Cancelada","Cancelada",IF(OR($K827&lt;&gt;"",$L827="Concluída"),IF(OR($J827="",$K827="",$K827&lt;=$J827),"Concluída","Concluída com atraso"),IF($J827="","Na carteira",IF($J827&lt;TODAY(),"VENCIDA",IF($L827="Em execução","Em execução",IF($J827=TODAY(),"Hoje","Programada")))))))</f>
        <v/>
      </c>
      <c r="Q827" s="31" t="str">
        <f aca="false">IF($E827="","",IF(ISNUMBER(SEARCH("(externo)",$G827)),"Terceirizada","Interna"))</f>
        <v/>
      </c>
      <c r="R827" s="36" t="str">
        <f aca="false">IF($J827="","",IF($M827="",$J827,$M827))</f>
        <v/>
      </c>
      <c r="S827" s="31" t="str">
        <f aca="false">IF($E827="","",IF(OR($K827="",$J827=""),0,IF($K827&lt;=$J827,1,0)))</f>
        <v/>
      </c>
      <c r="T827" s="31" t="str">
        <f aca="false">IF($E827="","",IF(OR($K827="",$R827=""),0,IF($K827&lt;=$R827,1,0)))</f>
        <v/>
      </c>
      <c r="U827" s="38" t="str">
        <f aca="false">IF(OR($K827="",$J827=""),"",MAX(0,$K827-$J827))</f>
        <v/>
      </c>
      <c r="V827" s="31" t="str">
        <f aca="false">IF($E827="","",IF(AND($M827&lt;&gt;"",$J827&lt;&gt;"",$M827&lt;&gt;$J827),1,0))</f>
        <v/>
      </c>
      <c r="W827" s="39" t="str">
        <f aca="false">IF($E827="","",IF($L827="Cancelada",0,IF(OR($K827&lt;&gt;"",$L827="Concluída"),1,0)))</f>
        <v/>
      </c>
    </row>
    <row r="828" customFormat="false" ht="15" hidden="false" customHeight="true" outlineLevel="0" collapsed="false">
      <c r="A828" s="31" t="str">
        <f aca="false">IF($E828="","",COUNTA($E$5:$E828))</f>
        <v/>
      </c>
      <c r="B828" s="32"/>
      <c r="C828" s="32"/>
      <c r="D828" s="32"/>
      <c r="E828" s="32"/>
      <c r="F828" s="33"/>
      <c r="G828" s="32"/>
      <c r="H828" s="34"/>
      <c r="I828" s="35"/>
      <c r="J828" s="36" t="str">
        <f aca="false">IF(OR($H828="",$I828=""),"",$H828+MATCH($I828,Listas!$F$5:$F$11,0)-1)</f>
        <v/>
      </c>
      <c r="K828" s="37"/>
      <c r="L828" s="33"/>
      <c r="M828" s="37"/>
      <c r="N828" s="32"/>
      <c r="O828" s="32"/>
      <c r="P828" s="38" t="str">
        <f aca="true">IF($E828="","",IF($L828="Cancelada","Cancelada",IF(OR($K828&lt;&gt;"",$L828="Concluída"),IF(OR($J828="",$K828="",$K828&lt;=$J828),"Concluída","Concluída com atraso"),IF($J828="","Na carteira",IF($J828&lt;TODAY(),"VENCIDA",IF($L828="Em execução","Em execução",IF($J828=TODAY(),"Hoje","Programada")))))))</f>
        <v/>
      </c>
      <c r="Q828" s="31" t="str">
        <f aca="false">IF($E828="","",IF(ISNUMBER(SEARCH("(externo)",$G828)),"Terceirizada","Interna"))</f>
        <v/>
      </c>
      <c r="R828" s="36" t="str">
        <f aca="false">IF($J828="","",IF($M828="",$J828,$M828))</f>
        <v/>
      </c>
      <c r="S828" s="31" t="str">
        <f aca="false">IF($E828="","",IF(OR($K828="",$J828=""),0,IF($K828&lt;=$J828,1,0)))</f>
        <v/>
      </c>
      <c r="T828" s="31" t="str">
        <f aca="false">IF($E828="","",IF(OR($K828="",$R828=""),0,IF($K828&lt;=$R828,1,0)))</f>
        <v/>
      </c>
      <c r="U828" s="38" t="str">
        <f aca="false">IF(OR($K828="",$J828=""),"",MAX(0,$K828-$J828))</f>
        <v/>
      </c>
      <c r="V828" s="31" t="str">
        <f aca="false">IF($E828="","",IF(AND($M828&lt;&gt;"",$J828&lt;&gt;"",$M828&lt;&gt;$J828),1,0))</f>
        <v/>
      </c>
      <c r="W828" s="39" t="str">
        <f aca="false">IF($E828="","",IF($L828="Cancelada",0,IF(OR($K828&lt;&gt;"",$L828="Concluída"),1,0)))</f>
        <v/>
      </c>
    </row>
    <row r="829" customFormat="false" ht="15" hidden="false" customHeight="true" outlineLevel="0" collapsed="false">
      <c r="A829" s="31" t="str">
        <f aca="false">IF($E829="","",COUNTA($E$5:$E829))</f>
        <v/>
      </c>
      <c r="B829" s="32"/>
      <c r="C829" s="32"/>
      <c r="D829" s="32"/>
      <c r="E829" s="32"/>
      <c r="F829" s="33"/>
      <c r="G829" s="32"/>
      <c r="H829" s="34"/>
      <c r="I829" s="35"/>
      <c r="J829" s="36" t="str">
        <f aca="false">IF(OR($H829="",$I829=""),"",$H829+MATCH($I829,Listas!$F$5:$F$11,0)-1)</f>
        <v/>
      </c>
      <c r="K829" s="37"/>
      <c r="L829" s="33"/>
      <c r="M829" s="37"/>
      <c r="N829" s="32"/>
      <c r="O829" s="32"/>
      <c r="P829" s="38" t="str">
        <f aca="true">IF($E829="","",IF($L829="Cancelada","Cancelada",IF(OR($K829&lt;&gt;"",$L829="Concluída"),IF(OR($J829="",$K829="",$K829&lt;=$J829),"Concluída","Concluída com atraso"),IF($J829="","Na carteira",IF($J829&lt;TODAY(),"VENCIDA",IF($L829="Em execução","Em execução",IF($J829=TODAY(),"Hoje","Programada")))))))</f>
        <v/>
      </c>
      <c r="Q829" s="31" t="str">
        <f aca="false">IF($E829="","",IF(ISNUMBER(SEARCH("(externo)",$G829)),"Terceirizada","Interna"))</f>
        <v/>
      </c>
      <c r="R829" s="36" t="str">
        <f aca="false">IF($J829="","",IF($M829="",$J829,$M829))</f>
        <v/>
      </c>
      <c r="S829" s="31" t="str">
        <f aca="false">IF($E829="","",IF(OR($K829="",$J829=""),0,IF($K829&lt;=$J829,1,0)))</f>
        <v/>
      </c>
      <c r="T829" s="31" t="str">
        <f aca="false">IF($E829="","",IF(OR($K829="",$R829=""),0,IF($K829&lt;=$R829,1,0)))</f>
        <v/>
      </c>
      <c r="U829" s="38" t="str">
        <f aca="false">IF(OR($K829="",$J829=""),"",MAX(0,$K829-$J829))</f>
        <v/>
      </c>
      <c r="V829" s="31" t="str">
        <f aca="false">IF($E829="","",IF(AND($M829&lt;&gt;"",$J829&lt;&gt;"",$M829&lt;&gt;$J829),1,0))</f>
        <v/>
      </c>
      <c r="W829" s="39" t="str">
        <f aca="false">IF($E829="","",IF($L829="Cancelada",0,IF(OR($K829&lt;&gt;"",$L829="Concluída"),1,0)))</f>
        <v/>
      </c>
    </row>
    <row r="830" customFormat="false" ht="15" hidden="false" customHeight="true" outlineLevel="0" collapsed="false">
      <c r="A830" s="31" t="str">
        <f aca="false">IF($E830="","",COUNTA($E$5:$E830))</f>
        <v/>
      </c>
      <c r="B830" s="32"/>
      <c r="C830" s="32"/>
      <c r="D830" s="32"/>
      <c r="E830" s="32"/>
      <c r="F830" s="33"/>
      <c r="G830" s="32"/>
      <c r="H830" s="34"/>
      <c r="I830" s="35"/>
      <c r="J830" s="36" t="str">
        <f aca="false">IF(OR($H830="",$I830=""),"",$H830+MATCH($I830,Listas!$F$5:$F$11,0)-1)</f>
        <v/>
      </c>
      <c r="K830" s="37"/>
      <c r="L830" s="33"/>
      <c r="M830" s="37"/>
      <c r="N830" s="32"/>
      <c r="O830" s="32"/>
      <c r="P830" s="38" t="str">
        <f aca="true">IF($E830="","",IF($L830="Cancelada","Cancelada",IF(OR($K830&lt;&gt;"",$L830="Concluída"),IF(OR($J830="",$K830="",$K830&lt;=$J830),"Concluída","Concluída com atraso"),IF($J830="","Na carteira",IF($J830&lt;TODAY(),"VENCIDA",IF($L830="Em execução","Em execução",IF($J830=TODAY(),"Hoje","Programada")))))))</f>
        <v/>
      </c>
      <c r="Q830" s="31" t="str">
        <f aca="false">IF($E830="","",IF(ISNUMBER(SEARCH("(externo)",$G830)),"Terceirizada","Interna"))</f>
        <v/>
      </c>
      <c r="R830" s="36" t="str">
        <f aca="false">IF($J830="","",IF($M830="",$J830,$M830))</f>
        <v/>
      </c>
      <c r="S830" s="31" t="str">
        <f aca="false">IF($E830="","",IF(OR($K830="",$J830=""),0,IF($K830&lt;=$J830,1,0)))</f>
        <v/>
      </c>
      <c r="T830" s="31" t="str">
        <f aca="false">IF($E830="","",IF(OR($K830="",$R830=""),0,IF($K830&lt;=$R830,1,0)))</f>
        <v/>
      </c>
      <c r="U830" s="38" t="str">
        <f aca="false">IF(OR($K830="",$J830=""),"",MAX(0,$K830-$J830))</f>
        <v/>
      </c>
      <c r="V830" s="31" t="str">
        <f aca="false">IF($E830="","",IF(AND($M830&lt;&gt;"",$J830&lt;&gt;"",$M830&lt;&gt;$J830),1,0))</f>
        <v/>
      </c>
      <c r="W830" s="39" t="str">
        <f aca="false">IF($E830="","",IF($L830="Cancelada",0,IF(OR($K830&lt;&gt;"",$L830="Concluída"),1,0)))</f>
        <v/>
      </c>
    </row>
    <row r="831" customFormat="false" ht="15" hidden="false" customHeight="true" outlineLevel="0" collapsed="false">
      <c r="A831" s="31" t="str">
        <f aca="false">IF($E831="","",COUNTA($E$5:$E831))</f>
        <v/>
      </c>
      <c r="B831" s="32"/>
      <c r="C831" s="32"/>
      <c r="D831" s="32"/>
      <c r="E831" s="32"/>
      <c r="F831" s="33"/>
      <c r="G831" s="32"/>
      <c r="H831" s="34"/>
      <c r="I831" s="35"/>
      <c r="J831" s="36" t="str">
        <f aca="false">IF(OR($H831="",$I831=""),"",$H831+MATCH($I831,Listas!$F$5:$F$11,0)-1)</f>
        <v/>
      </c>
      <c r="K831" s="37"/>
      <c r="L831" s="33"/>
      <c r="M831" s="37"/>
      <c r="N831" s="32"/>
      <c r="O831" s="32"/>
      <c r="P831" s="38" t="str">
        <f aca="true">IF($E831="","",IF($L831="Cancelada","Cancelada",IF(OR($K831&lt;&gt;"",$L831="Concluída"),IF(OR($J831="",$K831="",$K831&lt;=$J831),"Concluída","Concluída com atraso"),IF($J831="","Na carteira",IF($J831&lt;TODAY(),"VENCIDA",IF($L831="Em execução","Em execução",IF($J831=TODAY(),"Hoje","Programada")))))))</f>
        <v/>
      </c>
      <c r="Q831" s="31" t="str">
        <f aca="false">IF($E831="","",IF(ISNUMBER(SEARCH("(externo)",$G831)),"Terceirizada","Interna"))</f>
        <v/>
      </c>
      <c r="R831" s="36" t="str">
        <f aca="false">IF($J831="","",IF($M831="",$J831,$M831))</f>
        <v/>
      </c>
      <c r="S831" s="31" t="str">
        <f aca="false">IF($E831="","",IF(OR($K831="",$J831=""),0,IF($K831&lt;=$J831,1,0)))</f>
        <v/>
      </c>
      <c r="T831" s="31" t="str">
        <f aca="false">IF($E831="","",IF(OR($K831="",$R831=""),0,IF($K831&lt;=$R831,1,0)))</f>
        <v/>
      </c>
      <c r="U831" s="38" t="str">
        <f aca="false">IF(OR($K831="",$J831=""),"",MAX(0,$K831-$J831))</f>
        <v/>
      </c>
      <c r="V831" s="31" t="str">
        <f aca="false">IF($E831="","",IF(AND($M831&lt;&gt;"",$J831&lt;&gt;"",$M831&lt;&gt;$J831),1,0))</f>
        <v/>
      </c>
      <c r="W831" s="39" t="str">
        <f aca="false">IF($E831="","",IF($L831="Cancelada",0,IF(OR($K831&lt;&gt;"",$L831="Concluída"),1,0)))</f>
        <v/>
      </c>
    </row>
    <row r="832" customFormat="false" ht="15" hidden="false" customHeight="true" outlineLevel="0" collapsed="false">
      <c r="A832" s="31" t="str">
        <f aca="false">IF($E832="","",COUNTA($E$5:$E832))</f>
        <v/>
      </c>
      <c r="B832" s="32"/>
      <c r="C832" s="32"/>
      <c r="D832" s="32"/>
      <c r="E832" s="32"/>
      <c r="F832" s="33"/>
      <c r="G832" s="32"/>
      <c r="H832" s="34"/>
      <c r="I832" s="35"/>
      <c r="J832" s="36" t="str">
        <f aca="false">IF(OR($H832="",$I832=""),"",$H832+MATCH($I832,Listas!$F$5:$F$11,0)-1)</f>
        <v/>
      </c>
      <c r="K832" s="37"/>
      <c r="L832" s="33"/>
      <c r="M832" s="37"/>
      <c r="N832" s="32"/>
      <c r="O832" s="32"/>
      <c r="P832" s="38" t="str">
        <f aca="true">IF($E832="","",IF($L832="Cancelada","Cancelada",IF(OR($K832&lt;&gt;"",$L832="Concluída"),IF(OR($J832="",$K832="",$K832&lt;=$J832),"Concluída","Concluída com atraso"),IF($J832="","Na carteira",IF($J832&lt;TODAY(),"VENCIDA",IF($L832="Em execução","Em execução",IF($J832=TODAY(),"Hoje","Programada")))))))</f>
        <v/>
      </c>
      <c r="Q832" s="31" t="str">
        <f aca="false">IF($E832="","",IF(ISNUMBER(SEARCH("(externo)",$G832)),"Terceirizada","Interna"))</f>
        <v/>
      </c>
      <c r="R832" s="36" t="str">
        <f aca="false">IF($J832="","",IF($M832="",$J832,$M832))</f>
        <v/>
      </c>
      <c r="S832" s="31" t="str">
        <f aca="false">IF($E832="","",IF(OR($K832="",$J832=""),0,IF($K832&lt;=$J832,1,0)))</f>
        <v/>
      </c>
      <c r="T832" s="31" t="str">
        <f aca="false">IF($E832="","",IF(OR($K832="",$R832=""),0,IF($K832&lt;=$R832,1,0)))</f>
        <v/>
      </c>
      <c r="U832" s="38" t="str">
        <f aca="false">IF(OR($K832="",$J832=""),"",MAX(0,$K832-$J832))</f>
        <v/>
      </c>
      <c r="V832" s="31" t="str">
        <f aca="false">IF($E832="","",IF(AND($M832&lt;&gt;"",$J832&lt;&gt;"",$M832&lt;&gt;$J832),1,0))</f>
        <v/>
      </c>
      <c r="W832" s="39" t="str">
        <f aca="false">IF($E832="","",IF($L832="Cancelada",0,IF(OR($K832&lt;&gt;"",$L832="Concluída"),1,0)))</f>
        <v/>
      </c>
    </row>
    <row r="833" customFormat="false" ht="15" hidden="false" customHeight="true" outlineLevel="0" collapsed="false">
      <c r="A833" s="31" t="str">
        <f aca="false">IF($E833="","",COUNTA($E$5:$E833))</f>
        <v/>
      </c>
      <c r="B833" s="32"/>
      <c r="C833" s="32"/>
      <c r="D833" s="32"/>
      <c r="E833" s="32"/>
      <c r="F833" s="33"/>
      <c r="G833" s="32"/>
      <c r="H833" s="34"/>
      <c r="I833" s="35"/>
      <c r="J833" s="36" t="str">
        <f aca="false">IF(OR($H833="",$I833=""),"",$H833+MATCH($I833,Listas!$F$5:$F$11,0)-1)</f>
        <v/>
      </c>
      <c r="K833" s="37"/>
      <c r="L833" s="33"/>
      <c r="M833" s="37"/>
      <c r="N833" s="32"/>
      <c r="O833" s="32"/>
      <c r="P833" s="38" t="str">
        <f aca="true">IF($E833="","",IF($L833="Cancelada","Cancelada",IF(OR($K833&lt;&gt;"",$L833="Concluída"),IF(OR($J833="",$K833="",$K833&lt;=$J833),"Concluída","Concluída com atraso"),IF($J833="","Na carteira",IF($J833&lt;TODAY(),"VENCIDA",IF($L833="Em execução","Em execução",IF($J833=TODAY(),"Hoje","Programada")))))))</f>
        <v/>
      </c>
      <c r="Q833" s="31" t="str">
        <f aca="false">IF($E833="","",IF(ISNUMBER(SEARCH("(externo)",$G833)),"Terceirizada","Interna"))</f>
        <v/>
      </c>
      <c r="R833" s="36" t="str">
        <f aca="false">IF($J833="","",IF($M833="",$J833,$M833))</f>
        <v/>
      </c>
      <c r="S833" s="31" t="str">
        <f aca="false">IF($E833="","",IF(OR($K833="",$J833=""),0,IF($K833&lt;=$J833,1,0)))</f>
        <v/>
      </c>
      <c r="T833" s="31" t="str">
        <f aca="false">IF($E833="","",IF(OR($K833="",$R833=""),0,IF($K833&lt;=$R833,1,0)))</f>
        <v/>
      </c>
      <c r="U833" s="38" t="str">
        <f aca="false">IF(OR($K833="",$J833=""),"",MAX(0,$K833-$J833))</f>
        <v/>
      </c>
      <c r="V833" s="31" t="str">
        <f aca="false">IF($E833="","",IF(AND($M833&lt;&gt;"",$J833&lt;&gt;"",$M833&lt;&gt;$J833),1,0))</f>
        <v/>
      </c>
      <c r="W833" s="39" t="str">
        <f aca="false">IF($E833="","",IF($L833="Cancelada",0,IF(OR($K833&lt;&gt;"",$L833="Concluída"),1,0)))</f>
        <v/>
      </c>
    </row>
    <row r="834" customFormat="false" ht="15" hidden="false" customHeight="true" outlineLevel="0" collapsed="false">
      <c r="A834" s="31" t="str">
        <f aca="false">IF($E834="","",COUNTA($E$5:$E834))</f>
        <v/>
      </c>
      <c r="B834" s="32"/>
      <c r="C834" s="32"/>
      <c r="D834" s="32"/>
      <c r="E834" s="32"/>
      <c r="F834" s="33"/>
      <c r="G834" s="32"/>
      <c r="H834" s="34"/>
      <c r="I834" s="35"/>
      <c r="J834" s="36" t="str">
        <f aca="false">IF(OR($H834="",$I834=""),"",$H834+MATCH($I834,Listas!$F$5:$F$11,0)-1)</f>
        <v/>
      </c>
      <c r="K834" s="37"/>
      <c r="L834" s="33"/>
      <c r="M834" s="37"/>
      <c r="N834" s="32"/>
      <c r="O834" s="32"/>
      <c r="P834" s="38" t="str">
        <f aca="true">IF($E834="","",IF($L834="Cancelada","Cancelada",IF(OR($K834&lt;&gt;"",$L834="Concluída"),IF(OR($J834="",$K834="",$K834&lt;=$J834),"Concluída","Concluída com atraso"),IF($J834="","Na carteira",IF($J834&lt;TODAY(),"VENCIDA",IF($L834="Em execução","Em execução",IF($J834=TODAY(),"Hoje","Programada")))))))</f>
        <v/>
      </c>
      <c r="Q834" s="31" t="str">
        <f aca="false">IF($E834="","",IF(ISNUMBER(SEARCH("(externo)",$G834)),"Terceirizada","Interna"))</f>
        <v/>
      </c>
      <c r="R834" s="36" t="str">
        <f aca="false">IF($J834="","",IF($M834="",$J834,$M834))</f>
        <v/>
      </c>
      <c r="S834" s="31" t="str">
        <f aca="false">IF($E834="","",IF(OR($K834="",$J834=""),0,IF($K834&lt;=$J834,1,0)))</f>
        <v/>
      </c>
      <c r="T834" s="31" t="str">
        <f aca="false">IF($E834="","",IF(OR($K834="",$R834=""),0,IF($K834&lt;=$R834,1,0)))</f>
        <v/>
      </c>
      <c r="U834" s="38" t="str">
        <f aca="false">IF(OR($K834="",$J834=""),"",MAX(0,$K834-$J834))</f>
        <v/>
      </c>
      <c r="V834" s="31" t="str">
        <f aca="false">IF($E834="","",IF(AND($M834&lt;&gt;"",$J834&lt;&gt;"",$M834&lt;&gt;$J834),1,0))</f>
        <v/>
      </c>
      <c r="W834" s="39" t="str">
        <f aca="false">IF($E834="","",IF($L834="Cancelada",0,IF(OR($K834&lt;&gt;"",$L834="Concluída"),1,0)))</f>
        <v/>
      </c>
    </row>
    <row r="835" customFormat="false" ht="15" hidden="false" customHeight="true" outlineLevel="0" collapsed="false">
      <c r="A835" s="31" t="str">
        <f aca="false">IF($E835="","",COUNTA($E$5:$E835))</f>
        <v/>
      </c>
      <c r="B835" s="32"/>
      <c r="C835" s="32"/>
      <c r="D835" s="32"/>
      <c r="E835" s="32"/>
      <c r="F835" s="33"/>
      <c r="G835" s="32"/>
      <c r="H835" s="34"/>
      <c r="I835" s="35"/>
      <c r="J835" s="36" t="str">
        <f aca="false">IF(OR($H835="",$I835=""),"",$H835+MATCH($I835,Listas!$F$5:$F$11,0)-1)</f>
        <v/>
      </c>
      <c r="K835" s="37"/>
      <c r="L835" s="33"/>
      <c r="M835" s="37"/>
      <c r="N835" s="32"/>
      <c r="O835" s="32"/>
      <c r="P835" s="38" t="str">
        <f aca="true">IF($E835="","",IF($L835="Cancelada","Cancelada",IF(OR($K835&lt;&gt;"",$L835="Concluída"),IF(OR($J835="",$K835="",$K835&lt;=$J835),"Concluída","Concluída com atraso"),IF($J835="","Na carteira",IF($J835&lt;TODAY(),"VENCIDA",IF($L835="Em execução","Em execução",IF($J835=TODAY(),"Hoje","Programada")))))))</f>
        <v/>
      </c>
      <c r="Q835" s="31" t="str">
        <f aca="false">IF($E835="","",IF(ISNUMBER(SEARCH("(externo)",$G835)),"Terceirizada","Interna"))</f>
        <v/>
      </c>
      <c r="R835" s="36" t="str">
        <f aca="false">IF($J835="","",IF($M835="",$J835,$M835))</f>
        <v/>
      </c>
      <c r="S835" s="31" t="str">
        <f aca="false">IF($E835="","",IF(OR($K835="",$J835=""),0,IF($K835&lt;=$J835,1,0)))</f>
        <v/>
      </c>
      <c r="T835" s="31" t="str">
        <f aca="false">IF($E835="","",IF(OR($K835="",$R835=""),0,IF($K835&lt;=$R835,1,0)))</f>
        <v/>
      </c>
      <c r="U835" s="38" t="str">
        <f aca="false">IF(OR($K835="",$J835=""),"",MAX(0,$K835-$J835))</f>
        <v/>
      </c>
      <c r="V835" s="31" t="str">
        <f aca="false">IF($E835="","",IF(AND($M835&lt;&gt;"",$J835&lt;&gt;"",$M835&lt;&gt;$J835),1,0))</f>
        <v/>
      </c>
      <c r="W835" s="39" t="str">
        <f aca="false">IF($E835="","",IF($L835="Cancelada",0,IF(OR($K835&lt;&gt;"",$L835="Concluída"),1,0)))</f>
        <v/>
      </c>
    </row>
    <row r="836" customFormat="false" ht="15" hidden="false" customHeight="true" outlineLevel="0" collapsed="false">
      <c r="A836" s="31" t="str">
        <f aca="false">IF($E836="","",COUNTA($E$5:$E836))</f>
        <v/>
      </c>
      <c r="B836" s="32"/>
      <c r="C836" s="32"/>
      <c r="D836" s="32"/>
      <c r="E836" s="32"/>
      <c r="F836" s="33"/>
      <c r="G836" s="32"/>
      <c r="H836" s="34"/>
      <c r="I836" s="35"/>
      <c r="J836" s="36" t="str">
        <f aca="false">IF(OR($H836="",$I836=""),"",$H836+MATCH($I836,Listas!$F$5:$F$11,0)-1)</f>
        <v/>
      </c>
      <c r="K836" s="37"/>
      <c r="L836" s="33"/>
      <c r="M836" s="37"/>
      <c r="N836" s="32"/>
      <c r="O836" s="32"/>
      <c r="P836" s="38" t="str">
        <f aca="true">IF($E836="","",IF($L836="Cancelada","Cancelada",IF(OR($K836&lt;&gt;"",$L836="Concluída"),IF(OR($J836="",$K836="",$K836&lt;=$J836),"Concluída","Concluída com atraso"),IF($J836="","Na carteira",IF($J836&lt;TODAY(),"VENCIDA",IF($L836="Em execução","Em execução",IF($J836=TODAY(),"Hoje","Programada")))))))</f>
        <v/>
      </c>
      <c r="Q836" s="31" t="str">
        <f aca="false">IF($E836="","",IF(ISNUMBER(SEARCH("(externo)",$G836)),"Terceirizada","Interna"))</f>
        <v/>
      </c>
      <c r="R836" s="36" t="str">
        <f aca="false">IF($J836="","",IF($M836="",$J836,$M836))</f>
        <v/>
      </c>
      <c r="S836" s="31" t="str">
        <f aca="false">IF($E836="","",IF(OR($K836="",$J836=""),0,IF($K836&lt;=$J836,1,0)))</f>
        <v/>
      </c>
      <c r="T836" s="31" t="str">
        <f aca="false">IF($E836="","",IF(OR($K836="",$R836=""),0,IF($K836&lt;=$R836,1,0)))</f>
        <v/>
      </c>
      <c r="U836" s="38" t="str">
        <f aca="false">IF(OR($K836="",$J836=""),"",MAX(0,$K836-$J836))</f>
        <v/>
      </c>
      <c r="V836" s="31" t="str">
        <f aca="false">IF($E836="","",IF(AND($M836&lt;&gt;"",$J836&lt;&gt;"",$M836&lt;&gt;$J836),1,0))</f>
        <v/>
      </c>
      <c r="W836" s="39" t="str">
        <f aca="false">IF($E836="","",IF($L836="Cancelada",0,IF(OR($K836&lt;&gt;"",$L836="Concluída"),1,0)))</f>
        <v/>
      </c>
    </row>
    <row r="837" customFormat="false" ht="15" hidden="false" customHeight="true" outlineLevel="0" collapsed="false">
      <c r="A837" s="31" t="str">
        <f aca="false">IF($E837="","",COUNTA($E$5:$E837))</f>
        <v/>
      </c>
      <c r="B837" s="32"/>
      <c r="C837" s="32"/>
      <c r="D837" s="32"/>
      <c r="E837" s="32"/>
      <c r="F837" s="33"/>
      <c r="G837" s="32"/>
      <c r="H837" s="34"/>
      <c r="I837" s="35"/>
      <c r="J837" s="36" t="str">
        <f aca="false">IF(OR($H837="",$I837=""),"",$H837+MATCH($I837,Listas!$F$5:$F$11,0)-1)</f>
        <v/>
      </c>
      <c r="K837" s="37"/>
      <c r="L837" s="33"/>
      <c r="M837" s="37"/>
      <c r="N837" s="32"/>
      <c r="O837" s="32"/>
      <c r="P837" s="38" t="str">
        <f aca="true">IF($E837="","",IF($L837="Cancelada","Cancelada",IF(OR($K837&lt;&gt;"",$L837="Concluída"),IF(OR($J837="",$K837="",$K837&lt;=$J837),"Concluída","Concluída com atraso"),IF($J837="","Na carteira",IF($J837&lt;TODAY(),"VENCIDA",IF($L837="Em execução","Em execução",IF($J837=TODAY(),"Hoje","Programada")))))))</f>
        <v/>
      </c>
      <c r="Q837" s="31" t="str">
        <f aca="false">IF($E837="","",IF(ISNUMBER(SEARCH("(externo)",$G837)),"Terceirizada","Interna"))</f>
        <v/>
      </c>
      <c r="R837" s="36" t="str">
        <f aca="false">IF($J837="","",IF($M837="",$J837,$M837))</f>
        <v/>
      </c>
      <c r="S837" s="31" t="str">
        <f aca="false">IF($E837="","",IF(OR($K837="",$J837=""),0,IF($K837&lt;=$J837,1,0)))</f>
        <v/>
      </c>
      <c r="T837" s="31" t="str">
        <f aca="false">IF($E837="","",IF(OR($K837="",$R837=""),0,IF($K837&lt;=$R837,1,0)))</f>
        <v/>
      </c>
      <c r="U837" s="38" t="str">
        <f aca="false">IF(OR($K837="",$J837=""),"",MAX(0,$K837-$J837))</f>
        <v/>
      </c>
      <c r="V837" s="31" t="str">
        <f aca="false">IF($E837="","",IF(AND($M837&lt;&gt;"",$J837&lt;&gt;"",$M837&lt;&gt;$J837),1,0))</f>
        <v/>
      </c>
      <c r="W837" s="39" t="str">
        <f aca="false">IF($E837="","",IF($L837="Cancelada",0,IF(OR($K837&lt;&gt;"",$L837="Concluída"),1,0)))</f>
        <v/>
      </c>
    </row>
    <row r="838" customFormat="false" ht="15" hidden="false" customHeight="true" outlineLevel="0" collapsed="false">
      <c r="A838" s="31" t="str">
        <f aca="false">IF($E838="","",COUNTA($E$5:$E838))</f>
        <v/>
      </c>
      <c r="B838" s="32"/>
      <c r="C838" s="32"/>
      <c r="D838" s="32"/>
      <c r="E838" s="32"/>
      <c r="F838" s="33"/>
      <c r="G838" s="32"/>
      <c r="H838" s="34"/>
      <c r="I838" s="35"/>
      <c r="J838" s="36" t="str">
        <f aca="false">IF(OR($H838="",$I838=""),"",$H838+MATCH($I838,Listas!$F$5:$F$11,0)-1)</f>
        <v/>
      </c>
      <c r="K838" s="37"/>
      <c r="L838" s="33"/>
      <c r="M838" s="37"/>
      <c r="N838" s="32"/>
      <c r="O838" s="32"/>
      <c r="P838" s="38" t="str">
        <f aca="true">IF($E838="","",IF($L838="Cancelada","Cancelada",IF(OR($K838&lt;&gt;"",$L838="Concluída"),IF(OR($J838="",$K838="",$K838&lt;=$J838),"Concluída","Concluída com atraso"),IF($J838="","Na carteira",IF($J838&lt;TODAY(),"VENCIDA",IF($L838="Em execução","Em execução",IF($J838=TODAY(),"Hoje","Programada")))))))</f>
        <v/>
      </c>
      <c r="Q838" s="31" t="str">
        <f aca="false">IF($E838="","",IF(ISNUMBER(SEARCH("(externo)",$G838)),"Terceirizada","Interna"))</f>
        <v/>
      </c>
      <c r="R838" s="36" t="str">
        <f aca="false">IF($J838="","",IF($M838="",$J838,$M838))</f>
        <v/>
      </c>
      <c r="S838" s="31" t="str">
        <f aca="false">IF($E838="","",IF(OR($K838="",$J838=""),0,IF($K838&lt;=$J838,1,0)))</f>
        <v/>
      </c>
      <c r="T838" s="31" t="str">
        <f aca="false">IF($E838="","",IF(OR($K838="",$R838=""),0,IF($K838&lt;=$R838,1,0)))</f>
        <v/>
      </c>
      <c r="U838" s="38" t="str">
        <f aca="false">IF(OR($K838="",$J838=""),"",MAX(0,$K838-$J838))</f>
        <v/>
      </c>
      <c r="V838" s="31" t="str">
        <f aca="false">IF($E838="","",IF(AND($M838&lt;&gt;"",$J838&lt;&gt;"",$M838&lt;&gt;$J838),1,0))</f>
        <v/>
      </c>
      <c r="W838" s="39" t="str">
        <f aca="false">IF($E838="","",IF($L838="Cancelada",0,IF(OR($K838&lt;&gt;"",$L838="Concluída"),1,0)))</f>
        <v/>
      </c>
    </row>
    <row r="839" customFormat="false" ht="15" hidden="false" customHeight="true" outlineLevel="0" collapsed="false">
      <c r="A839" s="31" t="str">
        <f aca="false">IF($E839="","",COUNTA($E$5:$E839))</f>
        <v/>
      </c>
      <c r="B839" s="32"/>
      <c r="C839" s="32"/>
      <c r="D839" s="32"/>
      <c r="E839" s="32"/>
      <c r="F839" s="33"/>
      <c r="G839" s="32"/>
      <c r="H839" s="34"/>
      <c r="I839" s="35"/>
      <c r="J839" s="36" t="str">
        <f aca="false">IF(OR($H839="",$I839=""),"",$H839+MATCH($I839,Listas!$F$5:$F$11,0)-1)</f>
        <v/>
      </c>
      <c r="K839" s="37"/>
      <c r="L839" s="33"/>
      <c r="M839" s="37"/>
      <c r="N839" s="32"/>
      <c r="O839" s="32"/>
      <c r="P839" s="38" t="str">
        <f aca="true">IF($E839="","",IF($L839="Cancelada","Cancelada",IF(OR($K839&lt;&gt;"",$L839="Concluída"),IF(OR($J839="",$K839="",$K839&lt;=$J839),"Concluída","Concluída com atraso"),IF($J839="","Na carteira",IF($J839&lt;TODAY(),"VENCIDA",IF($L839="Em execução","Em execução",IF($J839=TODAY(),"Hoje","Programada")))))))</f>
        <v/>
      </c>
      <c r="Q839" s="31" t="str">
        <f aca="false">IF($E839="","",IF(ISNUMBER(SEARCH("(externo)",$G839)),"Terceirizada","Interna"))</f>
        <v/>
      </c>
      <c r="R839" s="36" t="str">
        <f aca="false">IF($J839="","",IF($M839="",$J839,$M839))</f>
        <v/>
      </c>
      <c r="S839" s="31" t="str">
        <f aca="false">IF($E839="","",IF(OR($K839="",$J839=""),0,IF($K839&lt;=$J839,1,0)))</f>
        <v/>
      </c>
      <c r="T839" s="31" t="str">
        <f aca="false">IF($E839="","",IF(OR($K839="",$R839=""),0,IF($K839&lt;=$R839,1,0)))</f>
        <v/>
      </c>
      <c r="U839" s="38" t="str">
        <f aca="false">IF(OR($K839="",$J839=""),"",MAX(0,$K839-$J839))</f>
        <v/>
      </c>
      <c r="V839" s="31" t="str">
        <f aca="false">IF($E839="","",IF(AND($M839&lt;&gt;"",$J839&lt;&gt;"",$M839&lt;&gt;$J839),1,0))</f>
        <v/>
      </c>
      <c r="W839" s="39" t="str">
        <f aca="false">IF($E839="","",IF($L839="Cancelada",0,IF(OR($K839&lt;&gt;"",$L839="Concluída"),1,0)))</f>
        <v/>
      </c>
    </row>
    <row r="840" customFormat="false" ht="15" hidden="false" customHeight="true" outlineLevel="0" collapsed="false">
      <c r="A840" s="31" t="str">
        <f aca="false">IF($E840="","",COUNTA($E$5:$E840))</f>
        <v/>
      </c>
      <c r="B840" s="32"/>
      <c r="C840" s="32"/>
      <c r="D840" s="32"/>
      <c r="E840" s="32"/>
      <c r="F840" s="33"/>
      <c r="G840" s="32"/>
      <c r="H840" s="34"/>
      <c r="I840" s="35"/>
      <c r="J840" s="36" t="str">
        <f aca="false">IF(OR($H840="",$I840=""),"",$H840+MATCH($I840,Listas!$F$5:$F$11,0)-1)</f>
        <v/>
      </c>
      <c r="K840" s="37"/>
      <c r="L840" s="33"/>
      <c r="M840" s="37"/>
      <c r="N840" s="32"/>
      <c r="O840" s="32"/>
      <c r="P840" s="38" t="str">
        <f aca="true">IF($E840="","",IF($L840="Cancelada","Cancelada",IF(OR($K840&lt;&gt;"",$L840="Concluída"),IF(OR($J840="",$K840="",$K840&lt;=$J840),"Concluída","Concluída com atraso"),IF($J840="","Na carteira",IF($J840&lt;TODAY(),"VENCIDA",IF($L840="Em execução","Em execução",IF($J840=TODAY(),"Hoje","Programada")))))))</f>
        <v/>
      </c>
      <c r="Q840" s="31" t="str">
        <f aca="false">IF($E840="","",IF(ISNUMBER(SEARCH("(externo)",$G840)),"Terceirizada","Interna"))</f>
        <v/>
      </c>
      <c r="R840" s="36" t="str">
        <f aca="false">IF($J840="","",IF($M840="",$J840,$M840))</f>
        <v/>
      </c>
      <c r="S840" s="31" t="str">
        <f aca="false">IF($E840="","",IF(OR($K840="",$J840=""),0,IF($K840&lt;=$J840,1,0)))</f>
        <v/>
      </c>
      <c r="T840" s="31" t="str">
        <f aca="false">IF($E840="","",IF(OR($K840="",$R840=""),0,IF($K840&lt;=$R840,1,0)))</f>
        <v/>
      </c>
      <c r="U840" s="38" t="str">
        <f aca="false">IF(OR($K840="",$J840=""),"",MAX(0,$K840-$J840))</f>
        <v/>
      </c>
      <c r="V840" s="31" t="str">
        <f aca="false">IF($E840="","",IF(AND($M840&lt;&gt;"",$J840&lt;&gt;"",$M840&lt;&gt;$J840),1,0))</f>
        <v/>
      </c>
      <c r="W840" s="39" t="str">
        <f aca="false">IF($E840="","",IF($L840="Cancelada",0,IF(OR($K840&lt;&gt;"",$L840="Concluída"),1,0)))</f>
        <v/>
      </c>
    </row>
    <row r="841" customFormat="false" ht="15" hidden="false" customHeight="true" outlineLevel="0" collapsed="false">
      <c r="A841" s="31" t="str">
        <f aca="false">IF($E841="","",COUNTA($E$5:$E841))</f>
        <v/>
      </c>
      <c r="B841" s="32"/>
      <c r="C841" s="32"/>
      <c r="D841" s="32"/>
      <c r="E841" s="32"/>
      <c r="F841" s="33"/>
      <c r="G841" s="32"/>
      <c r="H841" s="34"/>
      <c r="I841" s="35"/>
      <c r="J841" s="36" t="str">
        <f aca="false">IF(OR($H841="",$I841=""),"",$H841+MATCH($I841,Listas!$F$5:$F$11,0)-1)</f>
        <v/>
      </c>
      <c r="K841" s="37"/>
      <c r="L841" s="33"/>
      <c r="M841" s="37"/>
      <c r="N841" s="32"/>
      <c r="O841" s="32"/>
      <c r="P841" s="38" t="str">
        <f aca="true">IF($E841="","",IF($L841="Cancelada","Cancelada",IF(OR($K841&lt;&gt;"",$L841="Concluída"),IF(OR($J841="",$K841="",$K841&lt;=$J841),"Concluída","Concluída com atraso"),IF($J841="","Na carteira",IF($J841&lt;TODAY(),"VENCIDA",IF($L841="Em execução","Em execução",IF($J841=TODAY(),"Hoje","Programada")))))))</f>
        <v/>
      </c>
      <c r="Q841" s="31" t="str">
        <f aca="false">IF($E841="","",IF(ISNUMBER(SEARCH("(externo)",$G841)),"Terceirizada","Interna"))</f>
        <v/>
      </c>
      <c r="R841" s="36" t="str">
        <f aca="false">IF($J841="","",IF($M841="",$J841,$M841))</f>
        <v/>
      </c>
      <c r="S841" s="31" t="str">
        <f aca="false">IF($E841="","",IF(OR($K841="",$J841=""),0,IF($K841&lt;=$J841,1,0)))</f>
        <v/>
      </c>
      <c r="T841" s="31" t="str">
        <f aca="false">IF($E841="","",IF(OR($K841="",$R841=""),0,IF($K841&lt;=$R841,1,0)))</f>
        <v/>
      </c>
      <c r="U841" s="38" t="str">
        <f aca="false">IF(OR($K841="",$J841=""),"",MAX(0,$K841-$J841))</f>
        <v/>
      </c>
      <c r="V841" s="31" t="str">
        <f aca="false">IF($E841="","",IF(AND($M841&lt;&gt;"",$J841&lt;&gt;"",$M841&lt;&gt;$J841),1,0))</f>
        <v/>
      </c>
      <c r="W841" s="39" t="str">
        <f aca="false">IF($E841="","",IF($L841="Cancelada",0,IF(OR($K841&lt;&gt;"",$L841="Concluída"),1,0)))</f>
        <v/>
      </c>
    </row>
    <row r="842" customFormat="false" ht="15" hidden="false" customHeight="true" outlineLevel="0" collapsed="false">
      <c r="A842" s="31" t="str">
        <f aca="false">IF($E842="","",COUNTA($E$5:$E842))</f>
        <v/>
      </c>
      <c r="B842" s="32"/>
      <c r="C842" s="32"/>
      <c r="D842" s="32"/>
      <c r="E842" s="32"/>
      <c r="F842" s="33"/>
      <c r="G842" s="32"/>
      <c r="H842" s="34"/>
      <c r="I842" s="35"/>
      <c r="J842" s="36" t="str">
        <f aca="false">IF(OR($H842="",$I842=""),"",$H842+MATCH($I842,Listas!$F$5:$F$11,0)-1)</f>
        <v/>
      </c>
      <c r="K842" s="37"/>
      <c r="L842" s="33"/>
      <c r="M842" s="37"/>
      <c r="N842" s="32"/>
      <c r="O842" s="32"/>
      <c r="P842" s="38" t="str">
        <f aca="true">IF($E842="","",IF($L842="Cancelada","Cancelada",IF(OR($K842&lt;&gt;"",$L842="Concluída"),IF(OR($J842="",$K842="",$K842&lt;=$J842),"Concluída","Concluída com atraso"),IF($J842="","Na carteira",IF($J842&lt;TODAY(),"VENCIDA",IF($L842="Em execução","Em execução",IF($J842=TODAY(),"Hoje","Programada")))))))</f>
        <v/>
      </c>
      <c r="Q842" s="31" t="str">
        <f aca="false">IF($E842="","",IF(ISNUMBER(SEARCH("(externo)",$G842)),"Terceirizada","Interna"))</f>
        <v/>
      </c>
      <c r="R842" s="36" t="str">
        <f aca="false">IF($J842="","",IF($M842="",$J842,$M842))</f>
        <v/>
      </c>
      <c r="S842" s="31" t="str">
        <f aca="false">IF($E842="","",IF(OR($K842="",$J842=""),0,IF($K842&lt;=$J842,1,0)))</f>
        <v/>
      </c>
      <c r="T842" s="31" t="str">
        <f aca="false">IF($E842="","",IF(OR($K842="",$R842=""),0,IF($K842&lt;=$R842,1,0)))</f>
        <v/>
      </c>
      <c r="U842" s="38" t="str">
        <f aca="false">IF(OR($K842="",$J842=""),"",MAX(0,$K842-$J842))</f>
        <v/>
      </c>
      <c r="V842" s="31" t="str">
        <f aca="false">IF($E842="","",IF(AND($M842&lt;&gt;"",$J842&lt;&gt;"",$M842&lt;&gt;$J842),1,0))</f>
        <v/>
      </c>
      <c r="W842" s="39" t="str">
        <f aca="false">IF($E842="","",IF($L842="Cancelada",0,IF(OR($K842&lt;&gt;"",$L842="Concluída"),1,0)))</f>
        <v/>
      </c>
    </row>
    <row r="843" customFormat="false" ht="15" hidden="false" customHeight="true" outlineLevel="0" collapsed="false">
      <c r="A843" s="31" t="str">
        <f aca="false">IF($E843="","",COUNTA($E$5:$E843))</f>
        <v/>
      </c>
      <c r="B843" s="32"/>
      <c r="C843" s="32"/>
      <c r="D843" s="32"/>
      <c r="E843" s="32"/>
      <c r="F843" s="33"/>
      <c r="G843" s="32"/>
      <c r="H843" s="34"/>
      <c r="I843" s="35"/>
      <c r="J843" s="36" t="str">
        <f aca="false">IF(OR($H843="",$I843=""),"",$H843+MATCH($I843,Listas!$F$5:$F$11,0)-1)</f>
        <v/>
      </c>
      <c r="K843" s="37"/>
      <c r="L843" s="33"/>
      <c r="M843" s="37"/>
      <c r="N843" s="32"/>
      <c r="O843" s="32"/>
      <c r="P843" s="38" t="str">
        <f aca="true">IF($E843="","",IF($L843="Cancelada","Cancelada",IF(OR($K843&lt;&gt;"",$L843="Concluída"),IF(OR($J843="",$K843="",$K843&lt;=$J843),"Concluída","Concluída com atraso"),IF($J843="","Na carteira",IF($J843&lt;TODAY(),"VENCIDA",IF($L843="Em execução","Em execução",IF($J843=TODAY(),"Hoje","Programada")))))))</f>
        <v/>
      </c>
      <c r="Q843" s="31" t="str">
        <f aca="false">IF($E843="","",IF(ISNUMBER(SEARCH("(externo)",$G843)),"Terceirizada","Interna"))</f>
        <v/>
      </c>
      <c r="R843" s="36" t="str">
        <f aca="false">IF($J843="","",IF($M843="",$J843,$M843))</f>
        <v/>
      </c>
      <c r="S843" s="31" t="str">
        <f aca="false">IF($E843="","",IF(OR($K843="",$J843=""),0,IF($K843&lt;=$J843,1,0)))</f>
        <v/>
      </c>
      <c r="T843" s="31" t="str">
        <f aca="false">IF($E843="","",IF(OR($K843="",$R843=""),0,IF($K843&lt;=$R843,1,0)))</f>
        <v/>
      </c>
      <c r="U843" s="38" t="str">
        <f aca="false">IF(OR($K843="",$J843=""),"",MAX(0,$K843-$J843))</f>
        <v/>
      </c>
      <c r="V843" s="31" t="str">
        <f aca="false">IF($E843="","",IF(AND($M843&lt;&gt;"",$J843&lt;&gt;"",$M843&lt;&gt;$J843),1,0))</f>
        <v/>
      </c>
      <c r="W843" s="39" t="str">
        <f aca="false">IF($E843="","",IF($L843="Cancelada",0,IF(OR($K843&lt;&gt;"",$L843="Concluída"),1,0)))</f>
        <v/>
      </c>
    </row>
    <row r="844" customFormat="false" ht="15" hidden="false" customHeight="true" outlineLevel="0" collapsed="false">
      <c r="A844" s="31" t="str">
        <f aca="false">IF($E844="","",COUNTA($E$5:$E844))</f>
        <v/>
      </c>
      <c r="B844" s="32"/>
      <c r="C844" s="32"/>
      <c r="D844" s="32"/>
      <c r="E844" s="32"/>
      <c r="F844" s="33"/>
      <c r="G844" s="32"/>
      <c r="H844" s="34"/>
      <c r="I844" s="35"/>
      <c r="J844" s="36" t="str">
        <f aca="false">IF(OR($H844="",$I844=""),"",$H844+MATCH($I844,Listas!$F$5:$F$11,0)-1)</f>
        <v/>
      </c>
      <c r="K844" s="37"/>
      <c r="L844" s="33"/>
      <c r="M844" s="37"/>
      <c r="N844" s="32"/>
      <c r="O844" s="32"/>
      <c r="P844" s="38" t="str">
        <f aca="true">IF($E844="","",IF($L844="Cancelada","Cancelada",IF(OR($K844&lt;&gt;"",$L844="Concluída"),IF(OR($J844="",$K844="",$K844&lt;=$J844),"Concluída","Concluída com atraso"),IF($J844="","Na carteira",IF($J844&lt;TODAY(),"VENCIDA",IF($L844="Em execução","Em execução",IF($J844=TODAY(),"Hoje","Programada")))))))</f>
        <v/>
      </c>
      <c r="Q844" s="31" t="str">
        <f aca="false">IF($E844="","",IF(ISNUMBER(SEARCH("(externo)",$G844)),"Terceirizada","Interna"))</f>
        <v/>
      </c>
      <c r="R844" s="36" t="str">
        <f aca="false">IF($J844="","",IF($M844="",$J844,$M844))</f>
        <v/>
      </c>
      <c r="S844" s="31" t="str">
        <f aca="false">IF($E844="","",IF(OR($K844="",$J844=""),0,IF($K844&lt;=$J844,1,0)))</f>
        <v/>
      </c>
      <c r="T844" s="31" t="str">
        <f aca="false">IF($E844="","",IF(OR($K844="",$R844=""),0,IF($K844&lt;=$R844,1,0)))</f>
        <v/>
      </c>
      <c r="U844" s="38" t="str">
        <f aca="false">IF(OR($K844="",$J844=""),"",MAX(0,$K844-$J844))</f>
        <v/>
      </c>
      <c r="V844" s="31" t="str">
        <f aca="false">IF($E844="","",IF(AND($M844&lt;&gt;"",$J844&lt;&gt;"",$M844&lt;&gt;$J844),1,0))</f>
        <v/>
      </c>
      <c r="W844" s="39" t="str">
        <f aca="false">IF($E844="","",IF($L844="Cancelada",0,IF(OR($K844&lt;&gt;"",$L844="Concluída"),1,0)))</f>
        <v/>
      </c>
    </row>
    <row r="845" customFormat="false" ht="15" hidden="false" customHeight="true" outlineLevel="0" collapsed="false">
      <c r="A845" s="31" t="str">
        <f aca="false">IF($E845="","",COUNTA($E$5:$E845))</f>
        <v/>
      </c>
      <c r="B845" s="32"/>
      <c r="C845" s="32"/>
      <c r="D845" s="32"/>
      <c r="E845" s="32"/>
      <c r="F845" s="33"/>
      <c r="G845" s="32"/>
      <c r="H845" s="34"/>
      <c r="I845" s="35"/>
      <c r="J845" s="36" t="str">
        <f aca="false">IF(OR($H845="",$I845=""),"",$H845+MATCH($I845,Listas!$F$5:$F$11,0)-1)</f>
        <v/>
      </c>
      <c r="K845" s="37"/>
      <c r="L845" s="33"/>
      <c r="M845" s="37"/>
      <c r="N845" s="32"/>
      <c r="O845" s="32"/>
      <c r="P845" s="38" t="str">
        <f aca="true">IF($E845="","",IF($L845="Cancelada","Cancelada",IF(OR($K845&lt;&gt;"",$L845="Concluída"),IF(OR($J845="",$K845="",$K845&lt;=$J845),"Concluída","Concluída com atraso"),IF($J845="","Na carteira",IF($J845&lt;TODAY(),"VENCIDA",IF($L845="Em execução","Em execução",IF($J845=TODAY(),"Hoje","Programada")))))))</f>
        <v/>
      </c>
      <c r="Q845" s="31" t="str">
        <f aca="false">IF($E845="","",IF(ISNUMBER(SEARCH("(externo)",$G845)),"Terceirizada","Interna"))</f>
        <v/>
      </c>
      <c r="R845" s="36" t="str">
        <f aca="false">IF($J845="","",IF($M845="",$J845,$M845))</f>
        <v/>
      </c>
      <c r="S845" s="31" t="str">
        <f aca="false">IF($E845="","",IF(OR($K845="",$J845=""),0,IF($K845&lt;=$J845,1,0)))</f>
        <v/>
      </c>
      <c r="T845" s="31" t="str">
        <f aca="false">IF($E845="","",IF(OR($K845="",$R845=""),0,IF($K845&lt;=$R845,1,0)))</f>
        <v/>
      </c>
      <c r="U845" s="38" t="str">
        <f aca="false">IF(OR($K845="",$J845=""),"",MAX(0,$K845-$J845))</f>
        <v/>
      </c>
      <c r="V845" s="31" t="str">
        <f aca="false">IF($E845="","",IF(AND($M845&lt;&gt;"",$J845&lt;&gt;"",$M845&lt;&gt;$J845),1,0))</f>
        <v/>
      </c>
      <c r="W845" s="39" t="str">
        <f aca="false">IF($E845="","",IF($L845="Cancelada",0,IF(OR($K845&lt;&gt;"",$L845="Concluída"),1,0)))</f>
        <v/>
      </c>
    </row>
    <row r="846" customFormat="false" ht="15" hidden="false" customHeight="true" outlineLevel="0" collapsed="false">
      <c r="A846" s="31" t="str">
        <f aca="false">IF($E846="","",COUNTA($E$5:$E846))</f>
        <v/>
      </c>
      <c r="B846" s="32"/>
      <c r="C846" s="32"/>
      <c r="D846" s="32"/>
      <c r="E846" s="32"/>
      <c r="F846" s="33"/>
      <c r="G846" s="32"/>
      <c r="H846" s="34"/>
      <c r="I846" s="35"/>
      <c r="J846" s="36" t="str">
        <f aca="false">IF(OR($H846="",$I846=""),"",$H846+MATCH($I846,Listas!$F$5:$F$11,0)-1)</f>
        <v/>
      </c>
      <c r="K846" s="37"/>
      <c r="L846" s="33"/>
      <c r="M846" s="37"/>
      <c r="N846" s="32"/>
      <c r="O846" s="32"/>
      <c r="P846" s="38" t="str">
        <f aca="true">IF($E846="","",IF($L846="Cancelada","Cancelada",IF(OR($K846&lt;&gt;"",$L846="Concluída"),IF(OR($J846="",$K846="",$K846&lt;=$J846),"Concluída","Concluída com atraso"),IF($J846="","Na carteira",IF($J846&lt;TODAY(),"VENCIDA",IF($L846="Em execução","Em execução",IF($J846=TODAY(),"Hoje","Programada")))))))</f>
        <v/>
      </c>
      <c r="Q846" s="31" t="str">
        <f aca="false">IF($E846="","",IF(ISNUMBER(SEARCH("(externo)",$G846)),"Terceirizada","Interna"))</f>
        <v/>
      </c>
      <c r="R846" s="36" t="str">
        <f aca="false">IF($J846="","",IF($M846="",$J846,$M846))</f>
        <v/>
      </c>
      <c r="S846" s="31" t="str">
        <f aca="false">IF($E846="","",IF(OR($K846="",$J846=""),0,IF($K846&lt;=$J846,1,0)))</f>
        <v/>
      </c>
      <c r="T846" s="31" t="str">
        <f aca="false">IF($E846="","",IF(OR($K846="",$R846=""),0,IF($K846&lt;=$R846,1,0)))</f>
        <v/>
      </c>
      <c r="U846" s="38" t="str">
        <f aca="false">IF(OR($K846="",$J846=""),"",MAX(0,$K846-$J846))</f>
        <v/>
      </c>
      <c r="V846" s="31" t="str">
        <f aca="false">IF($E846="","",IF(AND($M846&lt;&gt;"",$J846&lt;&gt;"",$M846&lt;&gt;$J846),1,0))</f>
        <v/>
      </c>
      <c r="W846" s="39" t="str">
        <f aca="false">IF($E846="","",IF($L846="Cancelada",0,IF(OR($K846&lt;&gt;"",$L846="Concluída"),1,0)))</f>
        <v/>
      </c>
    </row>
    <row r="847" customFormat="false" ht="15" hidden="false" customHeight="true" outlineLevel="0" collapsed="false">
      <c r="A847" s="31" t="str">
        <f aca="false">IF($E847="","",COUNTA($E$5:$E847))</f>
        <v/>
      </c>
      <c r="B847" s="32"/>
      <c r="C847" s="32"/>
      <c r="D847" s="32"/>
      <c r="E847" s="32"/>
      <c r="F847" s="33"/>
      <c r="G847" s="32"/>
      <c r="H847" s="34"/>
      <c r="I847" s="35"/>
      <c r="J847" s="36" t="str">
        <f aca="false">IF(OR($H847="",$I847=""),"",$H847+MATCH($I847,Listas!$F$5:$F$11,0)-1)</f>
        <v/>
      </c>
      <c r="K847" s="37"/>
      <c r="L847" s="33"/>
      <c r="M847" s="37"/>
      <c r="N847" s="32"/>
      <c r="O847" s="32"/>
      <c r="P847" s="38" t="str">
        <f aca="true">IF($E847="","",IF($L847="Cancelada","Cancelada",IF(OR($K847&lt;&gt;"",$L847="Concluída"),IF(OR($J847="",$K847="",$K847&lt;=$J847),"Concluída","Concluída com atraso"),IF($J847="","Na carteira",IF($J847&lt;TODAY(),"VENCIDA",IF($L847="Em execução","Em execução",IF($J847=TODAY(),"Hoje","Programada")))))))</f>
        <v/>
      </c>
      <c r="Q847" s="31" t="str">
        <f aca="false">IF($E847="","",IF(ISNUMBER(SEARCH("(externo)",$G847)),"Terceirizada","Interna"))</f>
        <v/>
      </c>
      <c r="R847" s="36" t="str">
        <f aca="false">IF($J847="","",IF($M847="",$J847,$M847))</f>
        <v/>
      </c>
      <c r="S847" s="31" t="str">
        <f aca="false">IF($E847="","",IF(OR($K847="",$J847=""),0,IF($K847&lt;=$J847,1,0)))</f>
        <v/>
      </c>
      <c r="T847" s="31" t="str">
        <f aca="false">IF($E847="","",IF(OR($K847="",$R847=""),0,IF($K847&lt;=$R847,1,0)))</f>
        <v/>
      </c>
      <c r="U847" s="38" t="str">
        <f aca="false">IF(OR($K847="",$J847=""),"",MAX(0,$K847-$J847))</f>
        <v/>
      </c>
      <c r="V847" s="31" t="str">
        <f aca="false">IF($E847="","",IF(AND($M847&lt;&gt;"",$J847&lt;&gt;"",$M847&lt;&gt;$J847),1,0))</f>
        <v/>
      </c>
      <c r="W847" s="39" t="str">
        <f aca="false">IF($E847="","",IF($L847="Cancelada",0,IF(OR($K847&lt;&gt;"",$L847="Concluída"),1,0)))</f>
        <v/>
      </c>
    </row>
    <row r="848" customFormat="false" ht="15" hidden="false" customHeight="true" outlineLevel="0" collapsed="false">
      <c r="A848" s="31" t="str">
        <f aca="false">IF($E848="","",COUNTA($E$5:$E848))</f>
        <v/>
      </c>
      <c r="B848" s="32"/>
      <c r="C848" s="32"/>
      <c r="D848" s="32"/>
      <c r="E848" s="32"/>
      <c r="F848" s="33"/>
      <c r="G848" s="32"/>
      <c r="H848" s="34"/>
      <c r="I848" s="35"/>
      <c r="J848" s="36" t="str">
        <f aca="false">IF(OR($H848="",$I848=""),"",$H848+MATCH($I848,Listas!$F$5:$F$11,0)-1)</f>
        <v/>
      </c>
      <c r="K848" s="37"/>
      <c r="L848" s="33"/>
      <c r="M848" s="37"/>
      <c r="N848" s="32"/>
      <c r="O848" s="32"/>
      <c r="P848" s="38" t="str">
        <f aca="true">IF($E848="","",IF($L848="Cancelada","Cancelada",IF(OR($K848&lt;&gt;"",$L848="Concluída"),IF(OR($J848="",$K848="",$K848&lt;=$J848),"Concluída","Concluída com atraso"),IF($J848="","Na carteira",IF($J848&lt;TODAY(),"VENCIDA",IF($L848="Em execução","Em execução",IF($J848=TODAY(),"Hoje","Programada")))))))</f>
        <v/>
      </c>
      <c r="Q848" s="31" t="str">
        <f aca="false">IF($E848="","",IF(ISNUMBER(SEARCH("(externo)",$G848)),"Terceirizada","Interna"))</f>
        <v/>
      </c>
      <c r="R848" s="36" t="str">
        <f aca="false">IF($J848="","",IF($M848="",$J848,$M848))</f>
        <v/>
      </c>
      <c r="S848" s="31" t="str">
        <f aca="false">IF($E848="","",IF(OR($K848="",$J848=""),0,IF($K848&lt;=$J848,1,0)))</f>
        <v/>
      </c>
      <c r="T848" s="31" t="str">
        <f aca="false">IF($E848="","",IF(OR($K848="",$R848=""),0,IF($K848&lt;=$R848,1,0)))</f>
        <v/>
      </c>
      <c r="U848" s="38" t="str">
        <f aca="false">IF(OR($K848="",$J848=""),"",MAX(0,$K848-$J848))</f>
        <v/>
      </c>
      <c r="V848" s="31" t="str">
        <f aca="false">IF($E848="","",IF(AND($M848&lt;&gt;"",$J848&lt;&gt;"",$M848&lt;&gt;$J848),1,0))</f>
        <v/>
      </c>
      <c r="W848" s="39" t="str">
        <f aca="false">IF($E848="","",IF($L848="Cancelada",0,IF(OR($K848&lt;&gt;"",$L848="Concluída"),1,0)))</f>
        <v/>
      </c>
    </row>
    <row r="849" customFormat="false" ht="15" hidden="false" customHeight="true" outlineLevel="0" collapsed="false">
      <c r="A849" s="31" t="str">
        <f aca="false">IF($E849="","",COUNTA($E$5:$E849))</f>
        <v/>
      </c>
      <c r="B849" s="32"/>
      <c r="C849" s="32"/>
      <c r="D849" s="32"/>
      <c r="E849" s="32"/>
      <c r="F849" s="33"/>
      <c r="G849" s="32"/>
      <c r="H849" s="34"/>
      <c r="I849" s="35"/>
      <c r="J849" s="36" t="str">
        <f aca="false">IF(OR($H849="",$I849=""),"",$H849+MATCH($I849,Listas!$F$5:$F$11,0)-1)</f>
        <v/>
      </c>
      <c r="K849" s="37"/>
      <c r="L849" s="33"/>
      <c r="M849" s="37"/>
      <c r="N849" s="32"/>
      <c r="O849" s="32"/>
      <c r="P849" s="38" t="str">
        <f aca="true">IF($E849="","",IF($L849="Cancelada","Cancelada",IF(OR($K849&lt;&gt;"",$L849="Concluída"),IF(OR($J849="",$K849="",$K849&lt;=$J849),"Concluída","Concluída com atraso"),IF($J849="","Na carteira",IF($J849&lt;TODAY(),"VENCIDA",IF($L849="Em execução","Em execução",IF($J849=TODAY(),"Hoje","Programada")))))))</f>
        <v/>
      </c>
      <c r="Q849" s="31" t="str">
        <f aca="false">IF($E849="","",IF(ISNUMBER(SEARCH("(externo)",$G849)),"Terceirizada","Interna"))</f>
        <v/>
      </c>
      <c r="R849" s="36" t="str">
        <f aca="false">IF($J849="","",IF($M849="",$J849,$M849))</f>
        <v/>
      </c>
      <c r="S849" s="31" t="str">
        <f aca="false">IF($E849="","",IF(OR($K849="",$J849=""),0,IF($K849&lt;=$J849,1,0)))</f>
        <v/>
      </c>
      <c r="T849" s="31" t="str">
        <f aca="false">IF($E849="","",IF(OR($K849="",$R849=""),0,IF($K849&lt;=$R849,1,0)))</f>
        <v/>
      </c>
      <c r="U849" s="38" t="str">
        <f aca="false">IF(OR($K849="",$J849=""),"",MAX(0,$K849-$J849))</f>
        <v/>
      </c>
      <c r="V849" s="31" t="str">
        <f aca="false">IF($E849="","",IF(AND($M849&lt;&gt;"",$J849&lt;&gt;"",$M849&lt;&gt;$J849),1,0))</f>
        <v/>
      </c>
      <c r="W849" s="39" t="str">
        <f aca="false">IF($E849="","",IF($L849="Cancelada",0,IF(OR($K849&lt;&gt;"",$L849="Concluída"),1,0)))</f>
        <v/>
      </c>
    </row>
    <row r="850" customFormat="false" ht="15" hidden="false" customHeight="true" outlineLevel="0" collapsed="false">
      <c r="A850" s="31" t="str">
        <f aca="false">IF($E850="","",COUNTA($E$5:$E850))</f>
        <v/>
      </c>
      <c r="B850" s="32"/>
      <c r="C850" s="32"/>
      <c r="D850" s="32"/>
      <c r="E850" s="32"/>
      <c r="F850" s="33"/>
      <c r="G850" s="32"/>
      <c r="H850" s="34"/>
      <c r="I850" s="35"/>
      <c r="J850" s="36" t="str">
        <f aca="false">IF(OR($H850="",$I850=""),"",$H850+MATCH($I850,Listas!$F$5:$F$11,0)-1)</f>
        <v/>
      </c>
      <c r="K850" s="37"/>
      <c r="L850" s="33"/>
      <c r="M850" s="37"/>
      <c r="N850" s="32"/>
      <c r="O850" s="32"/>
      <c r="P850" s="38" t="str">
        <f aca="true">IF($E850="","",IF($L850="Cancelada","Cancelada",IF(OR($K850&lt;&gt;"",$L850="Concluída"),IF(OR($J850="",$K850="",$K850&lt;=$J850),"Concluída","Concluída com atraso"),IF($J850="","Na carteira",IF($J850&lt;TODAY(),"VENCIDA",IF($L850="Em execução","Em execução",IF($J850=TODAY(),"Hoje","Programada")))))))</f>
        <v/>
      </c>
      <c r="Q850" s="31" t="str">
        <f aca="false">IF($E850="","",IF(ISNUMBER(SEARCH("(externo)",$G850)),"Terceirizada","Interna"))</f>
        <v/>
      </c>
      <c r="R850" s="36" t="str">
        <f aca="false">IF($J850="","",IF($M850="",$J850,$M850))</f>
        <v/>
      </c>
      <c r="S850" s="31" t="str">
        <f aca="false">IF($E850="","",IF(OR($K850="",$J850=""),0,IF($K850&lt;=$J850,1,0)))</f>
        <v/>
      </c>
      <c r="T850" s="31" t="str">
        <f aca="false">IF($E850="","",IF(OR($K850="",$R850=""),0,IF($K850&lt;=$R850,1,0)))</f>
        <v/>
      </c>
      <c r="U850" s="38" t="str">
        <f aca="false">IF(OR($K850="",$J850=""),"",MAX(0,$K850-$J850))</f>
        <v/>
      </c>
      <c r="V850" s="31" t="str">
        <f aca="false">IF($E850="","",IF(AND($M850&lt;&gt;"",$J850&lt;&gt;"",$M850&lt;&gt;$J850),1,0))</f>
        <v/>
      </c>
      <c r="W850" s="39" t="str">
        <f aca="false">IF($E850="","",IF($L850="Cancelada",0,IF(OR($K850&lt;&gt;"",$L850="Concluída"),1,0)))</f>
        <v/>
      </c>
    </row>
    <row r="851" customFormat="false" ht="15" hidden="false" customHeight="true" outlineLevel="0" collapsed="false">
      <c r="A851" s="31" t="str">
        <f aca="false">IF($E851="","",COUNTA($E$5:$E851))</f>
        <v/>
      </c>
      <c r="B851" s="32"/>
      <c r="C851" s="32"/>
      <c r="D851" s="32"/>
      <c r="E851" s="32"/>
      <c r="F851" s="33"/>
      <c r="G851" s="32"/>
      <c r="H851" s="34"/>
      <c r="I851" s="35"/>
      <c r="J851" s="36" t="str">
        <f aca="false">IF(OR($H851="",$I851=""),"",$H851+MATCH($I851,Listas!$F$5:$F$11,0)-1)</f>
        <v/>
      </c>
      <c r="K851" s="37"/>
      <c r="L851" s="33"/>
      <c r="M851" s="37"/>
      <c r="N851" s="32"/>
      <c r="O851" s="32"/>
      <c r="P851" s="38" t="str">
        <f aca="true">IF($E851="","",IF($L851="Cancelada","Cancelada",IF(OR($K851&lt;&gt;"",$L851="Concluída"),IF(OR($J851="",$K851="",$K851&lt;=$J851),"Concluída","Concluída com atraso"),IF($J851="","Na carteira",IF($J851&lt;TODAY(),"VENCIDA",IF($L851="Em execução","Em execução",IF($J851=TODAY(),"Hoje","Programada")))))))</f>
        <v/>
      </c>
      <c r="Q851" s="31" t="str">
        <f aca="false">IF($E851="","",IF(ISNUMBER(SEARCH("(externo)",$G851)),"Terceirizada","Interna"))</f>
        <v/>
      </c>
      <c r="R851" s="36" t="str">
        <f aca="false">IF($J851="","",IF($M851="",$J851,$M851))</f>
        <v/>
      </c>
      <c r="S851" s="31" t="str">
        <f aca="false">IF($E851="","",IF(OR($K851="",$J851=""),0,IF($K851&lt;=$J851,1,0)))</f>
        <v/>
      </c>
      <c r="T851" s="31" t="str">
        <f aca="false">IF($E851="","",IF(OR($K851="",$R851=""),0,IF($K851&lt;=$R851,1,0)))</f>
        <v/>
      </c>
      <c r="U851" s="38" t="str">
        <f aca="false">IF(OR($K851="",$J851=""),"",MAX(0,$K851-$J851))</f>
        <v/>
      </c>
      <c r="V851" s="31" t="str">
        <f aca="false">IF($E851="","",IF(AND($M851&lt;&gt;"",$J851&lt;&gt;"",$M851&lt;&gt;$J851),1,0))</f>
        <v/>
      </c>
      <c r="W851" s="39" t="str">
        <f aca="false">IF($E851="","",IF($L851="Cancelada",0,IF(OR($K851&lt;&gt;"",$L851="Concluída"),1,0)))</f>
        <v/>
      </c>
    </row>
    <row r="852" customFormat="false" ht="15" hidden="false" customHeight="true" outlineLevel="0" collapsed="false">
      <c r="A852" s="31" t="str">
        <f aca="false">IF($E852="","",COUNTA($E$5:$E852))</f>
        <v/>
      </c>
      <c r="B852" s="32"/>
      <c r="C852" s="32"/>
      <c r="D852" s="32"/>
      <c r="E852" s="32"/>
      <c r="F852" s="33"/>
      <c r="G852" s="32"/>
      <c r="H852" s="34"/>
      <c r="I852" s="35"/>
      <c r="J852" s="36" t="str">
        <f aca="false">IF(OR($H852="",$I852=""),"",$H852+MATCH($I852,Listas!$F$5:$F$11,0)-1)</f>
        <v/>
      </c>
      <c r="K852" s="37"/>
      <c r="L852" s="33"/>
      <c r="M852" s="37"/>
      <c r="N852" s="32"/>
      <c r="O852" s="32"/>
      <c r="P852" s="38" t="str">
        <f aca="true">IF($E852="","",IF($L852="Cancelada","Cancelada",IF(OR($K852&lt;&gt;"",$L852="Concluída"),IF(OR($J852="",$K852="",$K852&lt;=$J852),"Concluída","Concluída com atraso"),IF($J852="","Na carteira",IF($J852&lt;TODAY(),"VENCIDA",IF($L852="Em execução","Em execução",IF($J852=TODAY(),"Hoje","Programada")))))))</f>
        <v/>
      </c>
      <c r="Q852" s="31" t="str">
        <f aca="false">IF($E852="","",IF(ISNUMBER(SEARCH("(externo)",$G852)),"Terceirizada","Interna"))</f>
        <v/>
      </c>
      <c r="R852" s="36" t="str">
        <f aca="false">IF($J852="","",IF($M852="",$J852,$M852))</f>
        <v/>
      </c>
      <c r="S852" s="31" t="str">
        <f aca="false">IF($E852="","",IF(OR($K852="",$J852=""),0,IF($K852&lt;=$J852,1,0)))</f>
        <v/>
      </c>
      <c r="T852" s="31" t="str">
        <f aca="false">IF($E852="","",IF(OR($K852="",$R852=""),0,IF($K852&lt;=$R852,1,0)))</f>
        <v/>
      </c>
      <c r="U852" s="38" t="str">
        <f aca="false">IF(OR($K852="",$J852=""),"",MAX(0,$K852-$J852))</f>
        <v/>
      </c>
      <c r="V852" s="31" t="str">
        <f aca="false">IF($E852="","",IF(AND($M852&lt;&gt;"",$J852&lt;&gt;"",$M852&lt;&gt;$J852),1,0))</f>
        <v/>
      </c>
      <c r="W852" s="39" t="str">
        <f aca="false">IF($E852="","",IF($L852="Cancelada",0,IF(OR($K852&lt;&gt;"",$L852="Concluída"),1,0)))</f>
        <v/>
      </c>
    </row>
    <row r="853" customFormat="false" ht="15" hidden="false" customHeight="true" outlineLevel="0" collapsed="false">
      <c r="A853" s="31" t="str">
        <f aca="false">IF($E853="","",COUNTA($E$5:$E853))</f>
        <v/>
      </c>
      <c r="B853" s="32"/>
      <c r="C853" s="32"/>
      <c r="D853" s="32"/>
      <c r="E853" s="32"/>
      <c r="F853" s="33"/>
      <c r="G853" s="32"/>
      <c r="H853" s="34"/>
      <c r="I853" s="35"/>
      <c r="J853" s="36" t="str">
        <f aca="false">IF(OR($H853="",$I853=""),"",$H853+MATCH($I853,Listas!$F$5:$F$11,0)-1)</f>
        <v/>
      </c>
      <c r="K853" s="37"/>
      <c r="L853" s="33"/>
      <c r="M853" s="37"/>
      <c r="N853" s="32"/>
      <c r="O853" s="32"/>
      <c r="P853" s="38" t="str">
        <f aca="true">IF($E853="","",IF($L853="Cancelada","Cancelada",IF(OR($K853&lt;&gt;"",$L853="Concluída"),IF(OR($J853="",$K853="",$K853&lt;=$J853),"Concluída","Concluída com atraso"),IF($J853="","Na carteira",IF($J853&lt;TODAY(),"VENCIDA",IF($L853="Em execução","Em execução",IF($J853=TODAY(),"Hoje","Programada")))))))</f>
        <v/>
      </c>
      <c r="Q853" s="31" t="str">
        <f aca="false">IF($E853="","",IF(ISNUMBER(SEARCH("(externo)",$G853)),"Terceirizada","Interna"))</f>
        <v/>
      </c>
      <c r="R853" s="36" t="str">
        <f aca="false">IF($J853="","",IF($M853="",$J853,$M853))</f>
        <v/>
      </c>
      <c r="S853" s="31" t="str">
        <f aca="false">IF($E853="","",IF(OR($K853="",$J853=""),0,IF($K853&lt;=$J853,1,0)))</f>
        <v/>
      </c>
      <c r="T853" s="31" t="str">
        <f aca="false">IF($E853="","",IF(OR($K853="",$R853=""),0,IF($K853&lt;=$R853,1,0)))</f>
        <v/>
      </c>
      <c r="U853" s="38" t="str">
        <f aca="false">IF(OR($K853="",$J853=""),"",MAX(0,$K853-$J853))</f>
        <v/>
      </c>
      <c r="V853" s="31" t="str">
        <f aca="false">IF($E853="","",IF(AND($M853&lt;&gt;"",$J853&lt;&gt;"",$M853&lt;&gt;$J853),1,0))</f>
        <v/>
      </c>
      <c r="W853" s="39" t="str">
        <f aca="false">IF($E853="","",IF($L853="Cancelada",0,IF(OR($K853&lt;&gt;"",$L853="Concluída"),1,0)))</f>
        <v/>
      </c>
    </row>
    <row r="854" customFormat="false" ht="15" hidden="false" customHeight="true" outlineLevel="0" collapsed="false">
      <c r="A854" s="31" t="str">
        <f aca="false">IF($E854="","",COUNTA($E$5:$E854))</f>
        <v/>
      </c>
      <c r="B854" s="32"/>
      <c r="C854" s="32"/>
      <c r="D854" s="32"/>
      <c r="E854" s="32"/>
      <c r="F854" s="33"/>
      <c r="G854" s="32"/>
      <c r="H854" s="34"/>
      <c r="I854" s="35"/>
      <c r="J854" s="36" t="str">
        <f aca="false">IF(OR($H854="",$I854=""),"",$H854+MATCH($I854,Listas!$F$5:$F$11,0)-1)</f>
        <v/>
      </c>
      <c r="K854" s="37"/>
      <c r="L854" s="33"/>
      <c r="M854" s="37"/>
      <c r="N854" s="32"/>
      <c r="O854" s="32"/>
      <c r="P854" s="38" t="str">
        <f aca="true">IF($E854="","",IF($L854="Cancelada","Cancelada",IF(OR($K854&lt;&gt;"",$L854="Concluída"),IF(OR($J854="",$K854="",$K854&lt;=$J854),"Concluída","Concluída com atraso"),IF($J854="","Na carteira",IF($J854&lt;TODAY(),"VENCIDA",IF($L854="Em execução","Em execução",IF($J854=TODAY(),"Hoje","Programada")))))))</f>
        <v/>
      </c>
      <c r="Q854" s="31" t="str">
        <f aca="false">IF($E854="","",IF(ISNUMBER(SEARCH("(externo)",$G854)),"Terceirizada","Interna"))</f>
        <v/>
      </c>
      <c r="R854" s="36" t="str">
        <f aca="false">IF($J854="","",IF($M854="",$J854,$M854))</f>
        <v/>
      </c>
      <c r="S854" s="31" t="str">
        <f aca="false">IF($E854="","",IF(OR($K854="",$J854=""),0,IF($K854&lt;=$J854,1,0)))</f>
        <v/>
      </c>
      <c r="T854" s="31" t="str">
        <f aca="false">IF($E854="","",IF(OR($K854="",$R854=""),0,IF($K854&lt;=$R854,1,0)))</f>
        <v/>
      </c>
      <c r="U854" s="38" t="str">
        <f aca="false">IF(OR($K854="",$J854=""),"",MAX(0,$K854-$J854))</f>
        <v/>
      </c>
      <c r="V854" s="31" t="str">
        <f aca="false">IF($E854="","",IF(AND($M854&lt;&gt;"",$J854&lt;&gt;"",$M854&lt;&gt;$J854),1,0))</f>
        <v/>
      </c>
      <c r="W854" s="39" t="str">
        <f aca="false">IF($E854="","",IF($L854="Cancelada",0,IF(OR($K854&lt;&gt;"",$L854="Concluída"),1,0)))</f>
        <v/>
      </c>
    </row>
    <row r="855" customFormat="false" ht="15" hidden="false" customHeight="true" outlineLevel="0" collapsed="false">
      <c r="A855" s="31" t="str">
        <f aca="false">IF($E855="","",COUNTA($E$5:$E855))</f>
        <v/>
      </c>
      <c r="B855" s="32"/>
      <c r="C855" s="32"/>
      <c r="D855" s="32"/>
      <c r="E855" s="32"/>
      <c r="F855" s="33"/>
      <c r="G855" s="32"/>
      <c r="H855" s="34"/>
      <c r="I855" s="35"/>
      <c r="J855" s="36" t="str">
        <f aca="false">IF(OR($H855="",$I855=""),"",$H855+MATCH($I855,Listas!$F$5:$F$11,0)-1)</f>
        <v/>
      </c>
      <c r="K855" s="37"/>
      <c r="L855" s="33"/>
      <c r="M855" s="37"/>
      <c r="N855" s="32"/>
      <c r="O855" s="32"/>
      <c r="P855" s="38" t="str">
        <f aca="true">IF($E855="","",IF($L855="Cancelada","Cancelada",IF(OR($K855&lt;&gt;"",$L855="Concluída"),IF(OR($J855="",$K855="",$K855&lt;=$J855),"Concluída","Concluída com atraso"),IF($J855="","Na carteira",IF($J855&lt;TODAY(),"VENCIDA",IF($L855="Em execução","Em execução",IF($J855=TODAY(),"Hoje","Programada")))))))</f>
        <v/>
      </c>
      <c r="Q855" s="31" t="str">
        <f aca="false">IF($E855="","",IF(ISNUMBER(SEARCH("(externo)",$G855)),"Terceirizada","Interna"))</f>
        <v/>
      </c>
      <c r="R855" s="36" t="str">
        <f aca="false">IF($J855="","",IF($M855="",$J855,$M855))</f>
        <v/>
      </c>
      <c r="S855" s="31" t="str">
        <f aca="false">IF($E855="","",IF(OR($K855="",$J855=""),0,IF($K855&lt;=$J855,1,0)))</f>
        <v/>
      </c>
      <c r="T855" s="31" t="str">
        <f aca="false">IF($E855="","",IF(OR($K855="",$R855=""),0,IF($K855&lt;=$R855,1,0)))</f>
        <v/>
      </c>
      <c r="U855" s="38" t="str">
        <f aca="false">IF(OR($K855="",$J855=""),"",MAX(0,$K855-$J855))</f>
        <v/>
      </c>
      <c r="V855" s="31" t="str">
        <f aca="false">IF($E855="","",IF(AND($M855&lt;&gt;"",$J855&lt;&gt;"",$M855&lt;&gt;$J855),1,0))</f>
        <v/>
      </c>
      <c r="W855" s="39" t="str">
        <f aca="false">IF($E855="","",IF($L855="Cancelada",0,IF(OR($K855&lt;&gt;"",$L855="Concluída"),1,0)))</f>
        <v/>
      </c>
    </row>
    <row r="856" customFormat="false" ht="15" hidden="false" customHeight="true" outlineLevel="0" collapsed="false">
      <c r="A856" s="31" t="str">
        <f aca="false">IF($E856="","",COUNTA($E$5:$E856))</f>
        <v/>
      </c>
      <c r="B856" s="32"/>
      <c r="C856" s="32"/>
      <c r="D856" s="32"/>
      <c r="E856" s="32"/>
      <c r="F856" s="33"/>
      <c r="G856" s="32"/>
      <c r="H856" s="34"/>
      <c r="I856" s="35"/>
      <c r="J856" s="36" t="str">
        <f aca="false">IF(OR($H856="",$I856=""),"",$H856+MATCH($I856,Listas!$F$5:$F$11,0)-1)</f>
        <v/>
      </c>
      <c r="K856" s="37"/>
      <c r="L856" s="33"/>
      <c r="M856" s="37"/>
      <c r="N856" s="32"/>
      <c r="O856" s="32"/>
      <c r="P856" s="38" t="str">
        <f aca="true">IF($E856="","",IF($L856="Cancelada","Cancelada",IF(OR($K856&lt;&gt;"",$L856="Concluída"),IF(OR($J856="",$K856="",$K856&lt;=$J856),"Concluída","Concluída com atraso"),IF($J856="","Na carteira",IF($J856&lt;TODAY(),"VENCIDA",IF($L856="Em execução","Em execução",IF($J856=TODAY(),"Hoje","Programada")))))))</f>
        <v/>
      </c>
      <c r="Q856" s="31" t="str">
        <f aca="false">IF($E856="","",IF(ISNUMBER(SEARCH("(externo)",$G856)),"Terceirizada","Interna"))</f>
        <v/>
      </c>
      <c r="R856" s="36" t="str">
        <f aca="false">IF($J856="","",IF($M856="",$J856,$M856))</f>
        <v/>
      </c>
      <c r="S856" s="31" t="str">
        <f aca="false">IF($E856="","",IF(OR($K856="",$J856=""),0,IF($K856&lt;=$J856,1,0)))</f>
        <v/>
      </c>
      <c r="T856" s="31" t="str">
        <f aca="false">IF($E856="","",IF(OR($K856="",$R856=""),0,IF($K856&lt;=$R856,1,0)))</f>
        <v/>
      </c>
      <c r="U856" s="38" t="str">
        <f aca="false">IF(OR($K856="",$J856=""),"",MAX(0,$K856-$J856))</f>
        <v/>
      </c>
      <c r="V856" s="31" t="str">
        <f aca="false">IF($E856="","",IF(AND($M856&lt;&gt;"",$J856&lt;&gt;"",$M856&lt;&gt;$J856),1,0))</f>
        <v/>
      </c>
      <c r="W856" s="39" t="str">
        <f aca="false">IF($E856="","",IF($L856="Cancelada",0,IF(OR($K856&lt;&gt;"",$L856="Concluída"),1,0)))</f>
        <v/>
      </c>
    </row>
    <row r="857" customFormat="false" ht="15" hidden="false" customHeight="true" outlineLevel="0" collapsed="false">
      <c r="A857" s="31" t="str">
        <f aca="false">IF($E857="","",COUNTA($E$5:$E857))</f>
        <v/>
      </c>
      <c r="B857" s="32"/>
      <c r="C857" s="32"/>
      <c r="D857" s="32"/>
      <c r="E857" s="32"/>
      <c r="F857" s="33"/>
      <c r="G857" s="32"/>
      <c r="H857" s="34"/>
      <c r="I857" s="35"/>
      <c r="J857" s="36" t="str">
        <f aca="false">IF(OR($H857="",$I857=""),"",$H857+MATCH($I857,Listas!$F$5:$F$11,0)-1)</f>
        <v/>
      </c>
      <c r="K857" s="37"/>
      <c r="L857" s="33"/>
      <c r="M857" s="37"/>
      <c r="N857" s="32"/>
      <c r="O857" s="32"/>
      <c r="P857" s="38" t="str">
        <f aca="true">IF($E857="","",IF($L857="Cancelada","Cancelada",IF(OR($K857&lt;&gt;"",$L857="Concluída"),IF(OR($J857="",$K857="",$K857&lt;=$J857),"Concluída","Concluída com atraso"),IF($J857="","Na carteira",IF($J857&lt;TODAY(),"VENCIDA",IF($L857="Em execução","Em execução",IF($J857=TODAY(),"Hoje","Programada")))))))</f>
        <v/>
      </c>
      <c r="Q857" s="31" t="str">
        <f aca="false">IF($E857="","",IF(ISNUMBER(SEARCH("(externo)",$G857)),"Terceirizada","Interna"))</f>
        <v/>
      </c>
      <c r="R857" s="36" t="str">
        <f aca="false">IF($J857="","",IF($M857="",$J857,$M857))</f>
        <v/>
      </c>
      <c r="S857" s="31" t="str">
        <f aca="false">IF($E857="","",IF(OR($K857="",$J857=""),0,IF($K857&lt;=$J857,1,0)))</f>
        <v/>
      </c>
      <c r="T857" s="31" t="str">
        <f aca="false">IF($E857="","",IF(OR($K857="",$R857=""),0,IF($K857&lt;=$R857,1,0)))</f>
        <v/>
      </c>
      <c r="U857" s="38" t="str">
        <f aca="false">IF(OR($K857="",$J857=""),"",MAX(0,$K857-$J857))</f>
        <v/>
      </c>
      <c r="V857" s="31" t="str">
        <f aca="false">IF($E857="","",IF(AND($M857&lt;&gt;"",$J857&lt;&gt;"",$M857&lt;&gt;$J857),1,0))</f>
        <v/>
      </c>
      <c r="W857" s="39" t="str">
        <f aca="false">IF($E857="","",IF($L857="Cancelada",0,IF(OR($K857&lt;&gt;"",$L857="Concluída"),1,0)))</f>
        <v/>
      </c>
    </row>
    <row r="858" customFormat="false" ht="15" hidden="false" customHeight="true" outlineLevel="0" collapsed="false">
      <c r="A858" s="31" t="str">
        <f aca="false">IF($E858="","",COUNTA($E$5:$E858))</f>
        <v/>
      </c>
      <c r="B858" s="32"/>
      <c r="C858" s="32"/>
      <c r="D858" s="32"/>
      <c r="E858" s="32"/>
      <c r="F858" s="33"/>
      <c r="G858" s="32"/>
      <c r="H858" s="34"/>
      <c r="I858" s="35"/>
      <c r="J858" s="36" t="str">
        <f aca="false">IF(OR($H858="",$I858=""),"",$H858+MATCH($I858,Listas!$F$5:$F$11,0)-1)</f>
        <v/>
      </c>
      <c r="K858" s="37"/>
      <c r="L858" s="33"/>
      <c r="M858" s="37"/>
      <c r="N858" s="32"/>
      <c r="O858" s="32"/>
      <c r="P858" s="38" t="str">
        <f aca="true">IF($E858="","",IF($L858="Cancelada","Cancelada",IF(OR($K858&lt;&gt;"",$L858="Concluída"),IF(OR($J858="",$K858="",$K858&lt;=$J858),"Concluída","Concluída com atraso"),IF($J858="","Na carteira",IF($J858&lt;TODAY(),"VENCIDA",IF($L858="Em execução","Em execução",IF($J858=TODAY(),"Hoje","Programada")))))))</f>
        <v/>
      </c>
      <c r="Q858" s="31" t="str">
        <f aca="false">IF($E858="","",IF(ISNUMBER(SEARCH("(externo)",$G858)),"Terceirizada","Interna"))</f>
        <v/>
      </c>
      <c r="R858" s="36" t="str">
        <f aca="false">IF($J858="","",IF($M858="",$J858,$M858))</f>
        <v/>
      </c>
      <c r="S858" s="31" t="str">
        <f aca="false">IF($E858="","",IF(OR($K858="",$J858=""),0,IF($K858&lt;=$J858,1,0)))</f>
        <v/>
      </c>
      <c r="T858" s="31" t="str">
        <f aca="false">IF($E858="","",IF(OR($K858="",$R858=""),0,IF($K858&lt;=$R858,1,0)))</f>
        <v/>
      </c>
      <c r="U858" s="38" t="str">
        <f aca="false">IF(OR($K858="",$J858=""),"",MAX(0,$K858-$J858))</f>
        <v/>
      </c>
      <c r="V858" s="31" t="str">
        <f aca="false">IF($E858="","",IF(AND($M858&lt;&gt;"",$J858&lt;&gt;"",$M858&lt;&gt;$J858),1,0))</f>
        <v/>
      </c>
      <c r="W858" s="39" t="str">
        <f aca="false">IF($E858="","",IF($L858="Cancelada",0,IF(OR($K858&lt;&gt;"",$L858="Concluída"),1,0)))</f>
        <v/>
      </c>
    </row>
    <row r="859" customFormat="false" ht="15" hidden="false" customHeight="true" outlineLevel="0" collapsed="false">
      <c r="A859" s="31" t="str">
        <f aca="false">IF($E859="","",COUNTA($E$5:$E859))</f>
        <v/>
      </c>
      <c r="B859" s="32"/>
      <c r="C859" s="32"/>
      <c r="D859" s="32"/>
      <c r="E859" s="32"/>
      <c r="F859" s="33"/>
      <c r="G859" s="32"/>
      <c r="H859" s="34"/>
      <c r="I859" s="35"/>
      <c r="J859" s="36" t="str">
        <f aca="false">IF(OR($H859="",$I859=""),"",$H859+MATCH($I859,Listas!$F$5:$F$11,0)-1)</f>
        <v/>
      </c>
      <c r="K859" s="37"/>
      <c r="L859" s="33"/>
      <c r="M859" s="37"/>
      <c r="N859" s="32"/>
      <c r="O859" s="32"/>
      <c r="P859" s="38" t="str">
        <f aca="true">IF($E859="","",IF($L859="Cancelada","Cancelada",IF(OR($K859&lt;&gt;"",$L859="Concluída"),IF(OR($J859="",$K859="",$K859&lt;=$J859),"Concluída","Concluída com atraso"),IF($J859="","Na carteira",IF($J859&lt;TODAY(),"VENCIDA",IF($L859="Em execução","Em execução",IF($J859=TODAY(),"Hoje","Programada")))))))</f>
        <v/>
      </c>
      <c r="Q859" s="31" t="str">
        <f aca="false">IF($E859="","",IF(ISNUMBER(SEARCH("(externo)",$G859)),"Terceirizada","Interna"))</f>
        <v/>
      </c>
      <c r="R859" s="36" t="str">
        <f aca="false">IF($J859="","",IF($M859="",$J859,$M859))</f>
        <v/>
      </c>
      <c r="S859" s="31" t="str">
        <f aca="false">IF($E859="","",IF(OR($K859="",$J859=""),0,IF($K859&lt;=$J859,1,0)))</f>
        <v/>
      </c>
      <c r="T859" s="31" t="str">
        <f aca="false">IF($E859="","",IF(OR($K859="",$R859=""),0,IF($K859&lt;=$R859,1,0)))</f>
        <v/>
      </c>
      <c r="U859" s="38" t="str">
        <f aca="false">IF(OR($K859="",$J859=""),"",MAX(0,$K859-$J859))</f>
        <v/>
      </c>
      <c r="V859" s="31" t="str">
        <f aca="false">IF($E859="","",IF(AND($M859&lt;&gt;"",$J859&lt;&gt;"",$M859&lt;&gt;$J859),1,0))</f>
        <v/>
      </c>
      <c r="W859" s="39" t="str">
        <f aca="false">IF($E859="","",IF($L859="Cancelada",0,IF(OR($K859&lt;&gt;"",$L859="Concluída"),1,0)))</f>
        <v/>
      </c>
    </row>
    <row r="860" customFormat="false" ht="15" hidden="false" customHeight="true" outlineLevel="0" collapsed="false">
      <c r="A860" s="31" t="str">
        <f aca="false">IF($E860="","",COUNTA($E$5:$E860))</f>
        <v/>
      </c>
      <c r="B860" s="32"/>
      <c r="C860" s="32"/>
      <c r="D860" s="32"/>
      <c r="E860" s="32"/>
      <c r="F860" s="33"/>
      <c r="G860" s="32"/>
      <c r="H860" s="34"/>
      <c r="I860" s="35"/>
      <c r="J860" s="36" t="str">
        <f aca="false">IF(OR($H860="",$I860=""),"",$H860+MATCH($I860,Listas!$F$5:$F$11,0)-1)</f>
        <v/>
      </c>
      <c r="K860" s="37"/>
      <c r="L860" s="33"/>
      <c r="M860" s="37"/>
      <c r="N860" s="32"/>
      <c r="O860" s="32"/>
      <c r="P860" s="38" t="str">
        <f aca="true">IF($E860="","",IF($L860="Cancelada","Cancelada",IF(OR($K860&lt;&gt;"",$L860="Concluída"),IF(OR($J860="",$K860="",$K860&lt;=$J860),"Concluída","Concluída com atraso"),IF($J860="","Na carteira",IF($J860&lt;TODAY(),"VENCIDA",IF($L860="Em execução","Em execução",IF($J860=TODAY(),"Hoje","Programada")))))))</f>
        <v/>
      </c>
      <c r="Q860" s="31" t="str">
        <f aca="false">IF($E860="","",IF(ISNUMBER(SEARCH("(externo)",$G860)),"Terceirizada","Interna"))</f>
        <v/>
      </c>
      <c r="R860" s="36" t="str">
        <f aca="false">IF($J860="","",IF($M860="",$J860,$M860))</f>
        <v/>
      </c>
      <c r="S860" s="31" t="str">
        <f aca="false">IF($E860="","",IF(OR($K860="",$J860=""),0,IF($K860&lt;=$J860,1,0)))</f>
        <v/>
      </c>
      <c r="T860" s="31" t="str">
        <f aca="false">IF($E860="","",IF(OR($K860="",$R860=""),0,IF($K860&lt;=$R860,1,0)))</f>
        <v/>
      </c>
      <c r="U860" s="38" t="str">
        <f aca="false">IF(OR($K860="",$J860=""),"",MAX(0,$K860-$J860))</f>
        <v/>
      </c>
      <c r="V860" s="31" t="str">
        <f aca="false">IF($E860="","",IF(AND($M860&lt;&gt;"",$J860&lt;&gt;"",$M860&lt;&gt;$J860),1,0))</f>
        <v/>
      </c>
      <c r="W860" s="39" t="str">
        <f aca="false">IF($E860="","",IF($L860="Cancelada",0,IF(OR($K860&lt;&gt;"",$L860="Concluída"),1,0)))</f>
        <v/>
      </c>
    </row>
    <row r="861" customFormat="false" ht="15" hidden="false" customHeight="true" outlineLevel="0" collapsed="false">
      <c r="A861" s="31" t="str">
        <f aca="false">IF($E861="","",COUNTA($E$5:$E861))</f>
        <v/>
      </c>
      <c r="B861" s="32"/>
      <c r="C861" s="32"/>
      <c r="D861" s="32"/>
      <c r="E861" s="32"/>
      <c r="F861" s="33"/>
      <c r="G861" s="32"/>
      <c r="H861" s="34"/>
      <c r="I861" s="35"/>
      <c r="J861" s="36" t="str">
        <f aca="false">IF(OR($H861="",$I861=""),"",$H861+MATCH($I861,Listas!$F$5:$F$11,0)-1)</f>
        <v/>
      </c>
      <c r="K861" s="37"/>
      <c r="L861" s="33"/>
      <c r="M861" s="37"/>
      <c r="N861" s="32"/>
      <c r="O861" s="32"/>
      <c r="P861" s="38" t="str">
        <f aca="true">IF($E861="","",IF($L861="Cancelada","Cancelada",IF(OR($K861&lt;&gt;"",$L861="Concluída"),IF(OR($J861="",$K861="",$K861&lt;=$J861),"Concluída","Concluída com atraso"),IF($J861="","Na carteira",IF($J861&lt;TODAY(),"VENCIDA",IF($L861="Em execução","Em execução",IF($J861=TODAY(),"Hoje","Programada")))))))</f>
        <v/>
      </c>
      <c r="Q861" s="31" t="str">
        <f aca="false">IF($E861="","",IF(ISNUMBER(SEARCH("(externo)",$G861)),"Terceirizada","Interna"))</f>
        <v/>
      </c>
      <c r="R861" s="36" t="str">
        <f aca="false">IF($J861="","",IF($M861="",$J861,$M861))</f>
        <v/>
      </c>
      <c r="S861" s="31" t="str">
        <f aca="false">IF($E861="","",IF(OR($K861="",$J861=""),0,IF($K861&lt;=$J861,1,0)))</f>
        <v/>
      </c>
      <c r="T861" s="31" t="str">
        <f aca="false">IF($E861="","",IF(OR($K861="",$R861=""),0,IF($K861&lt;=$R861,1,0)))</f>
        <v/>
      </c>
      <c r="U861" s="38" t="str">
        <f aca="false">IF(OR($K861="",$J861=""),"",MAX(0,$K861-$J861))</f>
        <v/>
      </c>
      <c r="V861" s="31" t="str">
        <f aca="false">IF($E861="","",IF(AND($M861&lt;&gt;"",$J861&lt;&gt;"",$M861&lt;&gt;$J861),1,0))</f>
        <v/>
      </c>
      <c r="W861" s="39" t="str">
        <f aca="false">IF($E861="","",IF($L861="Cancelada",0,IF(OR($K861&lt;&gt;"",$L861="Concluída"),1,0)))</f>
        <v/>
      </c>
    </row>
    <row r="862" customFormat="false" ht="15" hidden="false" customHeight="true" outlineLevel="0" collapsed="false">
      <c r="A862" s="31" t="str">
        <f aca="false">IF($E862="","",COUNTA($E$5:$E862))</f>
        <v/>
      </c>
      <c r="B862" s="32"/>
      <c r="C862" s="32"/>
      <c r="D862" s="32"/>
      <c r="E862" s="32"/>
      <c r="F862" s="33"/>
      <c r="G862" s="32"/>
      <c r="H862" s="34"/>
      <c r="I862" s="35"/>
      <c r="J862" s="36" t="str">
        <f aca="false">IF(OR($H862="",$I862=""),"",$H862+MATCH($I862,Listas!$F$5:$F$11,0)-1)</f>
        <v/>
      </c>
      <c r="K862" s="37"/>
      <c r="L862" s="33"/>
      <c r="M862" s="37"/>
      <c r="N862" s="32"/>
      <c r="O862" s="32"/>
      <c r="P862" s="38" t="str">
        <f aca="true">IF($E862="","",IF($L862="Cancelada","Cancelada",IF(OR($K862&lt;&gt;"",$L862="Concluída"),IF(OR($J862="",$K862="",$K862&lt;=$J862),"Concluída","Concluída com atraso"),IF($J862="","Na carteira",IF($J862&lt;TODAY(),"VENCIDA",IF($L862="Em execução","Em execução",IF($J862=TODAY(),"Hoje","Programada")))))))</f>
        <v/>
      </c>
      <c r="Q862" s="31" t="str">
        <f aca="false">IF($E862="","",IF(ISNUMBER(SEARCH("(externo)",$G862)),"Terceirizada","Interna"))</f>
        <v/>
      </c>
      <c r="R862" s="36" t="str">
        <f aca="false">IF($J862="","",IF($M862="",$J862,$M862))</f>
        <v/>
      </c>
      <c r="S862" s="31" t="str">
        <f aca="false">IF($E862="","",IF(OR($K862="",$J862=""),0,IF($K862&lt;=$J862,1,0)))</f>
        <v/>
      </c>
      <c r="T862" s="31" t="str">
        <f aca="false">IF($E862="","",IF(OR($K862="",$R862=""),0,IF($K862&lt;=$R862,1,0)))</f>
        <v/>
      </c>
      <c r="U862" s="38" t="str">
        <f aca="false">IF(OR($K862="",$J862=""),"",MAX(0,$K862-$J862))</f>
        <v/>
      </c>
      <c r="V862" s="31" t="str">
        <f aca="false">IF($E862="","",IF(AND($M862&lt;&gt;"",$J862&lt;&gt;"",$M862&lt;&gt;$J862),1,0))</f>
        <v/>
      </c>
      <c r="W862" s="39" t="str">
        <f aca="false">IF($E862="","",IF($L862="Cancelada",0,IF(OR($K862&lt;&gt;"",$L862="Concluída"),1,0)))</f>
        <v/>
      </c>
    </row>
    <row r="863" customFormat="false" ht="15" hidden="false" customHeight="true" outlineLevel="0" collapsed="false">
      <c r="A863" s="31" t="str">
        <f aca="false">IF($E863="","",COUNTA($E$5:$E863))</f>
        <v/>
      </c>
      <c r="B863" s="32"/>
      <c r="C863" s="32"/>
      <c r="D863" s="32"/>
      <c r="E863" s="32"/>
      <c r="F863" s="33"/>
      <c r="G863" s="32"/>
      <c r="H863" s="34"/>
      <c r="I863" s="35"/>
      <c r="J863" s="36" t="str">
        <f aca="false">IF(OR($H863="",$I863=""),"",$H863+MATCH($I863,Listas!$F$5:$F$11,0)-1)</f>
        <v/>
      </c>
      <c r="K863" s="37"/>
      <c r="L863" s="33"/>
      <c r="M863" s="37"/>
      <c r="N863" s="32"/>
      <c r="O863" s="32"/>
      <c r="P863" s="38" t="str">
        <f aca="true">IF($E863="","",IF($L863="Cancelada","Cancelada",IF(OR($K863&lt;&gt;"",$L863="Concluída"),IF(OR($J863="",$K863="",$K863&lt;=$J863),"Concluída","Concluída com atraso"),IF($J863="","Na carteira",IF($J863&lt;TODAY(),"VENCIDA",IF($L863="Em execução","Em execução",IF($J863=TODAY(),"Hoje","Programada")))))))</f>
        <v/>
      </c>
      <c r="Q863" s="31" t="str">
        <f aca="false">IF($E863="","",IF(ISNUMBER(SEARCH("(externo)",$G863)),"Terceirizada","Interna"))</f>
        <v/>
      </c>
      <c r="R863" s="36" t="str">
        <f aca="false">IF($J863="","",IF($M863="",$J863,$M863))</f>
        <v/>
      </c>
      <c r="S863" s="31" t="str">
        <f aca="false">IF($E863="","",IF(OR($K863="",$J863=""),0,IF($K863&lt;=$J863,1,0)))</f>
        <v/>
      </c>
      <c r="T863" s="31" t="str">
        <f aca="false">IF($E863="","",IF(OR($K863="",$R863=""),0,IF($K863&lt;=$R863,1,0)))</f>
        <v/>
      </c>
      <c r="U863" s="38" t="str">
        <f aca="false">IF(OR($K863="",$J863=""),"",MAX(0,$K863-$J863))</f>
        <v/>
      </c>
      <c r="V863" s="31" t="str">
        <f aca="false">IF($E863="","",IF(AND($M863&lt;&gt;"",$J863&lt;&gt;"",$M863&lt;&gt;$J863),1,0))</f>
        <v/>
      </c>
      <c r="W863" s="39" t="str">
        <f aca="false">IF($E863="","",IF($L863="Cancelada",0,IF(OR($K863&lt;&gt;"",$L863="Concluída"),1,0)))</f>
        <v/>
      </c>
    </row>
    <row r="864" customFormat="false" ht="15" hidden="false" customHeight="true" outlineLevel="0" collapsed="false">
      <c r="A864" s="31" t="str">
        <f aca="false">IF($E864="","",COUNTA($E$5:$E864))</f>
        <v/>
      </c>
      <c r="B864" s="32"/>
      <c r="C864" s="32"/>
      <c r="D864" s="32"/>
      <c r="E864" s="32"/>
      <c r="F864" s="33"/>
      <c r="G864" s="32"/>
      <c r="H864" s="34"/>
      <c r="I864" s="35"/>
      <c r="J864" s="36" t="str">
        <f aca="false">IF(OR($H864="",$I864=""),"",$H864+MATCH($I864,Listas!$F$5:$F$11,0)-1)</f>
        <v/>
      </c>
      <c r="K864" s="37"/>
      <c r="L864" s="33"/>
      <c r="M864" s="37"/>
      <c r="N864" s="32"/>
      <c r="O864" s="32"/>
      <c r="P864" s="38" t="str">
        <f aca="true">IF($E864="","",IF($L864="Cancelada","Cancelada",IF(OR($K864&lt;&gt;"",$L864="Concluída"),IF(OR($J864="",$K864="",$K864&lt;=$J864),"Concluída","Concluída com atraso"),IF($J864="","Na carteira",IF($J864&lt;TODAY(),"VENCIDA",IF($L864="Em execução","Em execução",IF($J864=TODAY(),"Hoje","Programada")))))))</f>
        <v/>
      </c>
      <c r="Q864" s="31" t="str">
        <f aca="false">IF($E864="","",IF(ISNUMBER(SEARCH("(externo)",$G864)),"Terceirizada","Interna"))</f>
        <v/>
      </c>
      <c r="R864" s="36" t="str">
        <f aca="false">IF($J864="","",IF($M864="",$J864,$M864))</f>
        <v/>
      </c>
      <c r="S864" s="31" t="str">
        <f aca="false">IF($E864="","",IF(OR($K864="",$J864=""),0,IF($K864&lt;=$J864,1,0)))</f>
        <v/>
      </c>
      <c r="T864" s="31" t="str">
        <f aca="false">IF($E864="","",IF(OR($K864="",$R864=""),0,IF($K864&lt;=$R864,1,0)))</f>
        <v/>
      </c>
      <c r="U864" s="38" t="str">
        <f aca="false">IF(OR($K864="",$J864=""),"",MAX(0,$K864-$J864))</f>
        <v/>
      </c>
      <c r="V864" s="31" t="str">
        <f aca="false">IF($E864="","",IF(AND($M864&lt;&gt;"",$J864&lt;&gt;"",$M864&lt;&gt;$J864),1,0))</f>
        <v/>
      </c>
      <c r="W864" s="39" t="str">
        <f aca="false">IF($E864="","",IF($L864="Cancelada",0,IF(OR($K864&lt;&gt;"",$L864="Concluída"),1,0)))</f>
        <v/>
      </c>
    </row>
    <row r="865" customFormat="false" ht="15" hidden="false" customHeight="true" outlineLevel="0" collapsed="false">
      <c r="A865" s="31" t="str">
        <f aca="false">IF($E865="","",COUNTA($E$5:$E865))</f>
        <v/>
      </c>
      <c r="B865" s="32"/>
      <c r="C865" s="32"/>
      <c r="D865" s="32"/>
      <c r="E865" s="32"/>
      <c r="F865" s="33"/>
      <c r="G865" s="32"/>
      <c r="H865" s="34"/>
      <c r="I865" s="35"/>
      <c r="J865" s="36" t="str">
        <f aca="false">IF(OR($H865="",$I865=""),"",$H865+MATCH($I865,Listas!$F$5:$F$11,0)-1)</f>
        <v/>
      </c>
      <c r="K865" s="37"/>
      <c r="L865" s="33"/>
      <c r="M865" s="37"/>
      <c r="N865" s="32"/>
      <c r="O865" s="32"/>
      <c r="P865" s="38" t="str">
        <f aca="true">IF($E865="","",IF($L865="Cancelada","Cancelada",IF(OR($K865&lt;&gt;"",$L865="Concluída"),IF(OR($J865="",$K865="",$K865&lt;=$J865),"Concluída","Concluída com atraso"),IF($J865="","Na carteira",IF($J865&lt;TODAY(),"VENCIDA",IF($L865="Em execução","Em execução",IF($J865=TODAY(),"Hoje","Programada")))))))</f>
        <v/>
      </c>
      <c r="Q865" s="31" t="str">
        <f aca="false">IF($E865="","",IF(ISNUMBER(SEARCH("(externo)",$G865)),"Terceirizada","Interna"))</f>
        <v/>
      </c>
      <c r="R865" s="36" t="str">
        <f aca="false">IF($J865="","",IF($M865="",$J865,$M865))</f>
        <v/>
      </c>
      <c r="S865" s="31" t="str">
        <f aca="false">IF($E865="","",IF(OR($K865="",$J865=""),0,IF($K865&lt;=$J865,1,0)))</f>
        <v/>
      </c>
      <c r="T865" s="31" t="str">
        <f aca="false">IF($E865="","",IF(OR($K865="",$R865=""),0,IF($K865&lt;=$R865,1,0)))</f>
        <v/>
      </c>
      <c r="U865" s="38" t="str">
        <f aca="false">IF(OR($K865="",$J865=""),"",MAX(0,$K865-$J865))</f>
        <v/>
      </c>
      <c r="V865" s="31" t="str">
        <f aca="false">IF($E865="","",IF(AND($M865&lt;&gt;"",$J865&lt;&gt;"",$M865&lt;&gt;$J865),1,0))</f>
        <v/>
      </c>
      <c r="W865" s="39" t="str">
        <f aca="false">IF($E865="","",IF($L865="Cancelada",0,IF(OR($K865&lt;&gt;"",$L865="Concluída"),1,0)))</f>
        <v/>
      </c>
    </row>
    <row r="866" customFormat="false" ht="15" hidden="false" customHeight="true" outlineLevel="0" collapsed="false">
      <c r="A866" s="31" t="str">
        <f aca="false">IF($E866="","",COUNTA($E$5:$E866))</f>
        <v/>
      </c>
      <c r="B866" s="32"/>
      <c r="C866" s="32"/>
      <c r="D866" s="32"/>
      <c r="E866" s="32"/>
      <c r="F866" s="33"/>
      <c r="G866" s="32"/>
      <c r="H866" s="34"/>
      <c r="I866" s="35"/>
      <c r="J866" s="36" t="str">
        <f aca="false">IF(OR($H866="",$I866=""),"",$H866+MATCH($I866,Listas!$F$5:$F$11,0)-1)</f>
        <v/>
      </c>
      <c r="K866" s="37"/>
      <c r="L866" s="33"/>
      <c r="M866" s="37"/>
      <c r="N866" s="32"/>
      <c r="O866" s="32"/>
      <c r="P866" s="38" t="str">
        <f aca="true">IF($E866="","",IF($L866="Cancelada","Cancelada",IF(OR($K866&lt;&gt;"",$L866="Concluída"),IF(OR($J866="",$K866="",$K866&lt;=$J866),"Concluída","Concluída com atraso"),IF($J866="","Na carteira",IF($J866&lt;TODAY(),"VENCIDA",IF($L866="Em execução","Em execução",IF($J866=TODAY(),"Hoje","Programada")))))))</f>
        <v/>
      </c>
      <c r="Q866" s="31" t="str">
        <f aca="false">IF($E866="","",IF(ISNUMBER(SEARCH("(externo)",$G866)),"Terceirizada","Interna"))</f>
        <v/>
      </c>
      <c r="R866" s="36" t="str">
        <f aca="false">IF($J866="","",IF($M866="",$J866,$M866))</f>
        <v/>
      </c>
      <c r="S866" s="31" t="str">
        <f aca="false">IF($E866="","",IF(OR($K866="",$J866=""),0,IF($K866&lt;=$J866,1,0)))</f>
        <v/>
      </c>
      <c r="T866" s="31" t="str">
        <f aca="false">IF($E866="","",IF(OR($K866="",$R866=""),0,IF($K866&lt;=$R866,1,0)))</f>
        <v/>
      </c>
      <c r="U866" s="38" t="str">
        <f aca="false">IF(OR($K866="",$J866=""),"",MAX(0,$K866-$J866))</f>
        <v/>
      </c>
      <c r="V866" s="31" t="str">
        <f aca="false">IF($E866="","",IF(AND($M866&lt;&gt;"",$J866&lt;&gt;"",$M866&lt;&gt;$J866),1,0))</f>
        <v/>
      </c>
      <c r="W866" s="39" t="str">
        <f aca="false">IF($E866="","",IF($L866="Cancelada",0,IF(OR($K866&lt;&gt;"",$L866="Concluída"),1,0)))</f>
        <v/>
      </c>
    </row>
    <row r="867" customFormat="false" ht="15" hidden="false" customHeight="true" outlineLevel="0" collapsed="false">
      <c r="A867" s="31" t="str">
        <f aca="false">IF($E867="","",COUNTA($E$5:$E867))</f>
        <v/>
      </c>
      <c r="B867" s="32"/>
      <c r="C867" s="32"/>
      <c r="D867" s="32"/>
      <c r="E867" s="32"/>
      <c r="F867" s="33"/>
      <c r="G867" s="32"/>
      <c r="H867" s="34"/>
      <c r="I867" s="35"/>
      <c r="J867" s="36" t="str">
        <f aca="false">IF(OR($H867="",$I867=""),"",$H867+MATCH($I867,Listas!$F$5:$F$11,0)-1)</f>
        <v/>
      </c>
      <c r="K867" s="37"/>
      <c r="L867" s="33"/>
      <c r="M867" s="37"/>
      <c r="N867" s="32"/>
      <c r="O867" s="32"/>
      <c r="P867" s="38" t="str">
        <f aca="true">IF($E867="","",IF($L867="Cancelada","Cancelada",IF(OR($K867&lt;&gt;"",$L867="Concluída"),IF(OR($J867="",$K867="",$K867&lt;=$J867),"Concluída","Concluída com atraso"),IF($J867="","Na carteira",IF($J867&lt;TODAY(),"VENCIDA",IF($L867="Em execução","Em execução",IF($J867=TODAY(),"Hoje","Programada")))))))</f>
        <v/>
      </c>
      <c r="Q867" s="31" t="str">
        <f aca="false">IF($E867="","",IF(ISNUMBER(SEARCH("(externo)",$G867)),"Terceirizada","Interna"))</f>
        <v/>
      </c>
      <c r="R867" s="36" t="str">
        <f aca="false">IF($J867="","",IF($M867="",$J867,$M867))</f>
        <v/>
      </c>
      <c r="S867" s="31" t="str">
        <f aca="false">IF($E867="","",IF(OR($K867="",$J867=""),0,IF($K867&lt;=$J867,1,0)))</f>
        <v/>
      </c>
      <c r="T867" s="31" t="str">
        <f aca="false">IF($E867="","",IF(OR($K867="",$R867=""),0,IF($K867&lt;=$R867,1,0)))</f>
        <v/>
      </c>
      <c r="U867" s="38" t="str">
        <f aca="false">IF(OR($K867="",$J867=""),"",MAX(0,$K867-$J867))</f>
        <v/>
      </c>
      <c r="V867" s="31" t="str">
        <f aca="false">IF($E867="","",IF(AND($M867&lt;&gt;"",$J867&lt;&gt;"",$M867&lt;&gt;$J867),1,0))</f>
        <v/>
      </c>
      <c r="W867" s="39" t="str">
        <f aca="false">IF($E867="","",IF($L867="Cancelada",0,IF(OR($K867&lt;&gt;"",$L867="Concluída"),1,0)))</f>
        <v/>
      </c>
    </row>
    <row r="868" customFormat="false" ht="15" hidden="false" customHeight="true" outlineLevel="0" collapsed="false">
      <c r="A868" s="31" t="str">
        <f aca="false">IF($E868="","",COUNTA($E$5:$E868))</f>
        <v/>
      </c>
      <c r="B868" s="32"/>
      <c r="C868" s="32"/>
      <c r="D868" s="32"/>
      <c r="E868" s="32"/>
      <c r="F868" s="33"/>
      <c r="G868" s="32"/>
      <c r="H868" s="34"/>
      <c r="I868" s="35"/>
      <c r="J868" s="36" t="str">
        <f aca="false">IF(OR($H868="",$I868=""),"",$H868+MATCH($I868,Listas!$F$5:$F$11,0)-1)</f>
        <v/>
      </c>
      <c r="K868" s="37"/>
      <c r="L868" s="33"/>
      <c r="M868" s="37"/>
      <c r="N868" s="32"/>
      <c r="O868" s="32"/>
      <c r="P868" s="38" t="str">
        <f aca="true">IF($E868="","",IF($L868="Cancelada","Cancelada",IF(OR($K868&lt;&gt;"",$L868="Concluída"),IF(OR($J868="",$K868="",$K868&lt;=$J868),"Concluída","Concluída com atraso"),IF($J868="","Na carteira",IF($J868&lt;TODAY(),"VENCIDA",IF($L868="Em execução","Em execução",IF($J868=TODAY(),"Hoje","Programada")))))))</f>
        <v/>
      </c>
      <c r="Q868" s="31" t="str">
        <f aca="false">IF($E868="","",IF(ISNUMBER(SEARCH("(externo)",$G868)),"Terceirizada","Interna"))</f>
        <v/>
      </c>
      <c r="R868" s="36" t="str">
        <f aca="false">IF($J868="","",IF($M868="",$J868,$M868))</f>
        <v/>
      </c>
      <c r="S868" s="31" t="str">
        <f aca="false">IF($E868="","",IF(OR($K868="",$J868=""),0,IF($K868&lt;=$J868,1,0)))</f>
        <v/>
      </c>
      <c r="T868" s="31" t="str">
        <f aca="false">IF($E868="","",IF(OR($K868="",$R868=""),0,IF($K868&lt;=$R868,1,0)))</f>
        <v/>
      </c>
      <c r="U868" s="38" t="str">
        <f aca="false">IF(OR($K868="",$J868=""),"",MAX(0,$K868-$J868))</f>
        <v/>
      </c>
      <c r="V868" s="31" t="str">
        <f aca="false">IF($E868="","",IF(AND($M868&lt;&gt;"",$J868&lt;&gt;"",$M868&lt;&gt;$J868),1,0))</f>
        <v/>
      </c>
      <c r="W868" s="39" t="str">
        <f aca="false">IF($E868="","",IF($L868="Cancelada",0,IF(OR($K868&lt;&gt;"",$L868="Concluída"),1,0)))</f>
        <v/>
      </c>
    </row>
    <row r="869" customFormat="false" ht="15" hidden="false" customHeight="true" outlineLevel="0" collapsed="false">
      <c r="A869" s="31" t="str">
        <f aca="false">IF($E869="","",COUNTA($E$5:$E869))</f>
        <v/>
      </c>
      <c r="B869" s="32"/>
      <c r="C869" s="32"/>
      <c r="D869" s="32"/>
      <c r="E869" s="32"/>
      <c r="F869" s="33"/>
      <c r="G869" s="32"/>
      <c r="H869" s="34"/>
      <c r="I869" s="35"/>
      <c r="J869" s="36" t="str">
        <f aca="false">IF(OR($H869="",$I869=""),"",$H869+MATCH($I869,Listas!$F$5:$F$11,0)-1)</f>
        <v/>
      </c>
      <c r="K869" s="37"/>
      <c r="L869" s="33"/>
      <c r="M869" s="37"/>
      <c r="N869" s="32"/>
      <c r="O869" s="32"/>
      <c r="P869" s="38" t="str">
        <f aca="true">IF($E869="","",IF($L869="Cancelada","Cancelada",IF(OR($K869&lt;&gt;"",$L869="Concluída"),IF(OR($J869="",$K869="",$K869&lt;=$J869),"Concluída","Concluída com atraso"),IF($J869="","Na carteira",IF($J869&lt;TODAY(),"VENCIDA",IF($L869="Em execução","Em execução",IF($J869=TODAY(),"Hoje","Programada")))))))</f>
        <v/>
      </c>
      <c r="Q869" s="31" t="str">
        <f aca="false">IF($E869="","",IF(ISNUMBER(SEARCH("(externo)",$G869)),"Terceirizada","Interna"))</f>
        <v/>
      </c>
      <c r="R869" s="36" t="str">
        <f aca="false">IF($J869="","",IF($M869="",$J869,$M869))</f>
        <v/>
      </c>
      <c r="S869" s="31" t="str">
        <f aca="false">IF($E869="","",IF(OR($K869="",$J869=""),0,IF($K869&lt;=$J869,1,0)))</f>
        <v/>
      </c>
      <c r="T869" s="31" t="str">
        <f aca="false">IF($E869="","",IF(OR($K869="",$R869=""),0,IF($K869&lt;=$R869,1,0)))</f>
        <v/>
      </c>
      <c r="U869" s="38" t="str">
        <f aca="false">IF(OR($K869="",$J869=""),"",MAX(0,$K869-$J869))</f>
        <v/>
      </c>
      <c r="V869" s="31" t="str">
        <f aca="false">IF($E869="","",IF(AND($M869&lt;&gt;"",$J869&lt;&gt;"",$M869&lt;&gt;$J869),1,0))</f>
        <v/>
      </c>
      <c r="W869" s="39" t="str">
        <f aca="false">IF($E869="","",IF($L869="Cancelada",0,IF(OR($K869&lt;&gt;"",$L869="Concluída"),1,0)))</f>
        <v/>
      </c>
    </row>
    <row r="870" customFormat="false" ht="15" hidden="false" customHeight="true" outlineLevel="0" collapsed="false">
      <c r="A870" s="31" t="str">
        <f aca="false">IF($E870="","",COUNTA($E$5:$E870))</f>
        <v/>
      </c>
      <c r="B870" s="32"/>
      <c r="C870" s="32"/>
      <c r="D870" s="32"/>
      <c r="E870" s="32"/>
      <c r="F870" s="33"/>
      <c r="G870" s="32"/>
      <c r="H870" s="34"/>
      <c r="I870" s="35"/>
      <c r="J870" s="36" t="str">
        <f aca="false">IF(OR($H870="",$I870=""),"",$H870+MATCH($I870,Listas!$F$5:$F$11,0)-1)</f>
        <v/>
      </c>
      <c r="K870" s="37"/>
      <c r="L870" s="33"/>
      <c r="M870" s="37"/>
      <c r="N870" s="32"/>
      <c r="O870" s="32"/>
      <c r="P870" s="38" t="str">
        <f aca="true">IF($E870="","",IF($L870="Cancelada","Cancelada",IF(OR($K870&lt;&gt;"",$L870="Concluída"),IF(OR($J870="",$K870="",$K870&lt;=$J870),"Concluída","Concluída com atraso"),IF($J870="","Na carteira",IF($J870&lt;TODAY(),"VENCIDA",IF($L870="Em execução","Em execução",IF($J870=TODAY(),"Hoje","Programada")))))))</f>
        <v/>
      </c>
      <c r="Q870" s="31" t="str">
        <f aca="false">IF($E870="","",IF(ISNUMBER(SEARCH("(externo)",$G870)),"Terceirizada","Interna"))</f>
        <v/>
      </c>
      <c r="R870" s="36" t="str">
        <f aca="false">IF($J870="","",IF($M870="",$J870,$M870))</f>
        <v/>
      </c>
      <c r="S870" s="31" t="str">
        <f aca="false">IF($E870="","",IF(OR($K870="",$J870=""),0,IF($K870&lt;=$J870,1,0)))</f>
        <v/>
      </c>
      <c r="T870" s="31" t="str">
        <f aca="false">IF($E870="","",IF(OR($K870="",$R870=""),0,IF($K870&lt;=$R870,1,0)))</f>
        <v/>
      </c>
      <c r="U870" s="38" t="str">
        <f aca="false">IF(OR($K870="",$J870=""),"",MAX(0,$K870-$J870))</f>
        <v/>
      </c>
      <c r="V870" s="31" t="str">
        <f aca="false">IF($E870="","",IF(AND($M870&lt;&gt;"",$J870&lt;&gt;"",$M870&lt;&gt;$J870),1,0))</f>
        <v/>
      </c>
      <c r="W870" s="39" t="str">
        <f aca="false">IF($E870="","",IF($L870="Cancelada",0,IF(OR($K870&lt;&gt;"",$L870="Concluída"),1,0)))</f>
        <v/>
      </c>
    </row>
    <row r="871" customFormat="false" ht="15" hidden="false" customHeight="true" outlineLevel="0" collapsed="false">
      <c r="A871" s="31" t="str">
        <f aca="false">IF($E871="","",COUNTA($E$5:$E871))</f>
        <v/>
      </c>
      <c r="B871" s="32"/>
      <c r="C871" s="32"/>
      <c r="D871" s="32"/>
      <c r="E871" s="32"/>
      <c r="F871" s="33"/>
      <c r="G871" s="32"/>
      <c r="H871" s="34"/>
      <c r="I871" s="35"/>
      <c r="J871" s="36" t="str">
        <f aca="false">IF(OR($H871="",$I871=""),"",$H871+MATCH($I871,Listas!$F$5:$F$11,0)-1)</f>
        <v/>
      </c>
      <c r="K871" s="37"/>
      <c r="L871" s="33"/>
      <c r="M871" s="37"/>
      <c r="N871" s="32"/>
      <c r="O871" s="32"/>
      <c r="P871" s="38" t="str">
        <f aca="true">IF($E871="","",IF($L871="Cancelada","Cancelada",IF(OR($K871&lt;&gt;"",$L871="Concluída"),IF(OR($J871="",$K871="",$K871&lt;=$J871),"Concluída","Concluída com atraso"),IF($J871="","Na carteira",IF($J871&lt;TODAY(),"VENCIDA",IF($L871="Em execução","Em execução",IF($J871=TODAY(),"Hoje","Programada")))))))</f>
        <v/>
      </c>
      <c r="Q871" s="31" t="str">
        <f aca="false">IF($E871="","",IF(ISNUMBER(SEARCH("(externo)",$G871)),"Terceirizada","Interna"))</f>
        <v/>
      </c>
      <c r="R871" s="36" t="str">
        <f aca="false">IF($J871="","",IF($M871="",$J871,$M871))</f>
        <v/>
      </c>
      <c r="S871" s="31" t="str">
        <f aca="false">IF($E871="","",IF(OR($K871="",$J871=""),0,IF($K871&lt;=$J871,1,0)))</f>
        <v/>
      </c>
      <c r="T871" s="31" t="str">
        <f aca="false">IF($E871="","",IF(OR($K871="",$R871=""),0,IF($K871&lt;=$R871,1,0)))</f>
        <v/>
      </c>
      <c r="U871" s="38" t="str">
        <f aca="false">IF(OR($K871="",$J871=""),"",MAX(0,$K871-$J871))</f>
        <v/>
      </c>
      <c r="V871" s="31" t="str">
        <f aca="false">IF($E871="","",IF(AND($M871&lt;&gt;"",$J871&lt;&gt;"",$M871&lt;&gt;$J871),1,0))</f>
        <v/>
      </c>
      <c r="W871" s="39" t="str">
        <f aca="false">IF($E871="","",IF($L871="Cancelada",0,IF(OR($K871&lt;&gt;"",$L871="Concluída"),1,0)))</f>
        <v/>
      </c>
    </row>
    <row r="872" customFormat="false" ht="15" hidden="false" customHeight="true" outlineLevel="0" collapsed="false">
      <c r="A872" s="31" t="str">
        <f aca="false">IF($E872="","",COUNTA($E$5:$E872))</f>
        <v/>
      </c>
      <c r="B872" s="32"/>
      <c r="C872" s="32"/>
      <c r="D872" s="32"/>
      <c r="E872" s="32"/>
      <c r="F872" s="33"/>
      <c r="G872" s="32"/>
      <c r="H872" s="34"/>
      <c r="I872" s="35"/>
      <c r="J872" s="36" t="str">
        <f aca="false">IF(OR($H872="",$I872=""),"",$H872+MATCH($I872,Listas!$F$5:$F$11,0)-1)</f>
        <v/>
      </c>
      <c r="K872" s="37"/>
      <c r="L872" s="33"/>
      <c r="M872" s="37"/>
      <c r="N872" s="32"/>
      <c r="O872" s="32"/>
      <c r="P872" s="38" t="str">
        <f aca="true">IF($E872="","",IF($L872="Cancelada","Cancelada",IF(OR($K872&lt;&gt;"",$L872="Concluída"),IF(OR($J872="",$K872="",$K872&lt;=$J872),"Concluída","Concluída com atraso"),IF($J872="","Na carteira",IF($J872&lt;TODAY(),"VENCIDA",IF($L872="Em execução","Em execução",IF($J872=TODAY(),"Hoje","Programada")))))))</f>
        <v/>
      </c>
      <c r="Q872" s="31" t="str">
        <f aca="false">IF($E872="","",IF(ISNUMBER(SEARCH("(externo)",$G872)),"Terceirizada","Interna"))</f>
        <v/>
      </c>
      <c r="R872" s="36" t="str">
        <f aca="false">IF($J872="","",IF($M872="",$J872,$M872))</f>
        <v/>
      </c>
      <c r="S872" s="31" t="str">
        <f aca="false">IF($E872="","",IF(OR($K872="",$J872=""),0,IF($K872&lt;=$J872,1,0)))</f>
        <v/>
      </c>
      <c r="T872" s="31" t="str">
        <f aca="false">IF($E872="","",IF(OR($K872="",$R872=""),0,IF($K872&lt;=$R872,1,0)))</f>
        <v/>
      </c>
      <c r="U872" s="38" t="str">
        <f aca="false">IF(OR($K872="",$J872=""),"",MAX(0,$K872-$J872))</f>
        <v/>
      </c>
      <c r="V872" s="31" t="str">
        <f aca="false">IF($E872="","",IF(AND($M872&lt;&gt;"",$J872&lt;&gt;"",$M872&lt;&gt;$J872),1,0))</f>
        <v/>
      </c>
      <c r="W872" s="39" t="str">
        <f aca="false">IF($E872="","",IF($L872="Cancelada",0,IF(OR($K872&lt;&gt;"",$L872="Concluída"),1,0)))</f>
        <v/>
      </c>
    </row>
    <row r="873" customFormat="false" ht="15" hidden="false" customHeight="true" outlineLevel="0" collapsed="false">
      <c r="A873" s="31" t="str">
        <f aca="false">IF($E873="","",COUNTA($E$5:$E873))</f>
        <v/>
      </c>
      <c r="B873" s="32"/>
      <c r="C873" s="32"/>
      <c r="D873" s="32"/>
      <c r="E873" s="32"/>
      <c r="F873" s="33"/>
      <c r="G873" s="32"/>
      <c r="H873" s="34"/>
      <c r="I873" s="35"/>
      <c r="J873" s="36" t="str">
        <f aca="false">IF(OR($H873="",$I873=""),"",$H873+MATCH($I873,Listas!$F$5:$F$11,0)-1)</f>
        <v/>
      </c>
      <c r="K873" s="37"/>
      <c r="L873" s="33"/>
      <c r="M873" s="37"/>
      <c r="N873" s="32"/>
      <c r="O873" s="32"/>
      <c r="P873" s="38" t="str">
        <f aca="true">IF($E873="","",IF($L873="Cancelada","Cancelada",IF(OR($K873&lt;&gt;"",$L873="Concluída"),IF(OR($J873="",$K873="",$K873&lt;=$J873),"Concluída","Concluída com atraso"),IF($J873="","Na carteira",IF($J873&lt;TODAY(),"VENCIDA",IF($L873="Em execução","Em execução",IF($J873=TODAY(),"Hoje","Programada")))))))</f>
        <v/>
      </c>
      <c r="Q873" s="31" t="str">
        <f aca="false">IF($E873="","",IF(ISNUMBER(SEARCH("(externo)",$G873)),"Terceirizada","Interna"))</f>
        <v/>
      </c>
      <c r="R873" s="36" t="str">
        <f aca="false">IF($J873="","",IF($M873="",$J873,$M873))</f>
        <v/>
      </c>
      <c r="S873" s="31" t="str">
        <f aca="false">IF($E873="","",IF(OR($K873="",$J873=""),0,IF($K873&lt;=$J873,1,0)))</f>
        <v/>
      </c>
      <c r="T873" s="31" t="str">
        <f aca="false">IF($E873="","",IF(OR($K873="",$R873=""),0,IF($K873&lt;=$R873,1,0)))</f>
        <v/>
      </c>
      <c r="U873" s="38" t="str">
        <f aca="false">IF(OR($K873="",$J873=""),"",MAX(0,$K873-$J873))</f>
        <v/>
      </c>
      <c r="V873" s="31" t="str">
        <f aca="false">IF($E873="","",IF(AND($M873&lt;&gt;"",$J873&lt;&gt;"",$M873&lt;&gt;$J873),1,0))</f>
        <v/>
      </c>
      <c r="W873" s="39" t="str">
        <f aca="false">IF($E873="","",IF($L873="Cancelada",0,IF(OR($K873&lt;&gt;"",$L873="Concluída"),1,0)))</f>
        <v/>
      </c>
    </row>
    <row r="874" customFormat="false" ht="15" hidden="false" customHeight="true" outlineLevel="0" collapsed="false">
      <c r="A874" s="31" t="str">
        <f aca="false">IF($E874="","",COUNTA($E$5:$E874))</f>
        <v/>
      </c>
      <c r="B874" s="32"/>
      <c r="C874" s="32"/>
      <c r="D874" s="32"/>
      <c r="E874" s="32"/>
      <c r="F874" s="33"/>
      <c r="G874" s="32"/>
      <c r="H874" s="34"/>
      <c r="I874" s="35"/>
      <c r="J874" s="36" t="str">
        <f aca="false">IF(OR($H874="",$I874=""),"",$H874+MATCH($I874,Listas!$F$5:$F$11,0)-1)</f>
        <v/>
      </c>
      <c r="K874" s="37"/>
      <c r="L874" s="33"/>
      <c r="M874" s="37"/>
      <c r="N874" s="32"/>
      <c r="O874" s="32"/>
      <c r="P874" s="38" t="str">
        <f aca="true">IF($E874="","",IF($L874="Cancelada","Cancelada",IF(OR($K874&lt;&gt;"",$L874="Concluída"),IF(OR($J874="",$K874="",$K874&lt;=$J874),"Concluída","Concluída com atraso"),IF($J874="","Na carteira",IF($J874&lt;TODAY(),"VENCIDA",IF($L874="Em execução","Em execução",IF($J874=TODAY(),"Hoje","Programada")))))))</f>
        <v/>
      </c>
      <c r="Q874" s="31" t="str">
        <f aca="false">IF($E874="","",IF(ISNUMBER(SEARCH("(externo)",$G874)),"Terceirizada","Interna"))</f>
        <v/>
      </c>
      <c r="R874" s="36" t="str">
        <f aca="false">IF($J874="","",IF($M874="",$J874,$M874))</f>
        <v/>
      </c>
      <c r="S874" s="31" t="str">
        <f aca="false">IF($E874="","",IF(OR($K874="",$J874=""),0,IF($K874&lt;=$J874,1,0)))</f>
        <v/>
      </c>
      <c r="T874" s="31" t="str">
        <f aca="false">IF($E874="","",IF(OR($K874="",$R874=""),0,IF($K874&lt;=$R874,1,0)))</f>
        <v/>
      </c>
      <c r="U874" s="38" t="str">
        <f aca="false">IF(OR($K874="",$J874=""),"",MAX(0,$K874-$J874))</f>
        <v/>
      </c>
      <c r="V874" s="31" t="str">
        <f aca="false">IF($E874="","",IF(AND($M874&lt;&gt;"",$J874&lt;&gt;"",$M874&lt;&gt;$J874),1,0))</f>
        <v/>
      </c>
      <c r="W874" s="39" t="str">
        <f aca="false">IF($E874="","",IF($L874="Cancelada",0,IF(OR($K874&lt;&gt;"",$L874="Concluída"),1,0)))</f>
        <v/>
      </c>
    </row>
    <row r="875" customFormat="false" ht="15" hidden="false" customHeight="true" outlineLevel="0" collapsed="false">
      <c r="A875" s="31" t="str">
        <f aca="false">IF($E875="","",COUNTA($E$5:$E875))</f>
        <v/>
      </c>
      <c r="B875" s="32"/>
      <c r="C875" s="32"/>
      <c r="D875" s="32"/>
      <c r="E875" s="32"/>
      <c r="F875" s="33"/>
      <c r="G875" s="32"/>
      <c r="H875" s="34"/>
      <c r="I875" s="35"/>
      <c r="J875" s="36" t="str">
        <f aca="false">IF(OR($H875="",$I875=""),"",$H875+MATCH($I875,Listas!$F$5:$F$11,0)-1)</f>
        <v/>
      </c>
      <c r="K875" s="37"/>
      <c r="L875" s="33"/>
      <c r="M875" s="37"/>
      <c r="N875" s="32"/>
      <c r="O875" s="32"/>
      <c r="P875" s="38" t="str">
        <f aca="true">IF($E875="","",IF($L875="Cancelada","Cancelada",IF(OR($K875&lt;&gt;"",$L875="Concluída"),IF(OR($J875="",$K875="",$K875&lt;=$J875),"Concluída","Concluída com atraso"),IF($J875="","Na carteira",IF($J875&lt;TODAY(),"VENCIDA",IF($L875="Em execução","Em execução",IF($J875=TODAY(),"Hoje","Programada")))))))</f>
        <v/>
      </c>
      <c r="Q875" s="31" t="str">
        <f aca="false">IF($E875="","",IF(ISNUMBER(SEARCH("(externo)",$G875)),"Terceirizada","Interna"))</f>
        <v/>
      </c>
      <c r="R875" s="36" t="str">
        <f aca="false">IF($J875="","",IF($M875="",$J875,$M875))</f>
        <v/>
      </c>
      <c r="S875" s="31" t="str">
        <f aca="false">IF($E875="","",IF(OR($K875="",$J875=""),0,IF($K875&lt;=$J875,1,0)))</f>
        <v/>
      </c>
      <c r="T875" s="31" t="str">
        <f aca="false">IF($E875="","",IF(OR($K875="",$R875=""),0,IF($K875&lt;=$R875,1,0)))</f>
        <v/>
      </c>
      <c r="U875" s="38" t="str">
        <f aca="false">IF(OR($K875="",$J875=""),"",MAX(0,$K875-$J875))</f>
        <v/>
      </c>
      <c r="V875" s="31" t="str">
        <f aca="false">IF($E875="","",IF(AND($M875&lt;&gt;"",$J875&lt;&gt;"",$M875&lt;&gt;$J875),1,0))</f>
        <v/>
      </c>
      <c r="W875" s="39" t="str">
        <f aca="false">IF($E875="","",IF($L875="Cancelada",0,IF(OR($K875&lt;&gt;"",$L875="Concluída"),1,0)))</f>
        <v/>
      </c>
    </row>
    <row r="876" customFormat="false" ht="15" hidden="false" customHeight="true" outlineLevel="0" collapsed="false">
      <c r="A876" s="31" t="str">
        <f aca="false">IF($E876="","",COUNTA($E$5:$E876))</f>
        <v/>
      </c>
      <c r="B876" s="32"/>
      <c r="C876" s="32"/>
      <c r="D876" s="32"/>
      <c r="E876" s="32"/>
      <c r="F876" s="33"/>
      <c r="G876" s="32"/>
      <c r="H876" s="34"/>
      <c r="I876" s="35"/>
      <c r="J876" s="36" t="str">
        <f aca="false">IF(OR($H876="",$I876=""),"",$H876+MATCH($I876,Listas!$F$5:$F$11,0)-1)</f>
        <v/>
      </c>
      <c r="K876" s="37"/>
      <c r="L876" s="33"/>
      <c r="M876" s="37"/>
      <c r="N876" s="32"/>
      <c r="O876" s="32"/>
      <c r="P876" s="38" t="str">
        <f aca="true">IF($E876="","",IF($L876="Cancelada","Cancelada",IF(OR($K876&lt;&gt;"",$L876="Concluída"),IF(OR($J876="",$K876="",$K876&lt;=$J876),"Concluída","Concluída com atraso"),IF($J876="","Na carteira",IF($J876&lt;TODAY(),"VENCIDA",IF($L876="Em execução","Em execução",IF($J876=TODAY(),"Hoje","Programada")))))))</f>
        <v/>
      </c>
      <c r="Q876" s="31" t="str">
        <f aca="false">IF($E876="","",IF(ISNUMBER(SEARCH("(externo)",$G876)),"Terceirizada","Interna"))</f>
        <v/>
      </c>
      <c r="R876" s="36" t="str">
        <f aca="false">IF($J876="","",IF($M876="",$J876,$M876))</f>
        <v/>
      </c>
      <c r="S876" s="31" t="str">
        <f aca="false">IF($E876="","",IF(OR($K876="",$J876=""),0,IF($K876&lt;=$J876,1,0)))</f>
        <v/>
      </c>
      <c r="T876" s="31" t="str">
        <f aca="false">IF($E876="","",IF(OR($K876="",$R876=""),0,IF($K876&lt;=$R876,1,0)))</f>
        <v/>
      </c>
      <c r="U876" s="38" t="str">
        <f aca="false">IF(OR($K876="",$J876=""),"",MAX(0,$K876-$J876))</f>
        <v/>
      </c>
      <c r="V876" s="31" t="str">
        <f aca="false">IF($E876="","",IF(AND($M876&lt;&gt;"",$J876&lt;&gt;"",$M876&lt;&gt;$J876),1,0))</f>
        <v/>
      </c>
      <c r="W876" s="39" t="str">
        <f aca="false">IF($E876="","",IF($L876="Cancelada",0,IF(OR($K876&lt;&gt;"",$L876="Concluída"),1,0)))</f>
        <v/>
      </c>
    </row>
    <row r="877" customFormat="false" ht="15" hidden="false" customHeight="true" outlineLevel="0" collapsed="false">
      <c r="A877" s="31" t="str">
        <f aca="false">IF($E877="","",COUNTA($E$5:$E877))</f>
        <v/>
      </c>
      <c r="B877" s="32"/>
      <c r="C877" s="32"/>
      <c r="D877" s="32"/>
      <c r="E877" s="32"/>
      <c r="F877" s="33"/>
      <c r="G877" s="32"/>
      <c r="H877" s="34"/>
      <c r="I877" s="35"/>
      <c r="J877" s="36" t="str">
        <f aca="false">IF(OR($H877="",$I877=""),"",$H877+MATCH($I877,Listas!$F$5:$F$11,0)-1)</f>
        <v/>
      </c>
      <c r="K877" s="37"/>
      <c r="L877" s="33"/>
      <c r="M877" s="37"/>
      <c r="N877" s="32"/>
      <c r="O877" s="32"/>
      <c r="P877" s="38" t="str">
        <f aca="true">IF($E877="","",IF($L877="Cancelada","Cancelada",IF(OR($K877&lt;&gt;"",$L877="Concluída"),IF(OR($J877="",$K877="",$K877&lt;=$J877),"Concluída","Concluída com atraso"),IF($J877="","Na carteira",IF($J877&lt;TODAY(),"VENCIDA",IF($L877="Em execução","Em execução",IF($J877=TODAY(),"Hoje","Programada")))))))</f>
        <v/>
      </c>
      <c r="Q877" s="31" t="str">
        <f aca="false">IF($E877="","",IF(ISNUMBER(SEARCH("(externo)",$G877)),"Terceirizada","Interna"))</f>
        <v/>
      </c>
      <c r="R877" s="36" t="str">
        <f aca="false">IF($J877="","",IF($M877="",$J877,$M877))</f>
        <v/>
      </c>
      <c r="S877" s="31" t="str">
        <f aca="false">IF($E877="","",IF(OR($K877="",$J877=""),0,IF($K877&lt;=$J877,1,0)))</f>
        <v/>
      </c>
      <c r="T877" s="31" t="str">
        <f aca="false">IF($E877="","",IF(OR($K877="",$R877=""),0,IF($K877&lt;=$R877,1,0)))</f>
        <v/>
      </c>
      <c r="U877" s="38" t="str">
        <f aca="false">IF(OR($K877="",$J877=""),"",MAX(0,$K877-$J877))</f>
        <v/>
      </c>
      <c r="V877" s="31" t="str">
        <f aca="false">IF($E877="","",IF(AND($M877&lt;&gt;"",$J877&lt;&gt;"",$M877&lt;&gt;$J877),1,0))</f>
        <v/>
      </c>
      <c r="W877" s="39" t="str">
        <f aca="false">IF($E877="","",IF($L877="Cancelada",0,IF(OR($K877&lt;&gt;"",$L877="Concluída"),1,0)))</f>
        <v/>
      </c>
    </row>
    <row r="878" customFormat="false" ht="15" hidden="false" customHeight="true" outlineLevel="0" collapsed="false">
      <c r="A878" s="31" t="str">
        <f aca="false">IF($E878="","",COUNTA($E$5:$E878))</f>
        <v/>
      </c>
      <c r="B878" s="32"/>
      <c r="C878" s="32"/>
      <c r="D878" s="32"/>
      <c r="E878" s="32"/>
      <c r="F878" s="33"/>
      <c r="G878" s="32"/>
      <c r="H878" s="34"/>
      <c r="I878" s="35"/>
      <c r="J878" s="36" t="str">
        <f aca="false">IF(OR($H878="",$I878=""),"",$H878+MATCH($I878,Listas!$F$5:$F$11,0)-1)</f>
        <v/>
      </c>
      <c r="K878" s="37"/>
      <c r="L878" s="33"/>
      <c r="M878" s="37"/>
      <c r="N878" s="32"/>
      <c r="O878" s="32"/>
      <c r="P878" s="38" t="str">
        <f aca="true">IF($E878="","",IF($L878="Cancelada","Cancelada",IF(OR($K878&lt;&gt;"",$L878="Concluída"),IF(OR($J878="",$K878="",$K878&lt;=$J878),"Concluída","Concluída com atraso"),IF($J878="","Na carteira",IF($J878&lt;TODAY(),"VENCIDA",IF($L878="Em execução","Em execução",IF($J878=TODAY(),"Hoje","Programada")))))))</f>
        <v/>
      </c>
      <c r="Q878" s="31" t="str">
        <f aca="false">IF($E878="","",IF(ISNUMBER(SEARCH("(externo)",$G878)),"Terceirizada","Interna"))</f>
        <v/>
      </c>
      <c r="R878" s="36" t="str">
        <f aca="false">IF($J878="","",IF($M878="",$J878,$M878))</f>
        <v/>
      </c>
      <c r="S878" s="31" t="str">
        <f aca="false">IF($E878="","",IF(OR($K878="",$J878=""),0,IF($K878&lt;=$J878,1,0)))</f>
        <v/>
      </c>
      <c r="T878" s="31" t="str">
        <f aca="false">IF($E878="","",IF(OR($K878="",$R878=""),0,IF($K878&lt;=$R878,1,0)))</f>
        <v/>
      </c>
      <c r="U878" s="38" t="str">
        <f aca="false">IF(OR($K878="",$J878=""),"",MAX(0,$K878-$J878))</f>
        <v/>
      </c>
      <c r="V878" s="31" t="str">
        <f aca="false">IF($E878="","",IF(AND($M878&lt;&gt;"",$J878&lt;&gt;"",$M878&lt;&gt;$J878),1,0))</f>
        <v/>
      </c>
      <c r="W878" s="39" t="str">
        <f aca="false">IF($E878="","",IF($L878="Cancelada",0,IF(OR($K878&lt;&gt;"",$L878="Concluída"),1,0)))</f>
        <v/>
      </c>
    </row>
    <row r="879" customFormat="false" ht="15" hidden="false" customHeight="true" outlineLevel="0" collapsed="false">
      <c r="A879" s="31" t="str">
        <f aca="false">IF($E879="","",COUNTA($E$5:$E879))</f>
        <v/>
      </c>
      <c r="B879" s="32"/>
      <c r="C879" s="32"/>
      <c r="D879" s="32"/>
      <c r="E879" s="32"/>
      <c r="F879" s="33"/>
      <c r="G879" s="32"/>
      <c r="H879" s="34"/>
      <c r="I879" s="35"/>
      <c r="J879" s="36" t="str">
        <f aca="false">IF(OR($H879="",$I879=""),"",$H879+MATCH($I879,Listas!$F$5:$F$11,0)-1)</f>
        <v/>
      </c>
      <c r="K879" s="37"/>
      <c r="L879" s="33"/>
      <c r="M879" s="37"/>
      <c r="N879" s="32"/>
      <c r="O879" s="32"/>
      <c r="P879" s="38" t="str">
        <f aca="true">IF($E879="","",IF($L879="Cancelada","Cancelada",IF(OR($K879&lt;&gt;"",$L879="Concluída"),IF(OR($J879="",$K879="",$K879&lt;=$J879),"Concluída","Concluída com atraso"),IF($J879="","Na carteira",IF($J879&lt;TODAY(),"VENCIDA",IF($L879="Em execução","Em execução",IF($J879=TODAY(),"Hoje","Programada")))))))</f>
        <v/>
      </c>
      <c r="Q879" s="31" t="str">
        <f aca="false">IF($E879="","",IF(ISNUMBER(SEARCH("(externo)",$G879)),"Terceirizada","Interna"))</f>
        <v/>
      </c>
      <c r="R879" s="36" t="str">
        <f aca="false">IF($J879="","",IF($M879="",$J879,$M879))</f>
        <v/>
      </c>
      <c r="S879" s="31" t="str">
        <f aca="false">IF($E879="","",IF(OR($K879="",$J879=""),0,IF($K879&lt;=$J879,1,0)))</f>
        <v/>
      </c>
      <c r="T879" s="31" t="str">
        <f aca="false">IF($E879="","",IF(OR($K879="",$R879=""),0,IF($K879&lt;=$R879,1,0)))</f>
        <v/>
      </c>
      <c r="U879" s="38" t="str">
        <f aca="false">IF(OR($K879="",$J879=""),"",MAX(0,$K879-$J879))</f>
        <v/>
      </c>
      <c r="V879" s="31" t="str">
        <f aca="false">IF($E879="","",IF(AND($M879&lt;&gt;"",$J879&lt;&gt;"",$M879&lt;&gt;$J879),1,0))</f>
        <v/>
      </c>
      <c r="W879" s="39" t="str">
        <f aca="false">IF($E879="","",IF($L879="Cancelada",0,IF(OR($K879&lt;&gt;"",$L879="Concluída"),1,0)))</f>
        <v/>
      </c>
    </row>
    <row r="880" customFormat="false" ht="15" hidden="false" customHeight="true" outlineLevel="0" collapsed="false">
      <c r="A880" s="31" t="str">
        <f aca="false">IF($E880="","",COUNTA($E$5:$E880))</f>
        <v/>
      </c>
      <c r="B880" s="32"/>
      <c r="C880" s="32"/>
      <c r="D880" s="32"/>
      <c r="E880" s="32"/>
      <c r="F880" s="33"/>
      <c r="G880" s="32"/>
      <c r="H880" s="34"/>
      <c r="I880" s="35"/>
      <c r="J880" s="36" t="str">
        <f aca="false">IF(OR($H880="",$I880=""),"",$H880+MATCH($I880,Listas!$F$5:$F$11,0)-1)</f>
        <v/>
      </c>
      <c r="K880" s="37"/>
      <c r="L880" s="33"/>
      <c r="M880" s="37"/>
      <c r="N880" s="32"/>
      <c r="O880" s="32"/>
      <c r="P880" s="38" t="str">
        <f aca="true">IF($E880="","",IF($L880="Cancelada","Cancelada",IF(OR($K880&lt;&gt;"",$L880="Concluída"),IF(OR($J880="",$K880="",$K880&lt;=$J880),"Concluída","Concluída com atraso"),IF($J880="","Na carteira",IF($J880&lt;TODAY(),"VENCIDA",IF($L880="Em execução","Em execução",IF($J880=TODAY(),"Hoje","Programada")))))))</f>
        <v/>
      </c>
      <c r="Q880" s="31" t="str">
        <f aca="false">IF($E880="","",IF(ISNUMBER(SEARCH("(externo)",$G880)),"Terceirizada","Interna"))</f>
        <v/>
      </c>
      <c r="R880" s="36" t="str">
        <f aca="false">IF($J880="","",IF($M880="",$J880,$M880))</f>
        <v/>
      </c>
      <c r="S880" s="31" t="str">
        <f aca="false">IF($E880="","",IF(OR($K880="",$J880=""),0,IF($K880&lt;=$J880,1,0)))</f>
        <v/>
      </c>
      <c r="T880" s="31" t="str">
        <f aca="false">IF($E880="","",IF(OR($K880="",$R880=""),0,IF($K880&lt;=$R880,1,0)))</f>
        <v/>
      </c>
      <c r="U880" s="38" t="str">
        <f aca="false">IF(OR($K880="",$J880=""),"",MAX(0,$K880-$J880))</f>
        <v/>
      </c>
      <c r="V880" s="31" t="str">
        <f aca="false">IF($E880="","",IF(AND($M880&lt;&gt;"",$J880&lt;&gt;"",$M880&lt;&gt;$J880),1,0))</f>
        <v/>
      </c>
      <c r="W880" s="39" t="str">
        <f aca="false">IF($E880="","",IF($L880="Cancelada",0,IF(OR($K880&lt;&gt;"",$L880="Concluída"),1,0)))</f>
        <v/>
      </c>
    </row>
    <row r="881" customFormat="false" ht="15" hidden="false" customHeight="true" outlineLevel="0" collapsed="false">
      <c r="A881" s="31" t="str">
        <f aca="false">IF($E881="","",COUNTA($E$5:$E881))</f>
        <v/>
      </c>
      <c r="B881" s="32"/>
      <c r="C881" s="32"/>
      <c r="D881" s="32"/>
      <c r="E881" s="32"/>
      <c r="F881" s="33"/>
      <c r="G881" s="32"/>
      <c r="H881" s="34"/>
      <c r="I881" s="35"/>
      <c r="J881" s="36" t="str">
        <f aca="false">IF(OR($H881="",$I881=""),"",$H881+MATCH($I881,Listas!$F$5:$F$11,0)-1)</f>
        <v/>
      </c>
      <c r="K881" s="37"/>
      <c r="L881" s="33"/>
      <c r="M881" s="37"/>
      <c r="N881" s="32"/>
      <c r="O881" s="32"/>
      <c r="P881" s="38" t="str">
        <f aca="true">IF($E881="","",IF($L881="Cancelada","Cancelada",IF(OR($K881&lt;&gt;"",$L881="Concluída"),IF(OR($J881="",$K881="",$K881&lt;=$J881),"Concluída","Concluída com atraso"),IF($J881="","Na carteira",IF($J881&lt;TODAY(),"VENCIDA",IF($L881="Em execução","Em execução",IF($J881=TODAY(),"Hoje","Programada")))))))</f>
        <v/>
      </c>
      <c r="Q881" s="31" t="str">
        <f aca="false">IF($E881="","",IF(ISNUMBER(SEARCH("(externo)",$G881)),"Terceirizada","Interna"))</f>
        <v/>
      </c>
      <c r="R881" s="36" t="str">
        <f aca="false">IF($J881="","",IF($M881="",$J881,$M881))</f>
        <v/>
      </c>
      <c r="S881" s="31" t="str">
        <f aca="false">IF($E881="","",IF(OR($K881="",$J881=""),0,IF($K881&lt;=$J881,1,0)))</f>
        <v/>
      </c>
      <c r="T881" s="31" t="str">
        <f aca="false">IF($E881="","",IF(OR($K881="",$R881=""),0,IF($K881&lt;=$R881,1,0)))</f>
        <v/>
      </c>
      <c r="U881" s="38" t="str">
        <f aca="false">IF(OR($K881="",$J881=""),"",MAX(0,$K881-$J881))</f>
        <v/>
      </c>
      <c r="V881" s="31" t="str">
        <f aca="false">IF($E881="","",IF(AND($M881&lt;&gt;"",$J881&lt;&gt;"",$M881&lt;&gt;$J881),1,0))</f>
        <v/>
      </c>
      <c r="W881" s="39" t="str">
        <f aca="false">IF($E881="","",IF($L881="Cancelada",0,IF(OR($K881&lt;&gt;"",$L881="Concluída"),1,0)))</f>
        <v/>
      </c>
    </row>
    <row r="882" customFormat="false" ht="15" hidden="false" customHeight="true" outlineLevel="0" collapsed="false">
      <c r="A882" s="31" t="str">
        <f aca="false">IF($E882="","",COUNTA($E$5:$E882))</f>
        <v/>
      </c>
      <c r="B882" s="32"/>
      <c r="C882" s="32"/>
      <c r="D882" s="32"/>
      <c r="E882" s="32"/>
      <c r="F882" s="33"/>
      <c r="G882" s="32"/>
      <c r="H882" s="34"/>
      <c r="I882" s="35"/>
      <c r="J882" s="36" t="str">
        <f aca="false">IF(OR($H882="",$I882=""),"",$H882+MATCH($I882,Listas!$F$5:$F$11,0)-1)</f>
        <v/>
      </c>
      <c r="K882" s="37"/>
      <c r="L882" s="33"/>
      <c r="M882" s="37"/>
      <c r="N882" s="32"/>
      <c r="O882" s="32"/>
      <c r="P882" s="38" t="str">
        <f aca="true">IF($E882="","",IF($L882="Cancelada","Cancelada",IF(OR($K882&lt;&gt;"",$L882="Concluída"),IF(OR($J882="",$K882="",$K882&lt;=$J882),"Concluída","Concluída com atraso"),IF($J882="","Na carteira",IF($J882&lt;TODAY(),"VENCIDA",IF($L882="Em execução","Em execução",IF($J882=TODAY(),"Hoje","Programada")))))))</f>
        <v/>
      </c>
      <c r="Q882" s="31" t="str">
        <f aca="false">IF($E882="","",IF(ISNUMBER(SEARCH("(externo)",$G882)),"Terceirizada","Interna"))</f>
        <v/>
      </c>
      <c r="R882" s="36" t="str">
        <f aca="false">IF($J882="","",IF($M882="",$J882,$M882))</f>
        <v/>
      </c>
      <c r="S882" s="31" t="str">
        <f aca="false">IF($E882="","",IF(OR($K882="",$J882=""),0,IF($K882&lt;=$J882,1,0)))</f>
        <v/>
      </c>
      <c r="T882" s="31" t="str">
        <f aca="false">IF($E882="","",IF(OR($K882="",$R882=""),0,IF($K882&lt;=$R882,1,0)))</f>
        <v/>
      </c>
      <c r="U882" s="38" t="str">
        <f aca="false">IF(OR($K882="",$J882=""),"",MAX(0,$K882-$J882))</f>
        <v/>
      </c>
      <c r="V882" s="31" t="str">
        <f aca="false">IF($E882="","",IF(AND($M882&lt;&gt;"",$J882&lt;&gt;"",$M882&lt;&gt;$J882),1,0))</f>
        <v/>
      </c>
      <c r="W882" s="39" t="str">
        <f aca="false">IF($E882="","",IF($L882="Cancelada",0,IF(OR($K882&lt;&gt;"",$L882="Concluída"),1,0)))</f>
        <v/>
      </c>
    </row>
    <row r="883" customFormat="false" ht="15" hidden="false" customHeight="true" outlineLevel="0" collapsed="false">
      <c r="A883" s="31" t="str">
        <f aca="false">IF($E883="","",COUNTA($E$5:$E883))</f>
        <v/>
      </c>
      <c r="B883" s="32"/>
      <c r="C883" s="32"/>
      <c r="D883" s="32"/>
      <c r="E883" s="32"/>
      <c r="F883" s="33"/>
      <c r="G883" s="32"/>
      <c r="H883" s="34"/>
      <c r="I883" s="35"/>
      <c r="J883" s="36" t="str">
        <f aca="false">IF(OR($H883="",$I883=""),"",$H883+MATCH($I883,Listas!$F$5:$F$11,0)-1)</f>
        <v/>
      </c>
      <c r="K883" s="37"/>
      <c r="L883" s="33"/>
      <c r="M883" s="37"/>
      <c r="N883" s="32"/>
      <c r="O883" s="32"/>
      <c r="P883" s="38" t="str">
        <f aca="true">IF($E883="","",IF($L883="Cancelada","Cancelada",IF(OR($K883&lt;&gt;"",$L883="Concluída"),IF(OR($J883="",$K883="",$K883&lt;=$J883),"Concluída","Concluída com atraso"),IF($J883="","Na carteira",IF($J883&lt;TODAY(),"VENCIDA",IF($L883="Em execução","Em execução",IF($J883=TODAY(),"Hoje","Programada")))))))</f>
        <v/>
      </c>
      <c r="Q883" s="31" t="str">
        <f aca="false">IF($E883="","",IF(ISNUMBER(SEARCH("(externo)",$G883)),"Terceirizada","Interna"))</f>
        <v/>
      </c>
      <c r="R883" s="36" t="str">
        <f aca="false">IF($J883="","",IF($M883="",$J883,$M883))</f>
        <v/>
      </c>
      <c r="S883" s="31" t="str">
        <f aca="false">IF($E883="","",IF(OR($K883="",$J883=""),0,IF($K883&lt;=$J883,1,0)))</f>
        <v/>
      </c>
      <c r="T883" s="31" t="str">
        <f aca="false">IF($E883="","",IF(OR($K883="",$R883=""),0,IF($K883&lt;=$R883,1,0)))</f>
        <v/>
      </c>
      <c r="U883" s="38" t="str">
        <f aca="false">IF(OR($K883="",$J883=""),"",MAX(0,$K883-$J883))</f>
        <v/>
      </c>
      <c r="V883" s="31" t="str">
        <f aca="false">IF($E883="","",IF(AND($M883&lt;&gt;"",$J883&lt;&gt;"",$M883&lt;&gt;$J883),1,0))</f>
        <v/>
      </c>
      <c r="W883" s="39" t="str">
        <f aca="false">IF($E883="","",IF($L883="Cancelada",0,IF(OR($K883&lt;&gt;"",$L883="Concluída"),1,0)))</f>
        <v/>
      </c>
    </row>
    <row r="884" customFormat="false" ht="15" hidden="false" customHeight="true" outlineLevel="0" collapsed="false">
      <c r="A884" s="31" t="str">
        <f aca="false">IF($E884="","",COUNTA($E$5:$E884))</f>
        <v/>
      </c>
      <c r="B884" s="32"/>
      <c r="C884" s="32"/>
      <c r="D884" s="32"/>
      <c r="E884" s="32"/>
      <c r="F884" s="33"/>
      <c r="G884" s="32"/>
      <c r="H884" s="34"/>
      <c r="I884" s="35"/>
      <c r="J884" s="36" t="str">
        <f aca="false">IF(OR($H884="",$I884=""),"",$H884+MATCH($I884,Listas!$F$5:$F$11,0)-1)</f>
        <v/>
      </c>
      <c r="K884" s="37"/>
      <c r="L884" s="33"/>
      <c r="M884" s="37"/>
      <c r="N884" s="32"/>
      <c r="O884" s="32"/>
      <c r="P884" s="38" t="str">
        <f aca="true">IF($E884="","",IF($L884="Cancelada","Cancelada",IF(OR($K884&lt;&gt;"",$L884="Concluída"),IF(OR($J884="",$K884="",$K884&lt;=$J884),"Concluída","Concluída com atraso"),IF($J884="","Na carteira",IF($J884&lt;TODAY(),"VENCIDA",IF($L884="Em execução","Em execução",IF($J884=TODAY(),"Hoje","Programada")))))))</f>
        <v/>
      </c>
      <c r="Q884" s="31" t="str">
        <f aca="false">IF($E884="","",IF(ISNUMBER(SEARCH("(externo)",$G884)),"Terceirizada","Interna"))</f>
        <v/>
      </c>
      <c r="R884" s="36" t="str">
        <f aca="false">IF($J884="","",IF($M884="",$J884,$M884))</f>
        <v/>
      </c>
      <c r="S884" s="31" t="str">
        <f aca="false">IF($E884="","",IF(OR($K884="",$J884=""),0,IF($K884&lt;=$J884,1,0)))</f>
        <v/>
      </c>
      <c r="T884" s="31" t="str">
        <f aca="false">IF($E884="","",IF(OR($K884="",$R884=""),0,IF($K884&lt;=$R884,1,0)))</f>
        <v/>
      </c>
      <c r="U884" s="38" t="str">
        <f aca="false">IF(OR($K884="",$J884=""),"",MAX(0,$K884-$J884))</f>
        <v/>
      </c>
      <c r="V884" s="31" t="str">
        <f aca="false">IF($E884="","",IF(AND($M884&lt;&gt;"",$J884&lt;&gt;"",$M884&lt;&gt;$J884),1,0))</f>
        <v/>
      </c>
      <c r="W884" s="39" t="str">
        <f aca="false">IF($E884="","",IF($L884="Cancelada",0,IF(OR($K884&lt;&gt;"",$L884="Concluída"),1,0)))</f>
        <v/>
      </c>
    </row>
    <row r="885" customFormat="false" ht="15" hidden="false" customHeight="true" outlineLevel="0" collapsed="false">
      <c r="A885" s="31" t="str">
        <f aca="false">IF($E885="","",COUNTA($E$5:$E885))</f>
        <v/>
      </c>
      <c r="B885" s="32"/>
      <c r="C885" s="32"/>
      <c r="D885" s="32"/>
      <c r="E885" s="32"/>
      <c r="F885" s="33"/>
      <c r="G885" s="32"/>
      <c r="H885" s="34"/>
      <c r="I885" s="35"/>
      <c r="J885" s="36" t="str">
        <f aca="false">IF(OR($H885="",$I885=""),"",$H885+MATCH($I885,Listas!$F$5:$F$11,0)-1)</f>
        <v/>
      </c>
      <c r="K885" s="37"/>
      <c r="L885" s="33"/>
      <c r="M885" s="37"/>
      <c r="N885" s="32"/>
      <c r="O885" s="32"/>
      <c r="P885" s="38" t="str">
        <f aca="true">IF($E885="","",IF($L885="Cancelada","Cancelada",IF(OR($K885&lt;&gt;"",$L885="Concluída"),IF(OR($J885="",$K885="",$K885&lt;=$J885),"Concluída","Concluída com atraso"),IF($J885="","Na carteira",IF($J885&lt;TODAY(),"VENCIDA",IF($L885="Em execução","Em execução",IF($J885=TODAY(),"Hoje","Programada")))))))</f>
        <v/>
      </c>
      <c r="Q885" s="31" t="str">
        <f aca="false">IF($E885="","",IF(ISNUMBER(SEARCH("(externo)",$G885)),"Terceirizada","Interna"))</f>
        <v/>
      </c>
      <c r="R885" s="36" t="str">
        <f aca="false">IF($J885="","",IF($M885="",$J885,$M885))</f>
        <v/>
      </c>
      <c r="S885" s="31" t="str">
        <f aca="false">IF($E885="","",IF(OR($K885="",$J885=""),0,IF($K885&lt;=$J885,1,0)))</f>
        <v/>
      </c>
      <c r="T885" s="31" t="str">
        <f aca="false">IF($E885="","",IF(OR($K885="",$R885=""),0,IF($K885&lt;=$R885,1,0)))</f>
        <v/>
      </c>
      <c r="U885" s="38" t="str">
        <f aca="false">IF(OR($K885="",$J885=""),"",MAX(0,$K885-$J885))</f>
        <v/>
      </c>
      <c r="V885" s="31" t="str">
        <f aca="false">IF($E885="","",IF(AND($M885&lt;&gt;"",$J885&lt;&gt;"",$M885&lt;&gt;$J885),1,0))</f>
        <v/>
      </c>
      <c r="W885" s="39" t="str">
        <f aca="false">IF($E885="","",IF($L885="Cancelada",0,IF(OR($K885&lt;&gt;"",$L885="Concluída"),1,0)))</f>
        <v/>
      </c>
    </row>
    <row r="886" customFormat="false" ht="15" hidden="false" customHeight="true" outlineLevel="0" collapsed="false">
      <c r="A886" s="31" t="str">
        <f aca="false">IF($E886="","",COUNTA($E$5:$E886))</f>
        <v/>
      </c>
      <c r="B886" s="32"/>
      <c r="C886" s="32"/>
      <c r="D886" s="32"/>
      <c r="E886" s="32"/>
      <c r="F886" s="33"/>
      <c r="G886" s="32"/>
      <c r="H886" s="34"/>
      <c r="I886" s="35"/>
      <c r="J886" s="36" t="str">
        <f aca="false">IF(OR($H886="",$I886=""),"",$H886+MATCH($I886,Listas!$F$5:$F$11,0)-1)</f>
        <v/>
      </c>
      <c r="K886" s="37"/>
      <c r="L886" s="33"/>
      <c r="M886" s="37"/>
      <c r="N886" s="32"/>
      <c r="O886" s="32"/>
      <c r="P886" s="38" t="str">
        <f aca="true">IF($E886="","",IF($L886="Cancelada","Cancelada",IF(OR($K886&lt;&gt;"",$L886="Concluída"),IF(OR($J886="",$K886="",$K886&lt;=$J886),"Concluída","Concluída com atraso"),IF($J886="","Na carteira",IF($J886&lt;TODAY(),"VENCIDA",IF($L886="Em execução","Em execução",IF($J886=TODAY(),"Hoje","Programada")))))))</f>
        <v/>
      </c>
      <c r="Q886" s="31" t="str">
        <f aca="false">IF($E886="","",IF(ISNUMBER(SEARCH("(externo)",$G886)),"Terceirizada","Interna"))</f>
        <v/>
      </c>
      <c r="R886" s="36" t="str">
        <f aca="false">IF($J886="","",IF($M886="",$J886,$M886))</f>
        <v/>
      </c>
      <c r="S886" s="31" t="str">
        <f aca="false">IF($E886="","",IF(OR($K886="",$J886=""),0,IF($K886&lt;=$J886,1,0)))</f>
        <v/>
      </c>
      <c r="T886" s="31" t="str">
        <f aca="false">IF($E886="","",IF(OR($K886="",$R886=""),0,IF($K886&lt;=$R886,1,0)))</f>
        <v/>
      </c>
      <c r="U886" s="38" t="str">
        <f aca="false">IF(OR($K886="",$J886=""),"",MAX(0,$K886-$J886))</f>
        <v/>
      </c>
      <c r="V886" s="31" t="str">
        <f aca="false">IF($E886="","",IF(AND($M886&lt;&gt;"",$J886&lt;&gt;"",$M886&lt;&gt;$J886),1,0))</f>
        <v/>
      </c>
      <c r="W886" s="39" t="str">
        <f aca="false">IF($E886="","",IF($L886="Cancelada",0,IF(OR($K886&lt;&gt;"",$L886="Concluída"),1,0)))</f>
        <v/>
      </c>
    </row>
    <row r="887" customFormat="false" ht="15" hidden="false" customHeight="true" outlineLevel="0" collapsed="false">
      <c r="A887" s="31" t="str">
        <f aca="false">IF($E887="","",COUNTA($E$5:$E887))</f>
        <v/>
      </c>
      <c r="B887" s="32"/>
      <c r="C887" s="32"/>
      <c r="D887" s="32"/>
      <c r="E887" s="32"/>
      <c r="F887" s="33"/>
      <c r="G887" s="32"/>
      <c r="H887" s="34"/>
      <c r="I887" s="35"/>
      <c r="J887" s="36" t="str">
        <f aca="false">IF(OR($H887="",$I887=""),"",$H887+MATCH($I887,Listas!$F$5:$F$11,0)-1)</f>
        <v/>
      </c>
      <c r="K887" s="37"/>
      <c r="L887" s="33"/>
      <c r="M887" s="37"/>
      <c r="N887" s="32"/>
      <c r="O887" s="32"/>
      <c r="P887" s="38" t="str">
        <f aca="true">IF($E887="","",IF($L887="Cancelada","Cancelada",IF(OR($K887&lt;&gt;"",$L887="Concluída"),IF(OR($J887="",$K887="",$K887&lt;=$J887),"Concluída","Concluída com atraso"),IF($J887="","Na carteira",IF($J887&lt;TODAY(),"VENCIDA",IF($L887="Em execução","Em execução",IF($J887=TODAY(),"Hoje","Programada")))))))</f>
        <v/>
      </c>
      <c r="Q887" s="31" t="str">
        <f aca="false">IF($E887="","",IF(ISNUMBER(SEARCH("(externo)",$G887)),"Terceirizada","Interna"))</f>
        <v/>
      </c>
      <c r="R887" s="36" t="str">
        <f aca="false">IF($J887="","",IF($M887="",$J887,$M887))</f>
        <v/>
      </c>
      <c r="S887" s="31" t="str">
        <f aca="false">IF($E887="","",IF(OR($K887="",$J887=""),0,IF($K887&lt;=$J887,1,0)))</f>
        <v/>
      </c>
      <c r="T887" s="31" t="str">
        <f aca="false">IF($E887="","",IF(OR($K887="",$R887=""),0,IF($K887&lt;=$R887,1,0)))</f>
        <v/>
      </c>
      <c r="U887" s="38" t="str">
        <f aca="false">IF(OR($K887="",$J887=""),"",MAX(0,$K887-$J887))</f>
        <v/>
      </c>
      <c r="V887" s="31" t="str">
        <f aca="false">IF($E887="","",IF(AND($M887&lt;&gt;"",$J887&lt;&gt;"",$M887&lt;&gt;$J887),1,0))</f>
        <v/>
      </c>
      <c r="W887" s="39" t="str">
        <f aca="false">IF($E887="","",IF($L887="Cancelada",0,IF(OR($K887&lt;&gt;"",$L887="Concluída"),1,0)))</f>
        <v/>
      </c>
    </row>
    <row r="888" customFormat="false" ht="15" hidden="false" customHeight="true" outlineLevel="0" collapsed="false">
      <c r="A888" s="31" t="str">
        <f aca="false">IF($E888="","",COUNTA($E$5:$E888))</f>
        <v/>
      </c>
      <c r="B888" s="32"/>
      <c r="C888" s="32"/>
      <c r="D888" s="32"/>
      <c r="E888" s="32"/>
      <c r="F888" s="33"/>
      <c r="G888" s="32"/>
      <c r="H888" s="34"/>
      <c r="I888" s="35"/>
      <c r="J888" s="36" t="str">
        <f aca="false">IF(OR($H888="",$I888=""),"",$H888+MATCH($I888,Listas!$F$5:$F$11,0)-1)</f>
        <v/>
      </c>
      <c r="K888" s="37"/>
      <c r="L888" s="33"/>
      <c r="M888" s="37"/>
      <c r="N888" s="32"/>
      <c r="O888" s="32"/>
      <c r="P888" s="38" t="str">
        <f aca="true">IF($E888="","",IF($L888="Cancelada","Cancelada",IF(OR($K888&lt;&gt;"",$L888="Concluída"),IF(OR($J888="",$K888="",$K888&lt;=$J888),"Concluída","Concluída com atraso"),IF($J888="","Na carteira",IF($J888&lt;TODAY(),"VENCIDA",IF($L888="Em execução","Em execução",IF($J888=TODAY(),"Hoje","Programada")))))))</f>
        <v/>
      </c>
      <c r="Q888" s="31" t="str">
        <f aca="false">IF($E888="","",IF(ISNUMBER(SEARCH("(externo)",$G888)),"Terceirizada","Interna"))</f>
        <v/>
      </c>
      <c r="R888" s="36" t="str">
        <f aca="false">IF($J888="","",IF($M888="",$J888,$M888))</f>
        <v/>
      </c>
      <c r="S888" s="31" t="str">
        <f aca="false">IF($E888="","",IF(OR($K888="",$J888=""),0,IF($K888&lt;=$J888,1,0)))</f>
        <v/>
      </c>
      <c r="T888" s="31" t="str">
        <f aca="false">IF($E888="","",IF(OR($K888="",$R888=""),0,IF($K888&lt;=$R888,1,0)))</f>
        <v/>
      </c>
      <c r="U888" s="38" t="str">
        <f aca="false">IF(OR($K888="",$J888=""),"",MAX(0,$K888-$J888))</f>
        <v/>
      </c>
      <c r="V888" s="31" t="str">
        <f aca="false">IF($E888="","",IF(AND($M888&lt;&gt;"",$J888&lt;&gt;"",$M888&lt;&gt;$J888),1,0))</f>
        <v/>
      </c>
      <c r="W888" s="39" t="str">
        <f aca="false">IF($E888="","",IF($L888="Cancelada",0,IF(OR($K888&lt;&gt;"",$L888="Concluída"),1,0)))</f>
        <v/>
      </c>
    </row>
    <row r="889" customFormat="false" ht="15" hidden="false" customHeight="true" outlineLevel="0" collapsed="false">
      <c r="A889" s="31" t="str">
        <f aca="false">IF($E889="","",COUNTA($E$5:$E889))</f>
        <v/>
      </c>
      <c r="B889" s="32"/>
      <c r="C889" s="32"/>
      <c r="D889" s="32"/>
      <c r="E889" s="32"/>
      <c r="F889" s="33"/>
      <c r="G889" s="32"/>
      <c r="H889" s="34"/>
      <c r="I889" s="35"/>
      <c r="J889" s="36" t="str">
        <f aca="false">IF(OR($H889="",$I889=""),"",$H889+MATCH($I889,Listas!$F$5:$F$11,0)-1)</f>
        <v/>
      </c>
      <c r="K889" s="37"/>
      <c r="L889" s="33"/>
      <c r="M889" s="37"/>
      <c r="N889" s="32"/>
      <c r="O889" s="32"/>
      <c r="P889" s="38" t="str">
        <f aca="true">IF($E889="","",IF($L889="Cancelada","Cancelada",IF(OR($K889&lt;&gt;"",$L889="Concluída"),IF(OR($J889="",$K889="",$K889&lt;=$J889),"Concluída","Concluída com atraso"),IF($J889="","Na carteira",IF($J889&lt;TODAY(),"VENCIDA",IF($L889="Em execução","Em execução",IF($J889=TODAY(),"Hoje","Programada")))))))</f>
        <v/>
      </c>
      <c r="Q889" s="31" t="str">
        <f aca="false">IF($E889="","",IF(ISNUMBER(SEARCH("(externo)",$G889)),"Terceirizada","Interna"))</f>
        <v/>
      </c>
      <c r="R889" s="36" t="str">
        <f aca="false">IF($J889="","",IF($M889="",$J889,$M889))</f>
        <v/>
      </c>
      <c r="S889" s="31" t="str">
        <f aca="false">IF($E889="","",IF(OR($K889="",$J889=""),0,IF($K889&lt;=$J889,1,0)))</f>
        <v/>
      </c>
      <c r="T889" s="31" t="str">
        <f aca="false">IF($E889="","",IF(OR($K889="",$R889=""),0,IF($K889&lt;=$R889,1,0)))</f>
        <v/>
      </c>
      <c r="U889" s="38" t="str">
        <f aca="false">IF(OR($K889="",$J889=""),"",MAX(0,$K889-$J889))</f>
        <v/>
      </c>
      <c r="V889" s="31" t="str">
        <f aca="false">IF($E889="","",IF(AND($M889&lt;&gt;"",$J889&lt;&gt;"",$M889&lt;&gt;$J889),1,0))</f>
        <v/>
      </c>
      <c r="W889" s="39" t="str">
        <f aca="false">IF($E889="","",IF($L889="Cancelada",0,IF(OR($K889&lt;&gt;"",$L889="Concluída"),1,0)))</f>
        <v/>
      </c>
    </row>
    <row r="890" customFormat="false" ht="15" hidden="false" customHeight="true" outlineLevel="0" collapsed="false">
      <c r="A890" s="31" t="str">
        <f aca="false">IF($E890="","",COUNTA($E$5:$E890))</f>
        <v/>
      </c>
      <c r="B890" s="32"/>
      <c r="C890" s="32"/>
      <c r="D890" s="32"/>
      <c r="E890" s="32"/>
      <c r="F890" s="33"/>
      <c r="G890" s="32"/>
      <c r="H890" s="34"/>
      <c r="I890" s="35"/>
      <c r="J890" s="36" t="str">
        <f aca="false">IF(OR($H890="",$I890=""),"",$H890+MATCH($I890,Listas!$F$5:$F$11,0)-1)</f>
        <v/>
      </c>
      <c r="K890" s="37"/>
      <c r="L890" s="33"/>
      <c r="M890" s="37"/>
      <c r="N890" s="32"/>
      <c r="O890" s="32"/>
      <c r="P890" s="38" t="str">
        <f aca="true">IF($E890="","",IF($L890="Cancelada","Cancelada",IF(OR($K890&lt;&gt;"",$L890="Concluída"),IF(OR($J890="",$K890="",$K890&lt;=$J890),"Concluída","Concluída com atraso"),IF($J890="","Na carteira",IF($J890&lt;TODAY(),"VENCIDA",IF($L890="Em execução","Em execução",IF($J890=TODAY(),"Hoje","Programada")))))))</f>
        <v/>
      </c>
      <c r="Q890" s="31" t="str">
        <f aca="false">IF($E890="","",IF(ISNUMBER(SEARCH("(externo)",$G890)),"Terceirizada","Interna"))</f>
        <v/>
      </c>
      <c r="R890" s="36" t="str">
        <f aca="false">IF($J890="","",IF($M890="",$J890,$M890))</f>
        <v/>
      </c>
      <c r="S890" s="31" t="str">
        <f aca="false">IF($E890="","",IF(OR($K890="",$J890=""),0,IF($K890&lt;=$J890,1,0)))</f>
        <v/>
      </c>
      <c r="T890" s="31" t="str">
        <f aca="false">IF($E890="","",IF(OR($K890="",$R890=""),0,IF($K890&lt;=$R890,1,0)))</f>
        <v/>
      </c>
      <c r="U890" s="38" t="str">
        <f aca="false">IF(OR($K890="",$J890=""),"",MAX(0,$K890-$J890))</f>
        <v/>
      </c>
      <c r="V890" s="31" t="str">
        <f aca="false">IF($E890="","",IF(AND($M890&lt;&gt;"",$J890&lt;&gt;"",$M890&lt;&gt;$J890),1,0))</f>
        <v/>
      </c>
      <c r="W890" s="39" t="str">
        <f aca="false">IF($E890="","",IF($L890="Cancelada",0,IF(OR($K890&lt;&gt;"",$L890="Concluída"),1,0)))</f>
        <v/>
      </c>
    </row>
    <row r="891" customFormat="false" ht="15" hidden="false" customHeight="true" outlineLevel="0" collapsed="false">
      <c r="A891" s="31" t="str">
        <f aca="false">IF($E891="","",COUNTA($E$5:$E891))</f>
        <v/>
      </c>
      <c r="B891" s="32"/>
      <c r="C891" s="32"/>
      <c r="D891" s="32"/>
      <c r="E891" s="32"/>
      <c r="F891" s="33"/>
      <c r="G891" s="32"/>
      <c r="H891" s="34"/>
      <c r="I891" s="35"/>
      <c r="J891" s="36" t="str">
        <f aca="false">IF(OR($H891="",$I891=""),"",$H891+MATCH($I891,Listas!$F$5:$F$11,0)-1)</f>
        <v/>
      </c>
      <c r="K891" s="37"/>
      <c r="L891" s="33"/>
      <c r="M891" s="37"/>
      <c r="N891" s="32"/>
      <c r="O891" s="32"/>
      <c r="P891" s="38" t="str">
        <f aca="true">IF($E891="","",IF($L891="Cancelada","Cancelada",IF(OR($K891&lt;&gt;"",$L891="Concluída"),IF(OR($J891="",$K891="",$K891&lt;=$J891),"Concluída","Concluída com atraso"),IF($J891="","Na carteira",IF($J891&lt;TODAY(),"VENCIDA",IF($L891="Em execução","Em execução",IF($J891=TODAY(),"Hoje","Programada")))))))</f>
        <v/>
      </c>
      <c r="Q891" s="31" t="str">
        <f aca="false">IF($E891="","",IF(ISNUMBER(SEARCH("(externo)",$G891)),"Terceirizada","Interna"))</f>
        <v/>
      </c>
      <c r="R891" s="36" t="str">
        <f aca="false">IF($J891="","",IF($M891="",$J891,$M891))</f>
        <v/>
      </c>
      <c r="S891" s="31" t="str">
        <f aca="false">IF($E891="","",IF(OR($K891="",$J891=""),0,IF($K891&lt;=$J891,1,0)))</f>
        <v/>
      </c>
      <c r="T891" s="31" t="str">
        <f aca="false">IF($E891="","",IF(OR($K891="",$R891=""),0,IF($K891&lt;=$R891,1,0)))</f>
        <v/>
      </c>
      <c r="U891" s="38" t="str">
        <f aca="false">IF(OR($K891="",$J891=""),"",MAX(0,$K891-$J891))</f>
        <v/>
      </c>
      <c r="V891" s="31" t="str">
        <f aca="false">IF($E891="","",IF(AND($M891&lt;&gt;"",$J891&lt;&gt;"",$M891&lt;&gt;$J891),1,0))</f>
        <v/>
      </c>
      <c r="W891" s="39" t="str">
        <f aca="false">IF($E891="","",IF($L891="Cancelada",0,IF(OR($K891&lt;&gt;"",$L891="Concluída"),1,0)))</f>
        <v/>
      </c>
    </row>
    <row r="892" customFormat="false" ht="15" hidden="false" customHeight="true" outlineLevel="0" collapsed="false">
      <c r="A892" s="31" t="str">
        <f aca="false">IF($E892="","",COUNTA($E$5:$E892))</f>
        <v/>
      </c>
      <c r="B892" s="32"/>
      <c r="C892" s="32"/>
      <c r="D892" s="32"/>
      <c r="E892" s="32"/>
      <c r="F892" s="33"/>
      <c r="G892" s="32"/>
      <c r="H892" s="34"/>
      <c r="I892" s="35"/>
      <c r="J892" s="36" t="str">
        <f aca="false">IF(OR($H892="",$I892=""),"",$H892+MATCH($I892,Listas!$F$5:$F$11,0)-1)</f>
        <v/>
      </c>
      <c r="K892" s="37"/>
      <c r="L892" s="33"/>
      <c r="M892" s="37"/>
      <c r="N892" s="32"/>
      <c r="O892" s="32"/>
      <c r="P892" s="38" t="str">
        <f aca="true">IF($E892="","",IF($L892="Cancelada","Cancelada",IF(OR($K892&lt;&gt;"",$L892="Concluída"),IF(OR($J892="",$K892="",$K892&lt;=$J892),"Concluída","Concluída com atraso"),IF($J892="","Na carteira",IF($J892&lt;TODAY(),"VENCIDA",IF($L892="Em execução","Em execução",IF($J892=TODAY(),"Hoje","Programada")))))))</f>
        <v/>
      </c>
      <c r="Q892" s="31" t="str">
        <f aca="false">IF($E892="","",IF(ISNUMBER(SEARCH("(externo)",$G892)),"Terceirizada","Interna"))</f>
        <v/>
      </c>
      <c r="R892" s="36" t="str">
        <f aca="false">IF($J892="","",IF($M892="",$J892,$M892))</f>
        <v/>
      </c>
      <c r="S892" s="31" t="str">
        <f aca="false">IF($E892="","",IF(OR($K892="",$J892=""),0,IF($K892&lt;=$J892,1,0)))</f>
        <v/>
      </c>
      <c r="T892" s="31" t="str">
        <f aca="false">IF($E892="","",IF(OR($K892="",$R892=""),0,IF($K892&lt;=$R892,1,0)))</f>
        <v/>
      </c>
      <c r="U892" s="38" t="str">
        <f aca="false">IF(OR($K892="",$J892=""),"",MAX(0,$K892-$J892))</f>
        <v/>
      </c>
      <c r="V892" s="31" t="str">
        <f aca="false">IF($E892="","",IF(AND($M892&lt;&gt;"",$J892&lt;&gt;"",$M892&lt;&gt;$J892),1,0))</f>
        <v/>
      </c>
      <c r="W892" s="39" t="str">
        <f aca="false">IF($E892="","",IF($L892="Cancelada",0,IF(OR($K892&lt;&gt;"",$L892="Concluída"),1,0)))</f>
        <v/>
      </c>
    </row>
    <row r="893" customFormat="false" ht="15" hidden="false" customHeight="true" outlineLevel="0" collapsed="false">
      <c r="A893" s="31" t="str">
        <f aca="false">IF($E893="","",COUNTA($E$5:$E893))</f>
        <v/>
      </c>
      <c r="B893" s="32"/>
      <c r="C893" s="32"/>
      <c r="D893" s="32"/>
      <c r="E893" s="32"/>
      <c r="F893" s="33"/>
      <c r="G893" s="32"/>
      <c r="H893" s="34"/>
      <c r="I893" s="35"/>
      <c r="J893" s="36" t="str">
        <f aca="false">IF(OR($H893="",$I893=""),"",$H893+MATCH($I893,Listas!$F$5:$F$11,0)-1)</f>
        <v/>
      </c>
      <c r="K893" s="37"/>
      <c r="L893" s="33"/>
      <c r="M893" s="37"/>
      <c r="N893" s="32"/>
      <c r="O893" s="32"/>
      <c r="P893" s="38" t="str">
        <f aca="true">IF($E893="","",IF($L893="Cancelada","Cancelada",IF(OR($K893&lt;&gt;"",$L893="Concluída"),IF(OR($J893="",$K893="",$K893&lt;=$J893),"Concluída","Concluída com atraso"),IF($J893="","Na carteira",IF($J893&lt;TODAY(),"VENCIDA",IF($L893="Em execução","Em execução",IF($J893=TODAY(),"Hoje","Programada")))))))</f>
        <v/>
      </c>
      <c r="Q893" s="31" t="str">
        <f aca="false">IF($E893="","",IF(ISNUMBER(SEARCH("(externo)",$G893)),"Terceirizada","Interna"))</f>
        <v/>
      </c>
      <c r="R893" s="36" t="str">
        <f aca="false">IF($J893="","",IF($M893="",$J893,$M893))</f>
        <v/>
      </c>
      <c r="S893" s="31" t="str">
        <f aca="false">IF($E893="","",IF(OR($K893="",$J893=""),0,IF($K893&lt;=$J893,1,0)))</f>
        <v/>
      </c>
      <c r="T893" s="31" t="str">
        <f aca="false">IF($E893="","",IF(OR($K893="",$R893=""),0,IF($K893&lt;=$R893,1,0)))</f>
        <v/>
      </c>
      <c r="U893" s="38" t="str">
        <f aca="false">IF(OR($K893="",$J893=""),"",MAX(0,$K893-$J893))</f>
        <v/>
      </c>
      <c r="V893" s="31" t="str">
        <f aca="false">IF($E893="","",IF(AND($M893&lt;&gt;"",$J893&lt;&gt;"",$M893&lt;&gt;$J893),1,0))</f>
        <v/>
      </c>
      <c r="W893" s="39" t="str">
        <f aca="false">IF($E893="","",IF($L893="Cancelada",0,IF(OR($K893&lt;&gt;"",$L893="Concluída"),1,0)))</f>
        <v/>
      </c>
    </row>
    <row r="894" customFormat="false" ht="15" hidden="false" customHeight="true" outlineLevel="0" collapsed="false">
      <c r="A894" s="31" t="str">
        <f aca="false">IF($E894="","",COUNTA($E$5:$E894))</f>
        <v/>
      </c>
      <c r="B894" s="32"/>
      <c r="C894" s="32"/>
      <c r="D894" s="32"/>
      <c r="E894" s="32"/>
      <c r="F894" s="33"/>
      <c r="G894" s="32"/>
      <c r="H894" s="34"/>
      <c r="I894" s="35"/>
      <c r="J894" s="36" t="str">
        <f aca="false">IF(OR($H894="",$I894=""),"",$H894+MATCH($I894,Listas!$F$5:$F$11,0)-1)</f>
        <v/>
      </c>
      <c r="K894" s="37"/>
      <c r="L894" s="33"/>
      <c r="M894" s="37"/>
      <c r="N894" s="32"/>
      <c r="O894" s="32"/>
      <c r="P894" s="38" t="str">
        <f aca="true">IF($E894="","",IF($L894="Cancelada","Cancelada",IF(OR($K894&lt;&gt;"",$L894="Concluída"),IF(OR($J894="",$K894="",$K894&lt;=$J894),"Concluída","Concluída com atraso"),IF($J894="","Na carteira",IF($J894&lt;TODAY(),"VENCIDA",IF($L894="Em execução","Em execução",IF($J894=TODAY(),"Hoje","Programada")))))))</f>
        <v/>
      </c>
      <c r="Q894" s="31" t="str">
        <f aca="false">IF($E894="","",IF(ISNUMBER(SEARCH("(externo)",$G894)),"Terceirizada","Interna"))</f>
        <v/>
      </c>
      <c r="R894" s="36" t="str">
        <f aca="false">IF($J894="","",IF($M894="",$J894,$M894))</f>
        <v/>
      </c>
      <c r="S894" s="31" t="str">
        <f aca="false">IF($E894="","",IF(OR($K894="",$J894=""),0,IF($K894&lt;=$J894,1,0)))</f>
        <v/>
      </c>
      <c r="T894" s="31" t="str">
        <f aca="false">IF($E894="","",IF(OR($K894="",$R894=""),0,IF($K894&lt;=$R894,1,0)))</f>
        <v/>
      </c>
      <c r="U894" s="38" t="str">
        <f aca="false">IF(OR($K894="",$J894=""),"",MAX(0,$K894-$J894))</f>
        <v/>
      </c>
      <c r="V894" s="31" t="str">
        <f aca="false">IF($E894="","",IF(AND($M894&lt;&gt;"",$J894&lt;&gt;"",$M894&lt;&gt;$J894),1,0))</f>
        <v/>
      </c>
      <c r="W894" s="39" t="str">
        <f aca="false">IF($E894="","",IF($L894="Cancelada",0,IF(OR($K894&lt;&gt;"",$L894="Concluída"),1,0)))</f>
        <v/>
      </c>
    </row>
    <row r="895" customFormat="false" ht="15" hidden="false" customHeight="true" outlineLevel="0" collapsed="false">
      <c r="A895" s="31" t="str">
        <f aca="false">IF($E895="","",COUNTA($E$5:$E895))</f>
        <v/>
      </c>
      <c r="B895" s="32"/>
      <c r="C895" s="32"/>
      <c r="D895" s="32"/>
      <c r="E895" s="32"/>
      <c r="F895" s="33"/>
      <c r="G895" s="32"/>
      <c r="H895" s="34"/>
      <c r="I895" s="35"/>
      <c r="J895" s="36" t="str">
        <f aca="false">IF(OR($H895="",$I895=""),"",$H895+MATCH($I895,Listas!$F$5:$F$11,0)-1)</f>
        <v/>
      </c>
      <c r="K895" s="37"/>
      <c r="L895" s="33"/>
      <c r="M895" s="37"/>
      <c r="N895" s="32"/>
      <c r="O895" s="32"/>
      <c r="P895" s="38" t="str">
        <f aca="true">IF($E895="","",IF($L895="Cancelada","Cancelada",IF(OR($K895&lt;&gt;"",$L895="Concluída"),IF(OR($J895="",$K895="",$K895&lt;=$J895),"Concluída","Concluída com atraso"),IF($J895="","Na carteira",IF($J895&lt;TODAY(),"VENCIDA",IF($L895="Em execução","Em execução",IF($J895=TODAY(),"Hoje","Programada")))))))</f>
        <v/>
      </c>
      <c r="Q895" s="31" t="str">
        <f aca="false">IF($E895="","",IF(ISNUMBER(SEARCH("(externo)",$G895)),"Terceirizada","Interna"))</f>
        <v/>
      </c>
      <c r="R895" s="36" t="str">
        <f aca="false">IF($J895="","",IF($M895="",$J895,$M895))</f>
        <v/>
      </c>
      <c r="S895" s="31" t="str">
        <f aca="false">IF($E895="","",IF(OR($K895="",$J895=""),0,IF($K895&lt;=$J895,1,0)))</f>
        <v/>
      </c>
      <c r="T895" s="31" t="str">
        <f aca="false">IF($E895="","",IF(OR($K895="",$R895=""),0,IF($K895&lt;=$R895,1,0)))</f>
        <v/>
      </c>
      <c r="U895" s="38" t="str">
        <f aca="false">IF(OR($K895="",$J895=""),"",MAX(0,$K895-$J895))</f>
        <v/>
      </c>
      <c r="V895" s="31" t="str">
        <f aca="false">IF($E895="","",IF(AND($M895&lt;&gt;"",$J895&lt;&gt;"",$M895&lt;&gt;$J895),1,0))</f>
        <v/>
      </c>
      <c r="W895" s="39" t="str">
        <f aca="false">IF($E895="","",IF($L895="Cancelada",0,IF(OR($K895&lt;&gt;"",$L895="Concluída"),1,0)))</f>
        <v/>
      </c>
    </row>
    <row r="896" customFormat="false" ht="15" hidden="false" customHeight="true" outlineLevel="0" collapsed="false">
      <c r="A896" s="31" t="str">
        <f aca="false">IF($E896="","",COUNTA($E$5:$E896))</f>
        <v/>
      </c>
      <c r="B896" s="32"/>
      <c r="C896" s="32"/>
      <c r="D896" s="32"/>
      <c r="E896" s="32"/>
      <c r="F896" s="33"/>
      <c r="G896" s="32"/>
      <c r="H896" s="34"/>
      <c r="I896" s="35"/>
      <c r="J896" s="36" t="str">
        <f aca="false">IF(OR($H896="",$I896=""),"",$H896+MATCH($I896,Listas!$F$5:$F$11,0)-1)</f>
        <v/>
      </c>
      <c r="K896" s="37"/>
      <c r="L896" s="33"/>
      <c r="M896" s="37"/>
      <c r="N896" s="32"/>
      <c r="O896" s="32"/>
      <c r="P896" s="38" t="str">
        <f aca="true">IF($E896="","",IF($L896="Cancelada","Cancelada",IF(OR($K896&lt;&gt;"",$L896="Concluída"),IF(OR($J896="",$K896="",$K896&lt;=$J896),"Concluída","Concluída com atraso"),IF($J896="","Na carteira",IF($J896&lt;TODAY(),"VENCIDA",IF($L896="Em execução","Em execução",IF($J896=TODAY(),"Hoje","Programada")))))))</f>
        <v/>
      </c>
      <c r="Q896" s="31" t="str">
        <f aca="false">IF($E896="","",IF(ISNUMBER(SEARCH("(externo)",$G896)),"Terceirizada","Interna"))</f>
        <v/>
      </c>
      <c r="R896" s="36" t="str">
        <f aca="false">IF($J896="","",IF($M896="",$J896,$M896))</f>
        <v/>
      </c>
      <c r="S896" s="31" t="str">
        <f aca="false">IF($E896="","",IF(OR($K896="",$J896=""),0,IF($K896&lt;=$J896,1,0)))</f>
        <v/>
      </c>
      <c r="T896" s="31" t="str">
        <f aca="false">IF($E896="","",IF(OR($K896="",$R896=""),0,IF($K896&lt;=$R896,1,0)))</f>
        <v/>
      </c>
      <c r="U896" s="38" t="str">
        <f aca="false">IF(OR($K896="",$J896=""),"",MAX(0,$K896-$J896))</f>
        <v/>
      </c>
      <c r="V896" s="31" t="str">
        <f aca="false">IF($E896="","",IF(AND($M896&lt;&gt;"",$J896&lt;&gt;"",$M896&lt;&gt;$J896),1,0))</f>
        <v/>
      </c>
      <c r="W896" s="39" t="str">
        <f aca="false">IF($E896="","",IF($L896="Cancelada",0,IF(OR($K896&lt;&gt;"",$L896="Concluída"),1,0)))</f>
        <v/>
      </c>
    </row>
    <row r="897" customFormat="false" ht="15" hidden="false" customHeight="true" outlineLevel="0" collapsed="false">
      <c r="A897" s="31" t="str">
        <f aca="false">IF($E897="","",COUNTA($E$5:$E897))</f>
        <v/>
      </c>
      <c r="B897" s="32"/>
      <c r="C897" s="32"/>
      <c r="D897" s="32"/>
      <c r="E897" s="32"/>
      <c r="F897" s="33"/>
      <c r="G897" s="32"/>
      <c r="H897" s="34"/>
      <c r="I897" s="35"/>
      <c r="J897" s="36" t="str">
        <f aca="false">IF(OR($H897="",$I897=""),"",$H897+MATCH($I897,Listas!$F$5:$F$11,0)-1)</f>
        <v/>
      </c>
      <c r="K897" s="37"/>
      <c r="L897" s="33"/>
      <c r="M897" s="37"/>
      <c r="N897" s="32"/>
      <c r="O897" s="32"/>
      <c r="P897" s="38" t="str">
        <f aca="true">IF($E897="","",IF($L897="Cancelada","Cancelada",IF(OR($K897&lt;&gt;"",$L897="Concluída"),IF(OR($J897="",$K897="",$K897&lt;=$J897),"Concluída","Concluída com atraso"),IF($J897="","Na carteira",IF($J897&lt;TODAY(),"VENCIDA",IF($L897="Em execução","Em execução",IF($J897=TODAY(),"Hoje","Programada")))))))</f>
        <v/>
      </c>
      <c r="Q897" s="31" t="str">
        <f aca="false">IF($E897="","",IF(ISNUMBER(SEARCH("(externo)",$G897)),"Terceirizada","Interna"))</f>
        <v/>
      </c>
      <c r="R897" s="36" t="str">
        <f aca="false">IF($J897="","",IF($M897="",$J897,$M897))</f>
        <v/>
      </c>
      <c r="S897" s="31" t="str">
        <f aca="false">IF($E897="","",IF(OR($K897="",$J897=""),0,IF($K897&lt;=$J897,1,0)))</f>
        <v/>
      </c>
      <c r="T897" s="31" t="str">
        <f aca="false">IF($E897="","",IF(OR($K897="",$R897=""),0,IF($K897&lt;=$R897,1,0)))</f>
        <v/>
      </c>
      <c r="U897" s="38" t="str">
        <f aca="false">IF(OR($K897="",$J897=""),"",MAX(0,$K897-$J897))</f>
        <v/>
      </c>
      <c r="V897" s="31" t="str">
        <f aca="false">IF($E897="","",IF(AND($M897&lt;&gt;"",$J897&lt;&gt;"",$M897&lt;&gt;$J897),1,0))</f>
        <v/>
      </c>
      <c r="W897" s="39" t="str">
        <f aca="false">IF($E897="","",IF($L897="Cancelada",0,IF(OR($K897&lt;&gt;"",$L897="Concluída"),1,0)))</f>
        <v/>
      </c>
    </row>
    <row r="898" customFormat="false" ht="15" hidden="false" customHeight="true" outlineLevel="0" collapsed="false">
      <c r="A898" s="31" t="str">
        <f aca="false">IF($E898="","",COUNTA($E$5:$E898))</f>
        <v/>
      </c>
      <c r="B898" s="32"/>
      <c r="C898" s="32"/>
      <c r="D898" s="32"/>
      <c r="E898" s="32"/>
      <c r="F898" s="33"/>
      <c r="G898" s="32"/>
      <c r="H898" s="34"/>
      <c r="I898" s="35"/>
      <c r="J898" s="36" t="str">
        <f aca="false">IF(OR($H898="",$I898=""),"",$H898+MATCH($I898,Listas!$F$5:$F$11,0)-1)</f>
        <v/>
      </c>
      <c r="K898" s="37"/>
      <c r="L898" s="33"/>
      <c r="M898" s="37"/>
      <c r="N898" s="32"/>
      <c r="O898" s="32"/>
      <c r="P898" s="38" t="str">
        <f aca="true">IF($E898="","",IF($L898="Cancelada","Cancelada",IF(OR($K898&lt;&gt;"",$L898="Concluída"),IF(OR($J898="",$K898="",$K898&lt;=$J898),"Concluída","Concluída com atraso"),IF($J898="","Na carteira",IF($J898&lt;TODAY(),"VENCIDA",IF($L898="Em execução","Em execução",IF($J898=TODAY(),"Hoje","Programada")))))))</f>
        <v/>
      </c>
      <c r="Q898" s="31" t="str">
        <f aca="false">IF($E898="","",IF(ISNUMBER(SEARCH("(externo)",$G898)),"Terceirizada","Interna"))</f>
        <v/>
      </c>
      <c r="R898" s="36" t="str">
        <f aca="false">IF($J898="","",IF($M898="",$J898,$M898))</f>
        <v/>
      </c>
      <c r="S898" s="31" t="str">
        <f aca="false">IF($E898="","",IF(OR($K898="",$J898=""),0,IF($K898&lt;=$J898,1,0)))</f>
        <v/>
      </c>
      <c r="T898" s="31" t="str">
        <f aca="false">IF($E898="","",IF(OR($K898="",$R898=""),0,IF($K898&lt;=$R898,1,0)))</f>
        <v/>
      </c>
      <c r="U898" s="38" t="str">
        <f aca="false">IF(OR($K898="",$J898=""),"",MAX(0,$K898-$J898))</f>
        <v/>
      </c>
      <c r="V898" s="31" t="str">
        <f aca="false">IF($E898="","",IF(AND($M898&lt;&gt;"",$J898&lt;&gt;"",$M898&lt;&gt;$J898),1,0))</f>
        <v/>
      </c>
      <c r="W898" s="39" t="str">
        <f aca="false">IF($E898="","",IF($L898="Cancelada",0,IF(OR($K898&lt;&gt;"",$L898="Concluída"),1,0)))</f>
        <v/>
      </c>
    </row>
    <row r="899" customFormat="false" ht="15" hidden="false" customHeight="true" outlineLevel="0" collapsed="false">
      <c r="A899" s="31" t="str">
        <f aca="false">IF($E899="","",COUNTA($E$5:$E899))</f>
        <v/>
      </c>
      <c r="B899" s="32"/>
      <c r="C899" s="32"/>
      <c r="D899" s="32"/>
      <c r="E899" s="32"/>
      <c r="F899" s="33"/>
      <c r="G899" s="32"/>
      <c r="H899" s="34"/>
      <c r="I899" s="35"/>
      <c r="J899" s="36" t="str">
        <f aca="false">IF(OR($H899="",$I899=""),"",$H899+MATCH($I899,Listas!$F$5:$F$11,0)-1)</f>
        <v/>
      </c>
      <c r="K899" s="37"/>
      <c r="L899" s="33"/>
      <c r="M899" s="37"/>
      <c r="N899" s="32"/>
      <c r="O899" s="32"/>
      <c r="P899" s="38" t="str">
        <f aca="true">IF($E899="","",IF($L899="Cancelada","Cancelada",IF(OR($K899&lt;&gt;"",$L899="Concluída"),IF(OR($J899="",$K899="",$K899&lt;=$J899),"Concluída","Concluída com atraso"),IF($J899="","Na carteira",IF($J899&lt;TODAY(),"VENCIDA",IF($L899="Em execução","Em execução",IF($J899=TODAY(),"Hoje","Programada")))))))</f>
        <v/>
      </c>
      <c r="Q899" s="31" t="str">
        <f aca="false">IF($E899="","",IF(ISNUMBER(SEARCH("(externo)",$G899)),"Terceirizada","Interna"))</f>
        <v/>
      </c>
      <c r="R899" s="36" t="str">
        <f aca="false">IF($J899="","",IF($M899="",$J899,$M899))</f>
        <v/>
      </c>
      <c r="S899" s="31" t="str">
        <f aca="false">IF($E899="","",IF(OR($K899="",$J899=""),0,IF($K899&lt;=$J899,1,0)))</f>
        <v/>
      </c>
      <c r="T899" s="31" t="str">
        <f aca="false">IF($E899="","",IF(OR($K899="",$R899=""),0,IF($K899&lt;=$R899,1,0)))</f>
        <v/>
      </c>
      <c r="U899" s="38" t="str">
        <f aca="false">IF(OR($K899="",$J899=""),"",MAX(0,$K899-$J899))</f>
        <v/>
      </c>
      <c r="V899" s="31" t="str">
        <f aca="false">IF($E899="","",IF(AND($M899&lt;&gt;"",$J899&lt;&gt;"",$M899&lt;&gt;$J899),1,0))</f>
        <v/>
      </c>
      <c r="W899" s="39" t="str">
        <f aca="false">IF($E899="","",IF($L899="Cancelada",0,IF(OR($K899&lt;&gt;"",$L899="Concluída"),1,0)))</f>
        <v/>
      </c>
    </row>
    <row r="900" customFormat="false" ht="15" hidden="false" customHeight="true" outlineLevel="0" collapsed="false">
      <c r="A900" s="31" t="str">
        <f aca="false">IF($E900="","",COUNTA($E$5:$E900))</f>
        <v/>
      </c>
      <c r="B900" s="32"/>
      <c r="C900" s="32"/>
      <c r="D900" s="32"/>
      <c r="E900" s="32"/>
      <c r="F900" s="33"/>
      <c r="G900" s="32"/>
      <c r="H900" s="34"/>
      <c r="I900" s="35"/>
      <c r="J900" s="36" t="str">
        <f aca="false">IF(OR($H900="",$I900=""),"",$H900+MATCH($I900,Listas!$F$5:$F$11,0)-1)</f>
        <v/>
      </c>
      <c r="K900" s="37"/>
      <c r="L900" s="33"/>
      <c r="M900" s="37"/>
      <c r="N900" s="32"/>
      <c r="O900" s="32"/>
      <c r="P900" s="38" t="str">
        <f aca="true">IF($E900="","",IF($L900="Cancelada","Cancelada",IF(OR($K900&lt;&gt;"",$L900="Concluída"),IF(OR($J900="",$K900="",$K900&lt;=$J900),"Concluída","Concluída com atraso"),IF($J900="","Na carteira",IF($J900&lt;TODAY(),"VENCIDA",IF($L900="Em execução","Em execução",IF($J900=TODAY(),"Hoje","Programada")))))))</f>
        <v/>
      </c>
      <c r="Q900" s="31" t="str">
        <f aca="false">IF($E900="","",IF(ISNUMBER(SEARCH("(externo)",$G900)),"Terceirizada","Interna"))</f>
        <v/>
      </c>
      <c r="R900" s="36" t="str">
        <f aca="false">IF($J900="","",IF($M900="",$J900,$M900))</f>
        <v/>
      </c>
      <c r="S900" s="31" t="str">
        <f aca="false">IF($E900="","",IF(OR($K900="",$J900=""),0,IF($K900&lt;=$J900,1,0)))</f>
        <v/>
      </c>
      <c r="T900" s="31" t="str">
        <f aca="false">IF($E900="","",IF(OR($K900="",$R900=""),0,IF($K900&lt;=$R900,1,0)))</f>
        <v/>
      </c>
      <c r="U900" s="38" t="str">
        <f aca="false">IF(OR($K900="",$J900=""),"",MAX(0,$K900-$J900))</f>
        <v/>
      </c>
      <c r="V900" s="31" t="str">
        <f aca="false">IF($E900="","",IF(AND($M900&lt;&gt;"",$J900&lt;&gt;"",$M900&lt;&gt;$J900),1,0))</f>
        <v/>
      </c>
      <c r="W900" s="39" t="str">
        <f aca="false">IF($E900="","",IF($L900="Cancelada",0,IF(OR($K900&lt;&gt;"",$L900="Concluída"),1,0)))</f>
        <v/>
      </c>
    </row>
    <row r="901" customFormat="false" ht="15" hidden="false" customHeight="true" outlineLevel="0" collapsed="false">
      <c r="A901" s="31" t="str">
        <f aca="false">IF($E901="","",COUNTA($E$5:$E901))</f>
        <v/>
      </c>
      <c r="B901" s="32"/>
      <c r="C901" s="32"/>
      <c r="D901" s="32"/>
      <c r="E901" s="32"/>
      <c r="F901" s="33"/>
      <c r="G901" s="32"/>
      <c r="H901" s="34"/>
      <c r="I901" s="35"/>
      <c r="J901" s="36" t="str">
        <f aca="false">IF(OR($H901="",$I901=""),"",$H901+MATCH($I901,Listas!$F$5:$F$11,0)-1)</f>
        <v/>
      </c>
      <c r="K901" s="37"/>
      <c r="L901" s="33"/>
      <c r="M901" s="37"/>
      <c r="N901" s="32"/>
      <c r="O901" s="32"/>
      <c r="P901" s="38" t="str">
        <f aca="true">IF($E901="","",IF($L901="Cancelada","Cancelada",IF(OR($K901&lt;&gt;"",$L901="Concluída"),IF(OR($J901="",$K901="",$K901&lt;=$J901),"Concluída","Concluída com atraso"),IF($J901="","Na carteira",IF($J901&lt;TODAY(),"VENCIDA",IF($L901="Em execução","Em execução",IF($J901=TODAY(),"Hoje","Programada")))))))</f>
        <v/>
      </c>
      <c r="Q901" s="31" t="str">
        <f aca="false">IF($E901="","",IF(ISNUMBER(SEARCH("(externo)",$G901)),"Terceirizada","Interna"))</f>
        <v/>
      </c>
      <c r="R901" s="36" t="str">
        <f aca="false">IF($J901="","",IF($M901="",$J901,$M901))</f>
        <v/>
      </c>
      <c r="S901" s="31" t="str">
        <f aca="false">IF($E901="","",IF(OR($K901="",$J901=""),0,IF($K901&lt;=$J901,1,0)))</f>
        <v/>
      </c>
      <c r="T901" s="31" t="str">
        <f aca="false">IF($E901="","",IF(OR($K901="",$R901=""),0,IF($K901&lt;=$R901,1,0)))</f>
        <v/>
      </c>
      <c r="U901" s="38" t="str">
        <f aca="false">IF(OR($K901="",$J901=""),"",MAX(0,$K901-$J901))</f>
        <v/>
      </c>
      <c r="V901" s="31" t="str">
        <f aca="false">IF($E901="","",IF(AND($M901&lt;&gt;"",$J901&lt;&gt;"",$M901&lt;&gt;$J901),1,0))</f>
        <v/>
      </c>
      <c r="W901" s="39" t="str">
        <f aca="false">IF($E901="","",IF($L901="Cancelada",0,IF(OR($K901&lt;&gt;"",$L901="Concluída"),1,0)))</f>
        <v/>
      </c>
    </row>
    <row r="902" customFormat="false" ht="15" hidden="false" customHeight="true" outlineLevel="0" collapsed="false">
      <c r="A902" s="31" t="str">
        <f aca="false">IF($E902="","",COUNTA($E$5:$E902))</f>
        <v/>
      </c>
      <c r="B902" s="32"/>
      <c r="C902" s="32"/>
      <c r="D902" s="32"/>
      <c r="E902" s="32"/>
      <c r="F902" s="33"/>
      <c r="G902" s="32"/>
      <c r="H902" s="34"/>
      <c r="I902" s="35"/>
      <c r="J902" s="36" t="str">
        <f aca="false">IF(OR($H902="",$I902=""),"",$H902+MATCH($I902,Listas!$F$5:$F$11,0)-1)</f>
        <v/>
      </c>
      <c r="K902" s="37"/>
      <c r="L902" s="33"/>
      <c r="M902" s="37"/>
      <c r="N902" s="32"/>
      <c r="O902" s="32"/>
      <c r="P902" s="38" t="str">
        <f aca="true">IF($E902="","",IF($L902="Cancelada","Cancelada",IF(OR($K902&lt;&gt;"",$L902="Concluída"),IF(OR($J902="",$K902="",$K902&lt;=$J902),"Concluída","Concluída com atraso"),IF($J902="","Na carteira",IF($J902&lt;TODAY(),"VENCIDA",IF($L902="Em execução","Em execução",IF($J902=TODAY(),"Hoje","Programada")))))))</f>
        <v/>
      </c>
      <c r="Q902" s="31" t="str">
        <f aca="false">IF($E902="","",IF(ISNUMBER(SEARCH("(externo)",$G902)),"Terceirizada","Interna"))</f>
        <v/>
      </c>
      <c r="R902" s="36" t="str">
        <f aca="false">IF($J902="","",IF($M902="",$J902,$M902))</f>
        <v/>
      </c>
      <c r="S902" s="31" t="str">
        <f aca="false">IF($E902="","",IF(OR($K902="",$J902=""),0,IF($K902&lt;=$J902,1,0)))</f>
        <v/>
      </c>
      <c r="T902" s="31" t="str">
        <f aca="false">IF($E902="","",IF(OR($K902="",$R902=""),0,IF($K902&lt;=$R902,1,0)))</f>
        <v/>
      </c>
      <c r="U902" s="38" t="str">
        <f aca="false">IF(OR($K902="",$J902=""),"",MAX(0,$K902-$J902))</f>
        <v/>
      </c>
      <c r="V902" s="31" t="str">
        <f aca="false">IF($E902="","",IF(AND($M902&lt;&gt;"",$J902&lt;&gt;"",$M902&lt;&gt;$J902),1,0))</f>
        <v/>
      </c>
      <c r="W902" s="39" t="str">
        <f aca="false">IF($E902="","",IF($L902="Cancelada",0,IF(OR($K902&lt;&gt;"",$L902="Concluída"),1,0)))</f>
        <v/>
      </c>
    </row>
    <row r="903" customFormat="false" ht="15" hidden="false" customHeight="true" outlineLevel="0" collapsed="false">
      <c r="A903" s="31" t="str">
        <f aca="false">IF($E903="","",COUNTA($E$5:$E903))</f>
        <v/>
      </c>
      <c r="B903" s="32"/>
      <c r="C903" s="32"/>
      <c r="D903" s="32"/>
      <c r="E903" s="32"/>
      <c r="F903" s="33"/>
      <c r="G903" s="32"/>
      <c r="H903" s="34"/>
      <c r="I903" s="35"/>
      <c r="J903" s="36" t="str">
        <f aca="false">IF(OR($H903="",$I903=""),"",$H903+MATCH($I903,Listas!$F$5:$F$11,0)-1)</f>
        <v/>
      </c>
      <c r="K903" s="37"/>
      <c r="L903" s="33"/>
      <c r="M903" s="37"/>
      <c r="N903" s="32"/>
      <c r="O903" s="32"/>
      <c r="P903" s="38" t="str">
        <f aca="true">IF($E903="","",IF($L903="Cancelada","Cancelada",IF(OR($K903&lt;&gt;"",$L903="Concluída"),IF(OR($J903="",$K903="",$K903&lt;=$J903),"Concluída","Concluída com atraso"),IF($J903="","Na carteira",IF($J903&lt;TODAY(),"VENCIDA",IF($L903="Em execução","Em execução",IF($J903=TODAY(),"Hoje","Programada")))))))</f>
        <v/>
      </c>
      <c r="Q903" s="31" t="str">
        <f aca="false">IF($E903="","",IF(ISNUMBER(SEARCH("(externo)",$G903)),"Terceirizada","Interna"))</f>
        <v/>
      </c>
      <c r="R903" s="36" t="str">
        <f aca="false">IF($J903="","",IF($M903="",$J903,$M903))</f>
        <v/>
      </c>
      <c r="S903" s="31" t="str">
        <f aca="false">IF($E903="","",IF(OR($K903="",$J903=""),0,IF($K903&lt;=$J903,1,0)))</f>
        <v/>
      </c>
      <c r="T903" s="31" t="str">
        <f aca="false">IF($E903="","",IF(OR($K903="",$R903=""),0,IF($K903&lt;=$R903,1,0)))</f>
        <v/>
      </c>
      <c r="U903" s="38" t="str">
        <f aca="false">IF(OR($K903="",$J903=""),"",MAX(0,$K903-$J903))</f>
        <v/>
      </c>
      <c r="V903" s="31" t="str">
        <f aca="false">IF($E903="","",IF(AND($M903&lt;&gt;"",$J903&lt;&gt;"",$M903&lt;&gt;$J903),1,0))</f>
        <v/>
      </c>
      <c r="W903" s="39" t="str">
        <f aca="false">IF($E903="","",IF($L903="Cancelada",0,IF(OR($K903&lt;&gt;"",$L903="Concluída"),1,0)))</f>
        <v/>
      </c>
    </row>
    <row r="904" customFormat="false" ht="15" hidden="false" customHeight="true" outlineLevel="0" collapsed="false">
      <c r="A904" s="31" t="str">
        <f aca="false">IF($E904="","",COUNTA($E$5:$E904))</f>
        <v/>
      </c>
      <c r="B904" s="32"/>
      <c r="C904" s="32"/>
      <c r="D904" s="32"/>
      <c r="E904" s="32"/>
      <c r="F904" s="33"/>
      <c r="G904" s="32"/>
      <c r="H904" s="34"/>
      <c r="I904" s="35"/>
      <c r="J904" s="36" t="str">
        <f aca="false">IF(OR($H904="",$I904=""),"",$H904+MATCH($I904,Listas!$F$5:$F$11,0)-1)</f>
        <v/>
      </c>
      <c r="K904" s="37"/>
      <c r="L904" s="33"/>
      <c r="M904" s="37"/>
      <c r="N904" s="32"/>
      <c r="O904" s="32"/>
      <c r="P904" s="38" t="str">
        <f aca="true">IF($E904="","",IF($L904="Cancelada","Cancelada",IF(OR($K904&lt;&gt;"",$L904="Concluída"),IF(OR($J904="",$K904="",$K904&lt;=$J904),"Concluída","Concluída com atraso"),IF($J904="","Na carteira",IF($J904&lt;TODAY(),"VENCIDA",IF($L904="Em execução","Em execução",IF($J904=TODAY(),"Hoje","Programada")))))))</f>
        <v/>
      </c>
      <c r="Q904" s="31" t="str">
        <f aca="false">IF($E904="","",IF(ISNUMBER(SEARCH("(externo)",$G904)),"Terceirizada","Interna"))</f>
        <v/>
      </c>
      <c r="R904" s="36" t="str">
        <f aca="false">IF($J904="","",IF($M904="",$J904,$M904))</f>
        <v/>
      </c>
      <c r="S904" s="31" t="str">
        <f aca="false">IF($E904="","",IF(OR($K904="",$J904=""),0,IF($K904&lt;=$J904,1,0)))</f>
        <v/>
      </c>
      <c r="T904" s="31" t="str">
        <f aca="false">IF($E904="","",IF(OR($K904="",$R904=""),0,IF($K904&lt;=$R904,1,0)))</f>
        <v/>
      </c>
      <c r="U904" s="38" t="str">
        <f aca="false">IF(OR($K904="",$J904=""),"",MAX(0,$K904-$J904))</f>
        <v/>
      </c>
      <c r="V904" s="31" t="str">
        <f aca="false">IF($E904="","",IF(AND($M904&lt;&gt;"",$J904&lt;&gt;"",$M904&lt;&gt;$J904),1,0))</f>
        <v/>
      </c>
      <c r="W904" s="39" t="str">
        <f aca="false">IF($E904="","",IF($L904="Cancelada",0,IF(OR($K904&lt;&gt;"",$L904="Concluída"),1,0)))</f>
        <v/>
      </c>
    </row>
    <row r="905" customFormat="false" ht="15" hidden="false" customHeight="true" outlineLevel="0" collapsed="false">
      <c r="A905" s="31" t="str">
        <f aca="false">IF($E905="","",COUNTA($E$5:$E905))</f>
        <v/>
      </c>
      <c r="B905" s="32"/>
      <c r="C905" s="32"/>
      <c r="D905" s="32"/>
      <c r="E905" s="32"/>
      <c r="F905" s="33"/>
      <c r="G905" s="32"/>
      <c r="H905" s="34"/>
      <c r="I905" s="35"/>
      <c r="J905" s="36" t="str">
        <f aca="false">IF(OR($H905="",$I905=""),"",$H905+MATCH($I905,Listas!$F$5:$F$11,0)-1)</f>
        <v/>
      </c>
      <c r="K905" s="37"/>
      <c r="L905" s="33"/>
      <c r="M905" s="37"/>
      <c r="N905" s="32"/>
      <c r="O905" s="32"/>
      <c r="P905" s="38" t="str">
        <f aca="true">IF($E905="","",IF($L905="Cancelada","Cancelada",IF(OR($K905&lt;&gt;"",$L905="Concluída"),IF(OR($J905="",$K905="",$K905&lt;=$J905),"Concluída","Concluída com atraso"),IF($J905="","Na carteira",IF($J905&lt;TODAY(),"VENCIDA",IF($L905="Em execução","Em execução",IF($J905=TODAY(),"Hoje","Programada")))))))</f>
        <v/>
      </c>
      <c r="Q905" s="31" t="str">
        <f aca="false">IF($E905="","",IF(ISNUMBER(SEARCH("(externo)",$G905)),"Terceirizada","Interna"))</f>
        <v/>
      </c>
      <c r="R905" s="36" t="str">
        <f aca="false">IF($J905="","",IF($M905="",$J905,$M905))</f>
        <v/>
      </c>
      <c r="S905" s="31" t="str">
        <f aca="false">IF($E905="","",IF(OR($K905="",$J905=""),0,IF($K905&lt;=$J905,1,0)))</f>
        <v/>
      </c>
      <c r="T905" s="31" t="str">
        <f aca="false">IF($E905="","",IF(OR($K905="",$R905=""),0,IF($K905&lt;=$R905,1,0)))</f>
        <v/>
      </c>
      <c r="U905" s="38" t="str">
        <f aca="false">IF(OR($K905="",$J905=""),"",MAX(0,$K905-$J905))</f>
        <v/>
      </c>
      <c r="V905" s="31" t="str">
        <f aca="false">IF($E905="","",IF(AND($M905&lt;&gt;"",$J905&lt;&gt;"",$M905&lt;&gt;$J905),1,0))</f>
        <v/>
      </c>
      <c r="W905" s="39" t="str">
        <f aca="false">IF($E905="","",IF($L905="Cancelada",0,IF(OR($K905&lt;&gt;"",$L905="Concluída"),1,0)))</f>
        <v/>
      </c>
    </row>
    <row r="906" customFormat="false" ht="15" hidden="false" customHeight="true" outlineLevel="0" collapsed="false">
      <c r="A906" s="31" t="str">
        <f aca="false">IF($E906="","",COUNTA($E$5:$E906))</f>
        <v/>
      </c>
      <c r="B906" s="32"/>
      <c r="C906" s="32"/>
      <c r="D906" s="32"/>
      <c r="E906" s="32"/>
      <c r="F906" s="33"/>
      <c r="G906" s="32"/>
      <c r="H906" s="34"/>
      <c r="I906" s="35"/>
      <c r="J906" s="36" t="str">
        <f aca="false">IF(OR($H906="",$I906=""),"",$H906+MATCH($I906,Listas!$F$5:$F$11,0)-1)</f>
        <v/>
      </c>
      <c r="K906" s="37"/>
      <c r="L906" s="33"/>
      <c r="M906" s="37"/>
      <c r="N906" s="32"/>
      <c r="O906" s="32"/>
      <c r="P906" s="38" t="str">
        <f aca="true">IF($E906="","",IF($L906="Cancelada","Cancelada",IF(OR($K906&lt;&gt;"",$L906="Concluída"),IF(OR($J906="",$K906="",$K906&lt;=$J906),"Concluída","Concluída com atraso"),IF($J906="","Na carteira",IF($J906&lt;TODAY(),"VENCIDA",IF($L906="Em execução","Em execução",IF($J906=TODAY(),"Hoje","Programada")))))))</f>
        <v/>
      </c>
      <c r="Q906" s="31" t="str">
        <f aca="false">IF($E906="","",IF(ISNUMBER(SEARCH("(externo)",$G906)),"Terceirizada","Interna"))</f>
        <v/>
      </c>
      <c r="R906" s="36" t="str">
        <f aca="false">IF($J906="","",IF($M906="",$J906,$M906))</f>
        <v/>
      </c>
      <c r="S906" s="31" t="str">
        <f aca="false">IF($E906="","",IF(OR($K906="",$J906=""),0,IF($K906&lt;=$J906,1,0)))</f>
        <v/>
      </c>
      <c r="T906" s="31" t="str">
        <f aca="false">IF($E906="","",IF(OR($K906="",$R906=""),0,IF($K906&lt;=$R906,1,0)))</f>
        <v/>
      </c>
      <c r="U906" s="38" t="str">
        <f aca="false">IF(OR($K906="",$J906=""),"",MAX(0,$K906-$J906))</f>
        <v/>
      </c>
      <c r="V906" s="31" t="str">
        <f aca="false">IF($E906="","",IF(AND($M906&lt;&gt;"",$J906&lt;&gt;"",$M906&lt;&gt;$J906),1,0))</f>
        <v/>
      </c>
      <c r="W906" s="39" t="str">
        <f aca="false">IF($E906="","",IF($L906="Cancelada",0,IF(OR($K906&lt;&gt;"",$L906="Concluída"),1,0)))</f>
        <v/>
      </c>
    </row>
    <row r="907" customFormat="false" ht="15" hidden="false" customHeight="true" outlineLevel="0" collapsed="false">
      <c r="A907" s="31" t="str">
        <f aca="false">IF($E907="","",COUNTA($E$5:$E907))</f>
        <v/>
      </c>
      <c r="B907" s="32"/>
      <c r="C907" s="32"/>
      <c r="D907" s="32"/>
      <c r="E907" s="32"/>
      <c r="F907" s="33"/>
      <c r="G907" s="32"/>
      <c r="H907" s="34"/>
      <c r="I907" s="35"/>
      <c r="J907" s="36" t="str">
        <f aca="false">IF(OR($H907="",$I907=""),"",$H907+MATCH($I907,Listas!$F$5:$F$11,0)-1)</f>
        <v/>
      </c>
      <c r="K907" s="37"/>
      <c r="L907" s="33"/>
      <c r="M907" s="37"/>
      <c r="N907" s="32"/>
      <c r="O907" s="32"/>
      <c r="P907" s="38" t="str">
        <f aca="true">IF($E907="","",IF($L907="Cancelada","Cancelada",IF(OR($K907&lt;&gt;"",$L907="Concluída"),IF(OR($J907="",$K907="",$K907&lt;=$J907),"Concluída","Concluída com atraso"),IF($J907="","Na carteira",IF($J907&lt;TODAY(),"VENCIDA",IF($L907="Em execução","Em execução",IF($J907=TODAY(),"Hoje","Programada")))))))</f>
        <v/>
      </c>
      <c r="Q907" s="31" t="str">
        <f aca="false">IF($E907="","",IF(ISNUMBER(SEARCH("(externo)",$G907)),"Terceirizada","Interna"))</f>
        <v/>
      </c>
      <c r="R907" s="36" t="str">
        <f aca="false">IF($J907="","",IF($M907="",$J907,$M907))</f>
        <v/>
      </c>
      <c r="S907" s="31" t="str">
        <f aca="false">IF($E907="","",IF(OR($K907="",$J907=""),0,IF($K907&lt;=$J907,1,0)))</f>
        <v/>
      </c>
      <c r="T907" s="31" t="str">
        <f aca="false">IF($E907="","",IF(OR($K907="",$R907=""),0,IF($K907&lt;=$R907,1,0)))</f>
        <v/>
      </c>
      <c r="U907" s="38" t="str">
        <f aca="false">IF(OR($K907="",$J907=""),"",MAX(0,$K907-$J907))</f>
        <v/>
      </c>
      <c r="V907" s="31" t="str">
        <f aca="false">IF($E907="","",IF(AND($M907&lt;&gt;"",$J907&lt;&gt;"",$M907&lt;&gt;$J907),1,0))</f>
        <v/>
      </c>
      <c r="W907" s="39" t="str">
        <f aca="false">IF($E907="","",IF($L907="Cancelada",0,IF(OR($K907&lt;&gt;"",$L907="Concluída"),1,0)))</f>
        <v/>
      </c>
    </row>
    <row r="908" customFormat="false" ht="15" hidden="false" customHeight="true" outlineLevel="0" collapsed="false">
      <c r="A908" s="31" t="str">
        <f aca="false">IF($E908="","",COUNTA($E$5:$E908))</f>
        <v/>
      </c>
      <c r="B908" s="32"/>
      <c r="C908" s="32"/>
      <c r="D908" s="32"/>
      <c r="E908" s="32"/>
      <c r="F908" s="33"/>
      <c r="G908" s="32"/>
      <c r="H908" s="34"/>
      <c r="I908" s="35"/>
      <c r="J908" s="36" t="str">
        <f aca="false">IF(OR($H908="",$I908=""),"",$H908+MATCH($I908,Listas!$F$5:$F$11,0)-1)</f>
        <v/>
      </c>
      <c r="K908" s="37"/>
      <c r="L908" s="33"/>
      <c r="M908" s="37"/>
      <c r="N908" s="32"/>
      <c r="O908" s="32"/>
      <c r="P908" s="38" t="str">
        <f aca="true">IF($E908="","",IF($L908="Cancelada","Cancelada",IF(OR($K908&lt;&gt;"",$L908="Concluída"),IF(OR($J908="",$K908="",$K908&lt;=$J908),"Concluída","Concluída com atraso"),IF($J908="","Na carteira",IF($J908&lt;TODAY(),"VENCIDA",IF($L908="Em execução","Em execução",IF($J908=TODAY(),"Hoje","Programada")))))))</f>
        <v/>
      </c>
      <c r="Q908" s="31" t="str">
        <f aca="false">IF($E908="","",IF(ISNUMBER(SEARCH("(externo)",$G908)),"Terceirizada","Interna"))</f>
        <v/>
      </c>
      <c r="R908" s="36" t="str">
        <f aca="false">IF($J908="","",IF($M908="",$J908,$M908))</f>
        <v/>
      </c>
      <c r="S908" s="31" t="str">
        <f aca="false">IF($E908="","",IF(OR($K908="",$J908=""),0,IF($K908&lt;=$J908,1,0)))</f>
        <v/>
      </c>
      <c r="T908" s="31" t="str">
        <f aca="false">IF($E908="","",IF(OR($K908="",$R908=""),0,IF($K908&lt;=$R908,1,0)))</f>
        <v/>
      </c>
      <c r="U908" s="38" t="str">
        <f aca="false">IF(OR($K908="",$J908=""),"",MAX(0,$K908-$J908))</f>
        <v/>
      </c>
      <c r="V908" s="31" t="str">
        <f aca="false">IF($E908="","",IF(AND($M908&lt;&gt;"",$J908&lt;&gt;"",$M908&lt;&gt;$J908),1,0))</f>
        <v/>
      </c>
      <c r="W908" s="39" t="str">
        <f aca="false">IF($E908="","",IF($L908="Cancelada",0,IF(OR($K908&lt;&gt;"",$L908="Concluída"),1,0)))</f>
        <v/>
      </c>
    </row>
    <row r="909" customFormat="false" ht="15" hidden="false" customHeight="true" outlineLevel="0" collapsed="false">
      <c r="A909" s="31" t="str">
        <f aca="false">IF($E909="","",COUNTA($E$5:$E909))</f>
        <v/>
      </c>
      <c r="B909" s="32"/>
      <c r="C909" s="32"/>
      <c r="D909" s="32"/>
      <c r="E909" s="32"/>
      <c r="F909" s="33"/>
      <c r="G909" s="32"/>
      <c r="H909" s="34"/>
      <c r="I909" s="35"/>
      <c r="J909" s="36" t="str">
        <f aca="false">IF(OR($H909="",$I909=""),"",$H909+MATCH($I909,Listas!$F$5:$F$11,0)-1)</f>
        <v/>
      </c>
      <c r="K909" s="37"/>
      <c r="L909" s="33"/>
      <c r="M909" s="37"/>
      <c r="N909" s="32"/>
      <c r="O909" s="32"/>
      <c r="P909" s="38" t="str">
        <f aca="true">IF($E909="","",IF($L909="Cancelada","Cancelada",IF(OR($K909&lt;&gt;"",$L909="Concluída"),IF(OR($J909="",$K909="",$K909&lt;=$J909),"Concluída","Concluída com atraso"),IF($J909="","Na carteira",IF($J909&lt;TODAY(),"VENCIDA",IF($L909="Em execução","Em execução",IF($J909=TODAY(),"Hoje","Programada")))))))</f>
        <v/>
      </c>
      <c r="Q909" s="31" t="str">
        <f aca="false">IF($E909="","",IF(ISNUMBER(SEARCH("(externo)",$G909)),"Terceirizada","Interna"))</f>
        <v/>
      </c>
      <c r="R909" s="36" t="str">
        <f aca="false">IF($J909="","",IF($M909="",$J909,$M909))</f>
        <v/>
      </c>
      <c r="S909" s="31" t="str">
        <f aca="false">IF($E909="","",IF(OR($K909="",$J909=""),0,IF($K909&lt;=$J909,1,0)))</f>
        <v/>
      </c>
      <c r="T909" s="31" t="str">
        <f aca="false">IF($E909="","",IF(OR($K909="",$R909=""),0,IF($K909&lt;=$R909,1,0)))</f>
        <v/>
      </c>
      <c r="U909" s="38" t="str">
        <f aca="false">IF(OR($K909="",$J909=""),"",MAX(0,$K909-$J909))</f>
        <v/>
      </c>
      <c r="V909" s="31" t="str">
        <f aca="false">IF($E909="","",IF(AND($M909&lt;&gt;"",$J909&lt;&gt;"",$M909&lt;&gt;$J909),1,0))</f>
        <v/>
      </c>
      <c r="W909" s="39" t="str">
        <f aca="false">IF($E909="","",IF($L909="Cancelada",0,IF(OR($K909&lt;&gt;"",$L909="Concluída"),1,0)))</f>
        <v/>
      </c>
    </row>
    <row r="910" customFormat="false" ht="15" hidden="false" customHeight="true" outlineLevel="0" collapsed="false">
      <c r="A910" s="31" t="str">
        <f aca="false">IF($E910="","",COUNTA($E$5:$E910))</f>
        <v/>
      </c>
      <c r="B910" s="32"/>
      <c r="C910" s="32"/>
      <c r="D910" s="32"/>
      <c r="E910" s="32"/>
      <c r="F910" s="33"/>
      <c r="G910" s="32"/>
      <c r="H910" s="34"/>
      <c r="I910" s="35"/>
      <c r="J910" s="36" t="str">
        <f aca="false">IF(OR($H910="",$I910=""),"",$H910+MATCH($I910,Listas!$F$5:$F$11,0)-1)</f>
        <v/>
      </c>
      <c r="K910" s="37"/>
      <c r="L910" s="33"/>
      <c r="M910" s="37"/>
      <c r="N910" s="32"/>
      <c r="O910" s="32"/>
      <c r="P910" s="38" t="str">
        <f aca="true">IF($E910="","",IF($L910="Cancelada","Cancelada",IF(OR($K910&lt;&gt;"",$L910="Concluída"),IF(OR($J910="",$K910="",$K910&lt;=$J910),"Concluída","Concluída com atraso"),IF($J910="","Na carteira",IF($J910&lt;TODAY(),"VENCIDA",IF($L910="Em execução","Em execução",IF($J910=TODAY(),"Hoje","Programada")))))))</f>
        <v/>
      </c>
      <c r="Q910" s="31" t="str">
        <f aca="false">IF($E910="","",IF(ISNUMBER(SEARCH("(externo)",$G910)),"Terceirizada","Interna"))</f>
        <v/>
      </c>
      <c r="R910" s="36" t="str">
        <f aca="false">IF($J910="","",IF($M910="",$J910,$M910))</f>
        <v/>
      </c>
      <c r="S910" s="31" t="str">
        <f aca="false">IF($E910="","",IF(OR($K910="",$J910=""),0,IF($K910&lt;=$J910,1,0)))</f>
        <v/>
      </c>
      <c r="T910" s="31" t="str">
        <f aca="false">IF($E910="","",IF(OR($K910="",$R910=""),0,IF($K910&lt;=$R910,1,0)))</f>
        <v/>
      </c>
      <c r="U910" s="38" t="str">
        <f aca="false">IF(OR($K910="",$J910=""),"",MAX(0,$K910-$J910))</f>
        <v/>
      </c>
      <c r="V910" s="31" t="str">
        <f aca="false">IF($E910="","",IF(AND($M910&lt;&gt;"",$J910&lt;&gt;"",$M910&lt;&gt;$J910),1,0))</f>
        <v/>
      </c>
      <c r="W910" s="39" t="str">
        <f aca="false">IF($E910="","",IF($L910="Cancelada",0,IF(OR($K910&lt;&gt;"",$L910="Concluída"),1,0)))</f>
        <v/>
      </c>
    </row>
    <row r="911" customFormat="false" ht="15" hidden="false" customHeight="true" outlineLevel="0" collapsed="false">
      <c r="A911" s="31" t="str">
        <f aca="false">IF($E911="","",COUNTA($E$5:$E911))</f>
        <v/>
      </c>
      <c r="B911" s="32"/>
      <c r="C911" s="32"/>
      <c r="D911" s="32"/>
      <c r="E911" s="32"/>
      <c r="F911" s="33"/>
      <c r="G911" s="32"/>
      <c r="H911" s="34"/>
      <c r="I911" s="35"/>
      <c r="J911" s="36" t="str">
        <f aca="false">IF(OR($H911="",$I911=""),"",$H911+MATCH($I911,Listas!$F$5:$F$11,0)-1)</f>
        <v/>
      </c>
      <c r="K911" s="37"/>
      <c r="L911" s="33"/>
      <c r="M911" s="37"/>
      <c r="N911" s="32"/>
      <c r="O911" s="32"/>
      <c r="P911" s="38" t="str">
        <f aca="true">IF($E911="","",IF($L911="Cancelada","Cancelada",IF(OR($K911&lt;&gt;"",$L911="Concluída"),IF(OR($J911="",$K911="",$K911&lt;=$J911),"Concluída","Concluída com atraso"),IF($J911="","Na carteira",IF($J911&lt;TODAY(),"VENCIDA",IF($L911="Em execução","Em execução",IF($J911=TODAY(),"Hoje","Programada")))))))</f>
        <v/>
      </c>
      <c r="Q911" s="31" t="str">
        <f aca="false">IF($E911="","",IF(ISNUMBER(SEARCH("(externo)",$G911)),"Terceirizada","Interna"))</f>
        <v/>
      </c>
      <c r="R911" s="36" t="str">
        <f aca="false">IF($J911="","",IF($M911="",$J911,$M911))</f>
        <v/>
      </c>
      <c r="S911" s="31" t="str">
        <f aca="false">IF($E911="","",IF(OR($K911="",$J911=""),0,IF($K911&lt;=$J911,1,0)))</f>
        <v/>
      </c>
      <c r="T911" s="31" t="str">
        <f aca="false">IF($E911="","",IF(OR($K911="",$R911=""),0,IF($K911&lt;=$R911,1,0)))</f>
        <v/>
      </c>
      <c r="U911" s="38" t="str">
        <f aca="false">IF(OR($K911="",$J911=""),"",MAX(0,$K911-$J911))</f>
        <v/>
      </c>
      <c r="V911" s="31" t="str">
        <f aca="false">IF($E911="","",IF(AND($M911&lt;&gt;"",$J911&lt;&gt;"",$M911&lt;&gt;$J911),1,0))</f>
        <v/>
      </c>
      <c r="W911" s="39" t="str">
        <f aca="false">IF($E911="","",IF($L911="Cancelada",0,IF(OR($K911&lt;&gt;"",$L911="Concluída"),1,0)))</f>
        <v/>
      </c>
    </row>
    <row r="912" customFormat="false" ht="15" hidden="false" customHeight="true" outlineLevel="0" collapsed="false">
      <c r="A912" s="31" t="str">
        <f aca="false">IF($E912="","",COUNTA($E$5:$E912))</f>
        <v/>
      </c>
      <c r="B912" s="32"/>
      <c r="C912" s="32"/>
      <c r="D912" s="32"/>
      <c r="E912" s="32"/>
      <c r="F912" s="33"/>
      <c r="G912" s="32"/>
      <c r="H912" s="34"/>
      <c r="I912" s="35"/>
      <c r="J912" s="36" t="str">
        <f aca="false">IF(OR($H912="",$I912=""),"",$H912+MATCH($I912,Listas!$F$5:$F$11,0)-1)</f>
        <v/>
      </c>
      <c r="K912" s="37"/>
      <c r="L912" s="33"/>
      <c r="M912" s="37"/>
      <c r="N912" s="32"/>
      <c r="O912" s="32"/>
      <c r="P912" s="38" t="str">
        <f aca="true">IF($E912="","",IF($L912="Cancelada","Cancelada",IF(OR($K912&lt;&gt;"",$L912="Concluída"),IF(OR($J912="",$K912="",$K912&lt;=$J912),"Concluída","Concluída com atraso"),IF($J912="","Na carteira",IF($J912&lt;TODAY(),"VENCIDA",IF($L912="Em execução","Em execução",IF($J912=TODAY(),"Hoje","Programada")))))))</f>
        <v/>
      </c>
      <c r="Q912" s="31" t="str">
        <f aca="false">IF($E912="","",IF(ISNUMBER(SEARCH("(externo)",$G912)),"Terceirizada","Interna"))</f>
        <v/>
      </c>
      <c r="R912" s="36" t="str">
        <f aca="false">IF($J912="","",IF($M912="",$J912,$M912))</f>
        <v/>
      </c>
      <c r="S912" s="31" t="str">
        <f aca="false">IF($E912="","",IF(OR($K912="",$J912=""),0,IF($K912&lt;=$J912,1,0)))</f>
        <v/>
      </c>
      <c r="T912" s="31" t="str">
        <f aca="false">IF($E912="","",IF(OR($K912="",$R912=""),0,IF($K912&lt;=$R912,1,0)))</f>
        <v/>
      </c>
      <c r="U912" s="38" t="str">
        <f aca="false">IF(OR($K912="",$J912=""),"",MAX(0,$K912-$J912))</f>
        <v/>
      </c>
      <c r="V912" s="31" t="str">
        <f aca="false">IF($E912="","",IF(AND($M912&lt;&gt;"",$J912&lt;&gt;"",$M912&lt;&gt;$J912),1,0))</f>
        <v/>
      </c>
      <c r="W912" s="39" t="str">
        <f aca="false">IF($E912="","",IF($L912="Cancelada",0,IF(OR($K912&lt;&gt;"",$L912="Concluída"),1,0)))</f>
        <v/>
      </c>
    </row>
    <row r="913" customFormat="false" ht="15" hidden="false" customHeight="true" outlineLevel="0" collapsed="false">
      <c r="A913" s="31" t="str">
        <f aca="false">IF($E913="","",COUNTA($E$5:$E913))</f>
        <v/>
      </c>
      <c r="B913" s="32"/>
      <c r="C913" s="32"/>
      <c r="D913" s="32"/>
      <c r="E913" s="32"/>
      <c r="F913" s="33"/>
      <c r="G913" s="32"/>
      <c r="H913" s="34"/>
      <c r="I913" s="35"/>
      <c r="J913" s="36" t="str">
        <f aca="false">IF(OR($H913="",$I913=""),"",$H913+MATCH($I913,Listas!$F$5:$F$11,0)-1)</f>
        <v/>
      </c>
      <c r="K913" s="37"/>
      <c r="L913" s="33"/>
      <c r="M913" s="37"/>
      <c r="N913" s="32"/>
      <c r="O913" s="32"/>
      <c r="P913" s="38" t="str">
        <f aca="true">IF($E913="","",IF($L913="Cancelada","Cancelada",IF(OR($K913&lt;&gt;"",$L913="Concluída"),IF(OR($J913="",$K913="",$K913&lt;=$J913),"Concluída","Concluída com atraso"),IF($J913="","Na carteira",IF($J913&lt;TODAY(),"VENCIDA",IF($L913="Em execução","Em execução",IF($J913=TODAY(),"Hoje","Programada")))))))</f>
        <v/>
      </c>
      <c r="Q913" s="31" t="str">
        <f aca="false">IF($E913="","",IF(ISNUMBER(SEARCH("(externo)",$G913)),"Terceirizada","Interna"))</f>
        <v/>
      </c>
      <c r="R913" s="36" t="str">
        <f aca="false">IF($J913="","",IF($M913="",$J913,$M913))</f>
        <v/>
      </c>
      <c r="S913" s="31" t="str">
        <f aca="false">IF($E913="","",IF(OR($K913="",$J913=""),0,IF($K913&lt;=$J913,1,0)))</f>
        <v/>
      </c>
      <c r="T913" s="31" t="str">
        <f aca="false">IF($E913="","",IF(OR($K913="",$R913=""),0,IF($K913&lt;=$R913,1,0)))</f>
        <v/>
      </c>
      <c r="U913" s="38" t="str">
        <f aca="false">IF(OR($K913="",$J913=""),"",MAX(0,$K913-$J913))</f>
        <v/>
      </c>
      <c r="V913" s="31" t="str">
        <f aca="false">IF($E913="","",IF(AND($M913&lt;&gt;"",$J913&lt;&gt;"",$M913&lt;&gt;$J913),1,0))</f>
        <v/>
      </c>
      <c r="W913" s="39" t="str">
        <f aca="false">IF($E913="","",IF($L913="Cancelada",0,IF(OR($K913&lt;&gt;"",$L913="Concluída"),1,0)))</f>
        <v/>
      </c>
    </row>
    <row r="914" customFormat="false" ht="15" hidden="false" customHeight="true" outlineLevel="0" collapsed="false">
      <c r="A914" s="31" t="str">
        <f aca="false">IF($E914="","",COUNTA($E$5:$E914))</f>
        <v/>
      </c>
      <c r="B914" s="32"/>
      <c r="C914" s="32"/>
      <c r="D914" s="32"/>
      <c r="E914" s="32"/>
      <c r="F914" s="33"/>
      <c r="G914" s="32"/>
      <c r="H914" s="34"/>
      <c r="I914" s="35"/>
      <c r="J914" s="36" t="str">
        <f aca="false">IF(OR($H914="",$I914=""),"",$H914+MATCH($I914,Listas!$F$5:$F$11,0)-1)</f>
        <v/>
      </c>
      <c r="K914" s="37"/>
      <c r="L914" s="33"/>
      <c r="M914" s="37"/>
      <c r="N914" s="32"/>
      <c r="O914" s="32"/>
      <c r="P914" s="38" t="str">
        <f aca="true">IF($E914="","",IF($L914="Cancelada","Cancelada",IF(OR($K914&lt;&gt;"",$L914="Concluída"),IF(OR($J914="",$K914="",$K914&lt;=$J914),"Concluída","Concluída com atraso"),IF($J914="","Na carteira",IF($J914&lt;TODAY(),"VENCIDA",IF($L914="Em execução","Em execução",IF($J914=TODAY(),"Hoje","Programada")))))))</f>
        <v/>
      </c>
      <c r="Q914" s="31" t="str">
        <f aca="false">IF($E914="","",IF(ISNUMBER(SEARCH("(externo)",$G914)),"Terceirizada","Interna"))</f>
        <v/>
      </c>
      <c r="R914" s="36" t="str">
        <f aca="false">IF($J914="","",IF($M914="",$J914,$M914))</f>
        <v/>
      </c>
      <c r="S914" s="31" t="str">
        <f aca="false">IF($E914="","",IF(OR($K914="",$J914=""),0,IF($K914&lt;=$J914,1,0)))</f>
        <v/>
      </c>
      <c r="T914" s="31" t="str">
        <f aca="false">IF($E914="","",IF(OR($K914="",$R914=""),0,IF($K914&lt;=$R914,1,0)))</f>
        <v/>
      </c>
      <c r="U914" s="38" t="str">
        <f aca="false">IF(OR($K914="",$J914=""),"",MAX(0,$K914-$J914))</f>
        <v/>
      </c>
      <c r="V914" s="31" t="str">
        <f aca="false">IF($E914="","",IF(AND($M914&lt;&gt;"",$J914&lt;&gt;"",$M914&lt;&gt;$J914),1,0))</f>
        <v/>
      </c>
      <c r="W914" s="39" t="str">
        <f aca="false">IF($E914="","",IF($L914="Cancelada",0,IF(OR($K914&lt;&gt;"",$L914="Concluída"),1,0)))</f>
        <v/>
      </c>
    </row>
    <row r="915" customFormat="false" ht="15" hidden="false" customHeight="true" outlineLevel="0" collapsed="false">
      <c r="A915" s="31" t="str">
        <f aca="false">IF($E915="","",COUNTA($E$5:$E915))</f>
        <v/>
      </c>
      <c r="B915" s="32"/>
      <c r="C915" s="32"/>
      <c r="D915" s="32"/>
      <c r="E915" s="32"/>
      <c r="F915" s="33"/>
      <c r="G915" s="32"/>
      <c r="H915" s="34"/>
      <c r="I915" s="35"/>
      <c r="J915" s="36" t="str">
        <f aca="false">IF(OR($H915="",$I915=""),"",$H915+MATCH($I915,Listas!$F$5:$F$11,0)-1)</f>
        <v/>
      </c>
      <c r="K915" s="37"/>
      <c r="L915" s="33"/>
      <c r="M915" s="37"/>
      <c r="N915" s="32"/>
      <c r="O915" s="32"/>
      <c r="P915" s="38" t="str">
        <f aca="true">IF($E915="","",IF($L915="Cancelada","Cancelada",IF(OR($K915&lt;&gt;"",$L915="Concluída"),IF(OR($J915="",$K915="",$K915&lt;=$J915),"Concluída","Concluída com atraso"),IF($J915="","Na carteira",IF($J915&lt;TODAY(),"VENCIDA",IF($L915="Em execução","Em execução",IF($J915=TODAY(),"Hoje","Programada")))))))</f>
        <v/>
      </c>
      <c r="Q915" s="31" t="str">
        <f aca="false">IF($E915="","",IF(ISNUMBER(SEARCH("(externo)",$G915)),"Terceirizada","Interna"))</f>
        <v/>
      </c>
      <c r="R915" s="36" t="str">
        <f aca="false">IF($J915="","",IF($M915="",$J915,$M915))</f>
        <v/>
      </c>
      <c r="S915" s="31" t="str">
        <f aca="false">IF($E915="","",IF(OR($K915="",$J915=""),0,IF($K915&lt;=$J915,1,0)))</f>
        <v/>
      </c>
      <c r="T915" s="31" t="str">
        <f aca="false">IF($E915="","",IF(OR($K915="",$R915=""),0,IF($K915&lt;=$R915,1,0)))</f>
        <v/>
      </c>
      <c r="U915" s="38" t="str">
        <f aca="false">IF(OR($K915="",$J915=""),"",MAX(0,$K915-$J915))</f>
        <v/>
      </c>
      <c r="V915" s="31" t="str">
        <f aca="false">IF($E915="","",IF(AND($M915&lt;&gt;"",$J915&lt;&gt;"",$M915&lt;&gt;$J915),1,0))</f>
        <v/>
      </c>
      <c r="W915" s="39" t="str">
        <f aca="false">IF($E915="","",IF($L915="Cancelada",0,IF(OR($K915&lt;&gt;"",$L915="Concluída"),1,0)))</f>
        <v/>
      </c>
    </row>
    <row r="916" customFormat="false" ht="15" hidden="false" customHeight="true" outlineLevel="0" collapsed="false">
      <c r="A916" s="31" t="str">
        <f aca="false">IF($E916="","",COUNTA($E$5:$E916))</f>
        <v/>
      </c>
      <c r="B916" s="32"/>
      <c r="C916" s="32"/>
      <c r="D916" s="32"/>
      <c r="E916" s="32"/>
      <c r="F916" s="33"/>
      <c r="G916" s="32"/>
      <c r="H916" s="34"/>
      <c r="I916" s="35"/>
      <c r="J916" s="36" t="str">
        <f aca="false">IF(OR($H916="",$I916=""),"",$H916+MATCH($I916,Listas!$F$5:$F$11,0)-1)</f>
        <v/>
      </c>
      <c r="K916" s="37"/>
      <c r="L916" s="33"/>
      <c r="M916" s="37"/>
      <c r="N916" s="32"/>
      <c r="O916" s="32"/>
      <c r="P916" s="38" t="str">
        <f aca="true">IF($E916="","",IF($L916="Cancelada","Cancelada",IF(OR($K916&lt;&gt;"",$L916="Concluída"),IF(OR($J916="",$K916="",$K916&lt;=$J916),"Concluída","Concluída com atraso"),IF($J916="","Na carteira",IF($J916&lt;TODAY(),"VENCIDA",IF($L916="Em execução","Em execução",IF($J916=TODAY(),"Hoje","Programada")))))))</f>
        <v/>
      </c>
      <c r="Q916" s="31" t="str">
        <f aca="false">IF($E916="","",IF(ISNUMBER(SEARCH("(externo)",$G916)),"Terceirizada","Interna"))</f>
        <v/>
      </c>
      <c r="R916" s="36" t="str">
        <f aca="false">IF($J916="","",IF($M916="",$J916,$M916))</f>
        <v/>
      </c>
      <c r="S916" s="31" t="str">
        <f aca="false">IF($E916="","",IF(OR($K916="",$J916=""),0,IF($K916&lt;=$J916,1,0)))</f>
        <v/>
      </c>
      <c r="T916" s="31" t="str">
        <f aca="false">IF($E916="","",IF(OR($K916="",$R916=""),0,IF($K916&lt;=$R916,1,0)))</f>
        <v/>
      </c>
      <c r="U916" s="38" t="str">
        <f aca="false">IF(OR($K916="",$J916=""),"",MAX(0,$K916-$J916))</f>
        <v/>
      </c>
      <c r="V916" s="31" t="str">
        <f aca="false">IF($E916="","",IF(AND($M916&lt;&gt;"",$J916&lt;&gt;"",$M916&lt;&gt;$J916),1,0))</f>
        <v/>
      </c>
      <c r="W916" s="39" t="str">
        <f aca="false">IF($E916="","",IF($L916="Cancelada",0,IF(OR($K916&lt;&gt;"",$L916="Concluída"),1,0)))</f>
        <v/>
      </c>
    </row>
    <row r="917" customFormat="false" ht="15" hidden="false" customHeight="true" outlineLevel="0" collapsed="false">
      <c r="A917" s="31" t="str">
        <f aca="false">IF($E917="","",COUNTA($E$5:$E917))</f>
        <v/>
      </c>
      <c r="B917" s="32"/>
      <c r="C917" s="32"/>
      <c r="D917" s="32"/>
      <c r="E917" s="32"/>
      <c r="F917" s="33"/>
      <c r="G917" s="32"/>
      <c r="H917" s="34"/>
      <c r="I917" s="35"/>
      <c r="J917" s="36" t="str">
        <f aca="false">IF(OR($H917="",$I917=""),"",$H917+MATCH($I917,Listas!$F$5:$F$11,0)-1)</f>
        <v/>
      </c>
      <c r="K917" s="37"/>
      <c r="L917" s="33"/>
      <c r="M917" s="37"/>
      <c r="N917" s="32"/>
      <c r="O917" s="32"/>
      <c r="P917" s="38" t="str">
        <f aca="true">IF($E917="","",IF($L917="Cancelada","Cancelada",IF(OR($K917&lt;&gt;"",$L917="Concluída"),IF(OR($J917="",$K917="",$K917&lt;=$J917),"Concluída","Concluída com atraso"),IF($J917="","Na carteira",IF($J917&lt;TODAY(),"VENCIDA",IF($L917="Em execução","Em execução",IF($J917=TODAY(),"Hoje","Programada")))))))</f>
        <v/>
      </c>
      <c r="Q917" s="31" t="str">
        <f aca="false">IF($E917="","",IF(ISNUMBER(SEARCH("(externo)",$G917)),"Terceirizada","Interna"))</f>
        <v/>
      </c>
      <c r="R917" s="36" t="str">
        <f aca="false">IF($J917="","",IF($M917="",$J917,$M917))</f>
        <v/>
      </c>
      <c r="S917" s="31" t="str">
        <f aca="false">IF($E917="","",IF(OR($K917="",$J917=""),0,IF($K917&lt;=$J917,1,0)))</f>
        <v/>
      </c>
      <c r="T917" s="31" t="str">
        <f aca="false">IF($E917="","",IF(OR($K917="",$R917=""),0,IF($K917&lt;=$R917,1,0)))</f>
        <v/>
      </c>
      <c r="U917" s="38" t="str">
        <f aca="false">IF(OR($K917="",$J917=""),"",MAX(0,$K917-$J917))</f>
        <v/>
      </c>
      <c r="V917" s="31" t="str">
        <f aca="false">IF($E917="","",IF(AND($M917&lt;&gt;"",$J917&lt;&gt;"",$M917&lt;&gt;$J917),1,0))</f>
        <v/>
      </c>
      <c r="W917" s="39" t="str">
        <f aca="false">IF($E917="","",IF($L917="Cancelada",0,IF(OR($K917&lt;&gt;"",$L917="Concluída"),1,0)))</f>
        <v/>
      </c>
    </row>
    <row r="918" customFormat="false" ht="15" hidden="false" customHeight="true" outlineLevel="0" collapsed="false">
      <c r="A918" s="31" t="str">
        <f aca="false">IF($E918="","",COUNTA($E$5:$E918))</f>
        <v/>
      </c>
      <c r="B918" s="32"/>
      <c r="C918" s="32"/>
      <c r="D918" s="32"/>
      <c r="E918" s="32"/>
      <c r="F918" s="33"/>
      <c r="G918" s="32"/>
      <c r="H918" s="34"/>
      <c r="I918" s="35"/>
      <c r="J918" s="36" t="str">
        <f aca="false">IF(OR($H918="",$I918=""),"",$H918+MATCH($I918,Listas!$F$5:$F$11,0)-1)</f>
        <v/>
      </c>
      <c r="K918" s="37"/>
      <c r="L918" s="33"/>
      <c r="M918" s="37"/>
      <c r="N918" s="32"/>
      <c r="O918" s="32"/>
      <c r="P918" s="38" t="str">
        <f aca="true">IF($E918="","",IF($L918="Cancelada","Cancelada",IF(OR($K918&lt;&gt;"",$L918="Concluída"),IF(OR($J918="",$K918="",$K918&lt;=$J918),"Concluída","Concluída com atraso"),IF($J918="","Na carteira",IF($J918&lt;TODAY(),"VENCIDA",IF($L918="Em execução","Em execução",IF($J918=TODAY(),"Hoje","Programada")))))))</f>
        <v/>
      </c>
      <c r="Q918" s="31" t="str">
        <f aca="false">IF($E918="","",IF(ISNUMBER(SEARCH("(externo)",$G918)),"Terceirizada","Interna"))</f>
        <v/>
      </c>
      <c r="R918" s="36" t="str">
        <f aca="false">IF($J918="","",IF($M918="",$J918,$M918))</f>
        <v/>
      </c>
      <c r="S918" s="31" t="str">
        <f aca="false">IF($E918="","",IF(OR($K918="",$J918=""),0,IF($K918&lt;=$J918,1,0)))</f>
        <v/>
      </c>
      <c r="T918" s="31" t="str">
        <f aca="false">IF($E918="","",IF(OR($K918="",$R918=""),0,IF($K918&lt;=$R918,1,0)))</f>
        <v/>
      </c>
      <c r="U918" s="38" t="str">
        <f aca="false">IF(OR($K918="",$J918=""),"",MAX(0,$K918-$J918))</f>
        <v/>
      </c>
      <c r="V918" s="31" t="str">
        <f aca="false">IF($E918="","",IF(AND($M918&lt;&gt;"",$J918&lt;&gt;"",$M918&lt;&gt;$J918),1,0))</f>
        <v/>
      </c>
      <c r="W918" s="39" t="str">
        <f aca="false">IF($E918="","",IF($L918="Cancelada",0,IF(OR($K918&lt;&gt;"",$L918="Concluída"),1,0)))</f>
        <v/>
      </c>
    </row>
    <row r="919" customFormat="false" ht="15" hidden="false" customHeight="true" outlineLevel="0" collapsed="false">
      <c r="A919" s="31" t="str">
        <f aca="false">IF($E919="","",COUNTA($E$5:$E919))</f>
        <v/>
      </c>
      <c r="B919" s="32"/>
      <c r="C919" s="32"/>
      <c r="D919" s="32"/>
      <c r="E919" s="32"/>
      <c r="F919" s="33"/>
      <c r="G919" s="32"/>
      <c r="H919" s="34"/>
      <c r="I919" s="35"/>
      <c r="J919" s="36" t="str">
        <f aca="false">IF(OR($H919="",$I919=""),"",$H919+MATCH($I919,Listas!$F$5:$F$11,0)-1)</f>
        <v/>
      </c>
      <c r="K919" s="37"/>
      <c r="L919" s="33"/>
      <c r="M919" s="37"/>
      <c r="N919" s="32"/>
      <c r="O919" s="32"/>
      <c r="P919" s="38" t="str">
        <f aca="true">IF($E919="","",IF($L919="Cancelada","Cancelada",IF(OR($K919&lt;&gt;"",$L919="Concluída"),IF(OR($J919="",$K919="",$K919&lt;=$J919),"Concluída","Concluída com atraso"),IF($J919="","Na carteira",IF($J919&lt;TODAY(),"VENCIDA",IF($L919="Em execução","Em execução",IF($J919=TODAY(),"Hoje","Programada")))))))</f>
        <v/>
      </c>
      <c r="Q919" s="31" t="str">
        <f aca="false">IF($E919="","",IF(ISNUMBER(SEARCH("(externo)",$G919)),"Terceirizada","Interna"))</f>
        <v/>
      </c>
      <c r="R919" s="36" t="str">
        <f aca="false">IF($J919="","",IF($M919="",$J919,$M919))</f>
        <v/>
      </c>
      <c r="S919" s="31" t="str">
        <f aca="false">IF($E919="","",IF(OR($K919="",$J919=""),0,IF($K919&lt;=$J919,1,0)))</f>
        <v/>
      </c>
      <c r="T919" s="31" t="str">
        <f aca="false">IF($E919="","",IF(OR($K919="",$R919=""),0,IF($K919&lt;=$R919,1,0)))</f>
        <v/>
      </c>
      <c r="U919" s="38" t="str">
        <f aca="false">IF(OR($K919="",$J919=""),"",MAX(0,$K919-$J919))</f>
        <v/>
      </c>
      <c r="V919" s="31" t="str">
        <f aca="false">IF($E919="","",IF(AND($M919&lt;&gt;"",$J919&lt;&gt;"",$M919&lt;&gt;$J919),1,0))</f>
        <v/>
      </c>
      <c r="W919" s="39" t="str">
        <f aca="false">IF($E919="","",IF($L919="Cancelada",0,IF(OR($K919&lt;&gt;"",$L919="Concluída"),1,0)))</f>
        <v/>
      </c>
    </row>
    <row r="920" customFormat="false" ht="15" hidden="false" customHeight="true" outlineLevel="0" collapsed="false">
      <c r="A920" s="31" t="str">
        <f aca="false">IF($E920="","",COUNTA($E$5:$E920))</f>
        <v/>
      </c>
      <c r="B920" s="32"/>
      <c r="C920" s="32"/>
      <c r="D920" s="32"/>
      <c r="E920" s="32"/>
      <c r="F920" s="33"/>
      <c r="G920" s="32"/>
      <c r="H920" s="34"/>
      <c r="I920" s="35"/>
      <c r="J920" s="36" t="str">
        <f aca="false">IF(OR($H920="",$I920=""),"",$H920+MATCH($I920,Listas!$F$5:$F$11,0)-1)</f>
        <v/>
      </c>
      <c r="K920" s="37"/>
      <c r="L920" s="33"/>
      <c r="M920" s="37"/>
      <c r="N920" s="32"/>
      <c r="O920" s="32"/>
      <c r="P920" s="38" t="str">
        <f aca="true">IF($E920="","",IF($L920="Cancelada","Cancelada",IF(OR($K920&lt;&gt;"",$L920="Concluída"),IF(OR($J920="",$K920="",$K920&lt;=$J920),"Concluída","Concluída com atraso"),IF($J920="","Na carteira",IF($J920&lt;TODAY(),"VENCIDA",IF($L920="Em execução","Em execução",IF($J920=TODAY(),"Hoje","Programada")))))))</f>
        <v/>
      </c>
      <c r="Q920" s="31" t="str">
        <f aca="false">IF($E920="","",IF(ISNUMBER(SEARCH("(externo)",$G920)),"Terceirizada","Interna"))</f>
        <v/>
      </c>
      <c r="R920" s="36" t="str">
        <f aca="false">IF($J920="","",IF($M920="",$J920,$M920))</f>
        <v/>
      </c>
      <c r="S920" s="31" t="str">
        <f aca="false">IF($E920="","",IF(OR($K920="",$J920=""),0,IF($K920&lt;=$J920,1,0)))</f>
        <v/>
      </c>
      <c r="T920" s="31" t="str">
        <f aca="false">IF($E920="","",IF(OR($K920="",$R920=""),0,IF($K920&lt;=$R920,1,0)))</f>
        <v/>
      </c>
      <c r="U920" s="38" t="str">
        <f aca="false">IF(OR($K920="",$J920=""),"",MAX(0,$K920-$J920))</f>
        <v/>
      </c>
      <c r="V920" s="31" t="str">
        <f aca="false">IF($E920="","",IF(AND($M920&lt;&gt;"",$J920&lt;&gt;"",$M920&lt;&gt;$J920),1,0))</f>
        <v/>
      </c>
      <c r="W920" s="39" t="str">
        <f aca="false">IF($E920="","",IF($L920="Cancelada",0,IF(OR($K920&lt;&gt;"",$L920="Concluída"),1,0)))</f>
        <v/>
      </c>
    </row>
    <row r="921" customFormat="false" ht="15" hidden="false" customHeight="true" outlineLevel="0" collapsed="false">
      <c r="A921" s="31" t="str">
        <f aca="false">IF($E921="","",COUNTA($E$5:$E921))</f>
        <v/>
      </c>
      <c r="B921" s="32"/>
      <c r="C921" s="32"/>
      <c r="D921" s="32"/>
      <c r="E921" s="32"/>
      <c r="F921" s="33"/>
      <c r="G921" s="32"/>
      <c r="H921" s="34"/>
      <c r="I921" s="35"/>
      <c r="J921" s="36" t="str">
        <f aca="false">IF(OR($H921="",$I921=""),"",$H921+MATCH($I921,Listas!$F$5:$F$11,0)-1)</f>
        <v/>
      </c>
      <c r="K921" s="37"/>
      <c r="L921" s="33"/>
      <c r="M921" s="37"/>
      <c r="N921" s="32"/>
      <c r="O921" s="32"/>
      <c r="P921" s="38" t="str">
        <f aca="true">IF($E921="","",IF($L921="Cancelada","Cancelada",IF(OR($K921&lt;&gt;"",$L921="Concluída"),IF(OR($J921="",$K921="",$K921&lt;=$J921),"Concluída","Concluída com atraso"),IF($J921="","Na carteira",IF($J921&lt;TODAY(),"VENCIDA",IF($L921="Em execução","Em execução",IF($J921=TODAY(),"Hoje","Programada")))))))</f>
        <v/>
      </c>
      <c r="Q921" s="31" t="str">
        <f aca="false">IF($E921="","",IF(ISNUMBER(SEARCH("(externo)",$G921)),"Terceirizada","Interna"))</f>
        <v/>
      </c>
      <c r="R921" s="36" t="str">
        <f aca="false">IF($J921="","",IF($M921="",$J921,$M921))</f>
        <v/>
      </c>
      <c r="S921" s="31" t="str">
        <f aca="false">IF($E921="","",IF(OR($K921="",$J921=""),0,IF($K921&lt;=$J921,1,0)))</f>
        <v/>
      </c>
      <c r="T921" s="31" t="str">
        <f aca="false">IF($E921="","",IF(OR($K921="",$R921=""),0,IF($K921&lt;=$R921,1,0)))</f>
        <v/>
      </c>
      <c r="U921" s="38" t="str">
        <f aca="false">IF(OR($K921="",$J921=""),"",MAX(0,$K921-$J921))</f>
        <v/>
      </c>
      <c r="V921" s="31" t="str">
        <f aca="false">IF($E921="","",IF(AND($M921&lt;&gt;"",$J921&lt;&gt;"",$M921&lt;&gt;$J921),1,0))</f>
        <v/>
      </c>
      <c r="W921" s="39" t="str">
        <f aca="false">IF($E921="","",IF($L921="Cancelada",0,IF(OR($K921&lt;&gt;"",$L921="Concluída"),1,0)))</f>
        <v/>
      </c>
    </row>
    <row r="922" customFormat="false" ht="15" hidden="false" customHeight="true" outlineLevel="0" collapsed="false">
      <c r="A922" s="31" t="str">
        <f aca="false">IF($E922="","",COUNTA($E$5:$E922))</f>
        <v/>
      </c>
      <c r="B922" s="32"/>
      <c r="C922" s="32"/>
      <c r="D922" s="32"/>
      <c r="E922" s="32"/>
      <c r="F922" s="33"/>
      <c r="G922" s="32"/>
      <c r="H922" s="34"/>
      <c r="I922" s="35"/>
      <c r="J922" s="36" t="str">
        <f aca="false">IF(OR($H922="",$I922=""),"",$H922+MATCH($I922,Listas!$F$5:$F$11,0)-1)</f>
        <v/>
      </c>
      <c r="K922" s="37"/>
      <c r="L922" s="33"/>
      <c r="M922" s="37"/>
      <c r="N922" s="32"/>
      <c r="O922" s="32"/>
      <c r="P922" s="38" t="str">
        <f aca="true">IF($E922="","",IF($L922="Cancelada","Cancelada",IF(OR($K922&lt;&gt;"",$L922="Concluída"),IF(OR($J922="",$K922="",$K922&lt;=$J922),"Concluída","Concluída com atraso"),IF($J922="","Na carteira",IF($J922&lt;TODAY(),"VENCIDA",IF($L922="Em execução","Em execução",IF($J922=TODAY(),"Hoje","Programada")))))))</f>
        <v/>
      </c>
      <c r="Q922" s="31" t="str">
        <f aca="false">IF($E922="","",IF(ISNUMBER(SEARCH("(externo)",$G922)),"Terceirizada","Interna"))</f>
        <v/>
      </c>
      <c r="R922" s="36" t="str">
        <f aca="false">IF($J922="","",IF($M922="",$J922,$M922))</f>
        <v/>
      </c>
      <c r="S922" s="31" t="str">
        <f aca="false">IF($E922="","",IF(OR($K922="",$J922=""),0,IF($K922&lt;=$J922,1,0)))</f>
        <v/>
      </c>
      <c r="T922" s="31" t="str">
        <f aca="false">IF($E922="","",IF(OR($K922="",$R922=""),0,IF($K922&lt;=$R922,1,0)))</f>
        <v/>
      </c>
      <c r="U922" s="38" t="str">
        <f aca="false">IF(OR($K922="",$J922=""),"",MAX(0,$K922-$J922))</f>
        <v/>
      </c>
      <c r="V922" s="31" t="str">
        <f aca="false">IF($E922="","",IF(AND($M922&lt;&gt;"",$J922&lt;&gt;"",$M922&lt;&gt;$J922),1,0))</f>
        <v/>
      </c>
      <c r="W922" s="39" t="str">
        <f aca="false">IF($E922="","",IF($L922="Cancelada",0,IF(OR($K922&lt;&gt;"",$L922="Concluída"),1,0)))</f>
        <v/>
      </c>
    </row>
    <row r="923" customFormat="false" ht="15" hidden="false" customHeight="true" outlineLevel="0" collapsed="false">
      <c r="A923" s="31" t="str">
        <f aca="false">IF($E923="","",COUNTA($E$5:$E923))</f>
        <v/>
      </c>
      <c r="B923" s="32"/>
      <c r="C923" s="32"/>
      <c r="D923" s="32"/>
      <c r="E923" s="32"/>
      <c r="F923" s="33"/>
      <c r="G923" s="32"/>
      <c r="H923" s="34"/>
      <c r="I923" s="35"/>
      <c r="J923" s="36" t="str">
        <f aca="false">IF(OR($H923="",$I923=""),"",$H923+MATCH($I923,Listas!$F$5:$F$11,0)-1)</f>
        <v/>
      </c>
      <c r="K923" s="37"/>
      <c r="L923" s="33"/>
      <c r="M923" s="37"/>
      <c r="N923" s="32"/>
      <c r="O923" s="32"/>
      <c r="P923" s="38" t="str">
        <f aca="true">IF($E923="","",IF($L923="Cancelada","Cancelada",IF(OR($K923&lt;&gt;"",$L923="Concluída"),IF(OR($J923="",$K923="",$K923&lt;=$J923),"Concluída","Concluída com atraso"),IF($J923="","Na carteira",IF($J923&lt;TODAY(),"VENCIDA",IF($L923="Em execução","Em execução",IF($J923=TODAY(),"Hoje","Programada")))))))</f>
        <v/>
      </c>
      <c r="Q923" s="31" t="str">
        <f aca="false">IF($E923="","",IF(ISNUMBER(SEARCH("(externo)",$G923)),"Terceirizada","Interna"))</f>
        <v/>
      </c>
      <c r="R923" s="36" t="str">
        <f aca="false">IF($J923="","",IF($M923="",$J923,$M923))</f>
        <v/>
      </c>
      <c r="S923" s="31" t="str">
        <f aca="false">IF($E923="","",IF(OR($K923="",$J923=""),0,IF($K923&lt;=$J923,1,0)))</f>
        <v/>
      </c>
      <c r="T923" s="31" t="str">
        <f aca="false">IF($E923="","",IF(OR($K923="",$R923=""),0,IF($K923&lt;=$R923,1,0)))</f>
        <v/>
      </c>
      <c r="U923" s="38" t="str">
        <f aca="false">IF(OR($K923="",$J923=""),"",MAX(0,$K923-$J923))</f>
        <v/>
      </c>
      <c r="V923" s="31" t="str">
        <f aca="false">IF($E923="","",IF(AND($M923&lt;&gt;"",$J923&lt;&gt;"",$M923&lt;&gt;$J923),1,0))</f>
        <v/>
      </c>
      <c r="W923" s="39" t="str">
        <f aca="false">IF($E923="","",IF($L923="Cancelada",0,IF(OR($K923&lt;&gt;"",$L923="Concluída"),1,0)))</f>
        <v/>
      </c>
    </row>
    <row r="924" customFormat="false" ht="15" hidden="false" customHeight="true" outlineLevel="0" collapsed="false">
      <c r="A924" s="31" t="str">
        <f aca="false">IF($E924="","",COUNTA($E$5:$E924))</f>
        <v/>
      </c>
      <c r="B924" s="32"/>
      <c r="C924" s="32"/>
      <c r="D924" s="32"/>
      <c r="E924" s="32"/>
      <c r="F924" s="33"/>
      <c r="G924" s="32"/>
      <c r="H924" s="34"/>
      <c r="I924" s="35"/>
      <c r="J924" s="36" t="str">
        <f aca="false">IF(OR($H924="",$I924=""),"",$H924+MATCH($I924,Listas!$F$5:$F$11,0)-1)</f>
        <v/>
      </c>
      <c r="K924" s="37"/>
      <c r="L924" s="33"/>
      <c r="M924" s="37"/>
      <c r="N924" s="32"/>
      <c r="O924" s="32"/>
      <c r="P924" s="38" t="str">
        <f aca="true">IF($E924="","",IF($L924="Cancelada","Cancelada",IF(OR($K924&lt;&gt;"",$L924="Concluída"),IF(OR($J924="",$K924="",$K924&lt;=$J924),"Concluída","Concluída com atraso"),IF($J924="","Na carteira",IF($J924&lt;TODAY(),"VENCIDA",IF($L924="Em execução","Em execução",IF($J924=TODAY(),"Hoje","Programada")))))))</f>
        <v/>
      </c>
      <c r="Q924" s="31" t="str">
        <f aca="false">IF($E924="","",IF(ISNUMBER(SEARCH("(externo)",$G924)),"Terceirizada","Interna"))</f>
        <v/>
      </c>
      <c r="R924" s="36" t="str">
        <f aca="false">IF($J924="","",IF($M924="",$J924,$M924))</f>
        <v/>
      </c>
      <c r="S924" s="31" t="str">
        <f aca="false">IF($E924="","",IF(OR($K924="",$J924=""),0,IF($K924&lt;=$J924,1,0)))</f>
        <v/>
      </c>
      <c r="T924" s="31" t="str">
        <f aca="false">IF($E924="","",IF(OR($K924="",$R924=""),0,IF($K924&lt;=$R924,1,0)))</f>
        <v/>
      </c>
      <c r="U924" s="38" t="str">
        <f aca="false">IF(OR($K924="",$J924=""),"",MAX(0,$K924-$J924))</f>
        <v/>
      </c>
      <c r="V924" s="31" t="str">
        <f aca="false">IF($E924="","",IF(AND($M924&lt;&gt;"",$J924&lt;&gt;"",$M924&lt;&gt;$J924),1,0))</f>
        <v/>
      </c>
      <c r="W924" s="39" t="str">
        <f aca="false">IF($E924="","",IF($L924="Cancelada",0,IF(OR($K924&lt;&gt;"",$L924="Concluída"),1,0)))</f>
        <v/>
      </c>
    </row>
    <row r="925" customFormat="false" ht="15" hidden="false" customHeight="true" outlineLevel="0" collapsed="false">
      <c r="A925" s="31" t="str">
        <f aca="false">IF($E925="","",COUNTA($E$5:$E925))</f>
        <v/>
      </c>
      <c r="B925" s="32"/>
      <c r="C925" s="32"/>
      <c r="D925" s="32"/>
      <c r="E925" s="32"/>
      <c r="F925" s="33"/>
      <c r="G925" s="32"/>
      <c r="H925" s="34"/>
      <c r="I925" s="35"/>
      <c r="J925" s="36" t="str">
        <f aca="false">IF(OR($H925="",$I925=""),"",$H925+MATCH($I925,Listas!$F$5:$F$11,0)-1)</f>
        <v/>
      </c>
      <c r="K925" s="37"/>
      <c r="L925" s="33"/>
      <c r="M925" s="37"/>
      <c r="N925" s="32"/>
      <c r="O925" s="32"/>
      <c r="P925" s="38" t="str">
        <f aca="true">IF($E925="","",IF($L925="Cancelada","Cancelada",IF(OR($K925&lt;&gt;"",$L925="Concluída"),IF(OR($J925="",$K925="",$K925&lt;=$J925),"Concluída","Concluída com atraso"),IF($J925="","Na carteira",IF($J925&lt;TODAY(),"VENCIDA",IF($L925="Em execução","Em execução",IF($J925=TODAY(),"Hoje","Programada")))))))</f>
        <v/>
      </c>
      <c r="Q925" s="31" t="str">
        <f aca="false">IF($E925="","",IF(ISNUMBER(SEARCH("(externo)",$G925)),"Terceirizada","Interna"))</f>
        <v/>
      </c>
      <c r="R925" s="36" t="str">
        <f aca="false">IF($J925="","",IF($M925="",$J925,$M925))</f>
        <v/>
      </c>
      <c r="S925" s="31" t="str">
        <f aca="false">IF($E925="","",IF(OR($K925="",$J925=""),0,IF($K925&lt;=$J925,1,0)))</f>
        <v/>
      </c>
      <c r="T925" s="31" t="str">
        <f aca="false">IF($E925="","",IF(OR($K925="",$R925=""),0,IF($K925&lt;=$R925,1,0)))</f>
        <v/>
      </c>
      <c r="U925" s="38" t="str">
        <f aca="false">IF(OR($K925="",$J925=""),"",MAX(0,$K925-$J925))</f>
        <v/>
      </c>
      <c r="V925" s="31" t="str">
        <f aca="false">IF($E925="","",IF(AND($M925&lt;&gt;"",$J925&lt;&gt;"",$M925&lt;&gt;$J925),1,0))</f>
        <v/>
      </c>
      <c r="W925" s="39" t="str">
        <f aca="false">IF($E925="","",IF($L925="Cancelada",0,IF(OR($K925&lt;&gt;"",$L925="Concluída"),1,0)))</f>
        <v/>
      </c>
    </row>
    <row r="926" customFormat="false" ht="15" hidden="false" customHeight="true" outlineLevel="0" collapsed="false">
      <c r="A926" s="31" t="str">
        <f aca="false">IF($E926="","",COUNTA($E$5:$E926))</f>
        <v/>
      </c>
      <c r="B926" s="32"/>
      <c r="C926" s="32"/>
      <c r="D926" s="32"/>
      <c r="E926" s="32"/>
      <c r="F926" s="33"/>
      <c r="G926" s="32"/>
      <c r="H926" s="34"/>
      <c r="I926" s="35"/>
      <c r="J926" s="36" t="str">
        <f aca="false">IF(OR($H926="",$I926=""),"",$H926+MATCH($I926,Listas!$F$5:$F$11,0)-1)</f>
        <v/>
      </c>
      <c r="K926" s="37"/>
      <c r="L926" s="33"/>
      <c r="M926" s="37"/>
      <c r="N926" s="32"/>
      <c r="O926" s="32"/>
      <c r="P926" s="38" t="str">
        <f aca="true">IF($E926="","",IF($L926="Cancelada","Cancelada",IF(OR($K926&lt;&gt;"",$L926="Concluída"),IF(OR($J926="",$K926="",$K926&lt;=$J926),"Concluída","Concluída com atraso"),IF($J926="","Na carteira",IF($J926&lt;TODAY(),"VENCIDA",IF($L926="Em execução","Em execução",IF($J926=TODAY(),"Hoje","Programada")))))))</f>
        <v/>
      </c>
      <c r="Q926" s="31" t="str">
        <f aca="false">IF($E926="","",IF(ISNUMBER(SEARCH("(externo)",$G926)),"Terceirizada","Interna"))</f>
        <v/>
      </c>
      <c r="R926" s="36" t="str">
        <f aca="false">IF($J926="","",IF($M926="",$J926,$M926))</f>
        <v/>
      </c>
      <c r="S926" s="31" t="str">
        <f aca="false">IF($E926="","",IF(OR($K926="",$J926=""),0,IF($K926&lt;=$J926,1,0)))</f>
        <v/>
      </c>
      <c r="T926" s="31" t="str">
        <f aca="false">IF($E926="","",IF(OR($K926="",$R926=""),0,IF($K926&lt;=$R926,1,0)))</f>
        <v/>
      </c>
      <c r="U926" s="38" t="str">
        <f aca="false">IF(OR($K926="",$J926=""),"",MAX(0,$K926-$J926))</f>
        <v/>
      </c>
      <c r="V926" s="31" t="str">
        <f aca="false">IF($E926="","",IF(AND($M926&lt;&gt;"",$J926&lt;&gt;"",$M926&lt;&gt;$J926),1,0))</f>
        <v/>
      </c>
      <c r="W926" s="39" t="str">
        <f aca="false">IF($E926="","",IF($L926="Cancelada",0,IF(OR($K926&lt;&gt;"",$L926="Concluída"),1,0)))</f>
        <v/>
      </c>
    </row>
    <row r="927" customFormat="false" ht="15" hidden="false" customHeight="true" outlineLevel="0" collapsed="false">
      <c r="A927" s="31" t="str">
        <f aca="false">IF($E927="","",COUNTA($E$5:$E927))</f>
        <v/>
      </c>
      <c r="B927" s="32"/>
      <c r="C927" s="32"/>
      <c r="D927" s="32"/>
      <c r="E927" s="32"/>
      <c r="F927" s="33"/>
      <c r="G927" s="32"/>
      <c r="H927" s="34"/>
      <c r="I927" s="35"/>
      <c r="J927" s="36" t="str">
        <f aca="false">IF(OR($H927="",$I927=""),"",$H927+MATCH($I927,Listas!$F$5:$F$11,0)-1)</f>
        <v/>
      </c>
      <c r="K927" s="37"/>
      <c r="L927" s="33"/>
      <c r="M927" s="37"/>
      <c r="N927" s="32"/>
      <c r="O927" s="32"/>
      <c r="P927" s="38" t="str">
        <f aca="true">IF($E927="","",IF($L927="Cancelada","Cancelada",IF(OR($K927&lt;&gt;"",$L927="Concluída"),IF(OR($J927="",$K927="",$K927&lt;=$J927),"Concluída","Concluída com atraso"),IF($J927="","Na carteira",IF($J927&lt;TODAY(),"VENCIDA",IF($L927="Em execução","Em execução",IF($J927=TODAY(),"Hoje","Programada")))))))</f>
        <v/>
      </c>
      <c r="Q927" s="31" t="str">
        <f aca="false">IF($E927="","",IF(ISNUMBER(SEARCH("(externo)",$G927)),"Terceirizada","Interna"))</f>
        <v/>
      </c>
      <c r="R927" s="36" t="str">
        <f aca="false">IF($J927="","",IF($M927="",$J927,$M927))</f>
        <v/>
      </c>
      <c r="S927" s="31" t="str">
        <f aca="false">IF($E927="","",IF(OR($K927="",$J927=""),0,IF($K927&lt;=$J927,1,0)))</f>
        <v/>
      </c>
      <c r="T927" s="31" t="str">
        <f aca="false">IF($E927="","",IF(OR($K927="",$R927=""),0,IF($K927&lt;=$R927,1,0)))</f>
        <v/>
      </c>
      <c r="U927" s="38" t="str">
        <f aca="false">IF(OR($K927="",$J927=""),"",MAX(0,$K927-$J927))</f>
        <v/>
      </c>
      <c r="V927" s="31" t="str">
        <f aca="false">IF($E927="","",IF(AND($M927&lt;&gt;"",$J927&lt;&gt;"",$M927&lt;&gt;$J927),1,0))</f>
        <v/>
      </c>
      <c r="W927" s="39" t="str">
        <f aca="false">IF($E927="","",IF($L927="Cancelada",0,IF(OR($K927&lt;&gt;"",$L927="Concluída"),1,0)))</f>
        <v/>
      </c>
    </row>
    <row r="928" customFormat="false" ht="15" hidden="false" customHeight="true" outlineLevel="0" collapsed="false">
      <c r="A928" s="31" t="str">
        <f aca="false">IF($E928="","",COUNTA($E$5:$E928))</f>
        <v/>
      </c>
      <c r="B928" s="32"/>
      <c r="C928" s="32"/>
      <c r="D928" s="32"/>
      <c r="E928" s="32"/>
      <c r="F928" s="33"/>
      <c r="G928" s="32"/>
      <c r="H928" s="34"/>
      <c r="I928" s="35"/>
      <c r="J928" s="36" t="str">
        <f aca="false">IF(OR($H928="",$I928=""),"",$H928+MATCH($I928,Listas!$F$5:$F$11,0)-1)</f>
        <v/>
      </c>
      <c r="K928" s="37"/>
      <c r="L928" s="33"/>
      <c r="M928" s="37"/>
      <c r="N928" s="32"/>
      <c r="O928" s="32"/>
      <c r="P928" s="38" t="str">
        <f aca="true">IF($E928="","",IF($L928="Cancelada","Cancelada",IF(OR($K928&lt;&gt;"",$L928="Concluída"),IF(OR($J928="",$K928="",$K928&lt;=$J928),"Concluída","Concluída com atraso"),IF($J928="","Na carteira",IF($J928&lt;TODAY(),"VENCIDA",IF($L928="Em execução","Em execução",IF($J928=TODAY(),"Hoje","Programada")))))))</f>
        <v/>
      </c>
      <c r="Q928" s="31" t="str">
        <f aca="false">IF($E928="","",IF(ISNUMBER(SEARCH("(externo)",$G928)),"Terceirizada","Interna"))</f>
        <v/>
      </c>
      <c r="R928" s="36" t="str">
        <f aca="false">IF($J928="","",IF($M928="",$J928,$M928))</f>
        <v/>
      </c>
      <c r="S928" s="31" t="str">
        <f aca="false">IF($E928="","",IF(OR($K928="",$J928=""),0,IF($K928&lt;=$J928,1,0)))</f>
        <v/>
      </c>
      <c r="T928" s="31" t="str">
        <f aca="false">IF($E928="","",IF(OR($K928="",$R928=""),0,IF($K928&lt;=$R928,1,0)))</f>
        <v/>
      </c>
      <c r="U928" s="38" t="str">
        <f aca="false">IF(OR($K928="",$J928=""),"",MAX(0,$K928-$J928))</f>
        <v/>
      </c>
      <c r="V928" s="31" t="str">
        <f aca="false">IF($E928="","",IF(AND($M928&lt;&gt;"",$J928&lt;&gt;"",$M928&lt;&gt;$J928),1,0))</f>
        <v/>
      </c>
      <c r="W928" s="39" t="str">
        <f aca="false">IF($E928="","",IF($L928="Cancelada",0,IF(OR($K928&lt;&gt;"",$L928="Concluída"),1,0)))</f>
        <v/>
      </c>
    </row>
    <row r="929" customFormat="false" ht="15" hidden="false" customHeight="true" outlineLevel="0" collapsed="false">
      <c r="A929" s="31" t="str">
        <f aca="false">IF($E929="","",COUNTA($E$5:$E929))</f>
        <v/>
      </c>
      <c r="B929" s="32"/>
      <c r="C929" s="32"/>
      <c r="D929" s="32"/>
      <c r="E929" s="32"/>
      <c r="F929" s="33"/>
      <c r="G929" s="32"/>
      <c r="H929" s="34"/>
      <c r="I929" s="35"/>
      <c r="J929" s="36" t="str">
        <f aca="false">IF(OR($H929="",$I929=""),"",$H929+MATCH($I929,Listas!$F$5:$F$11,0)-1)</f>
        <v/>
      </c>
      <c r="K929" s="37"/>
      <c r="L929" s="33"/>
      <c r="M929" s="37"/>
      <c r="N929" s="32"/>
      <c r="O929" s="32"/>
      <c r="P929" s="38" t="str">
        <f aca="true">IF($E929="","",IF($L929="Cancelada","Cancelada",IF(OR($K929&lt;&gt;"",$L929="Concluída"),IF(OR($J929="",$K929="",$K929&lt;=$J929),"Concluída","Concluída com atraso"),IF($J929="","Na carteira",IF($J929&lt;TODAY(),"VENCIDA",IF($L929="Em execução","Em execução",IF($J929=TODAY(),"Hoje","Programada")))))))</f>
        <v/>
      </c>
      <c r="Q929" s="31" t="str">
        <f aca="false">IF($E929="","",IF(ISNUMBER(SEARCH("(externo)",$G929)),"Terceirizada","Interna"))</f>
        <v/>
      </c>
      <c r="R929" s="36" t="str">
        <f aca="false">IF($J929="","",IF($M929="",$J929,$M929))</f>
        <v/>
      </c>
      <c r="S929" s="31" t="str">
        <f aca="false">IF($E929="","",IF(OR($K929="",$J929=""),0,IF($K929&lt;=$J929,1,0)))</f>
        <v/>
      </c>
      <c r="T929" s="31" t="str">
        <f aca="false">IF($E929="","",IF(OR($K929="",$R929=""),0,IF($K929&lt;=$R929,1,0)))</f>
        <v/>
      </c>
      <c r="U929" s="38" t="str">
        <f aca="false">IF(OR($K929="",$J929=""),"",MAX(0,$K929-$J929))</f>
        <v/>
      </c>
      <c r="V929" s="31" t="str">
        <f aca="false">IF($E929="","",IF(AND($M929&lt;&gt;"",$J929&lt;&gt;"",$M929&lt;&gt;$J929),1,0))</f>
        <v/>
      </c>
      <c r="W929" s="39" t="str">
        <f aca="false">IF($E929="","",IF($L929="Cancelada",0,IF(OR($K929&lt;&gt;"",$L929="Concluída"),1,0)))</f>
        <v/>
      </c>
    </row>
    <row r="930" customFormat="false" ht="15" hidden="false" customHeight="true" outlineLevel="0" collapsed="false">
      <c r="A930" s="31" t="str">
        <f aca="false">IF($E930="","",COUNTA($E$5:$E930))</f>
        <v/>
      </c>
      <c r="B930" s="32"/>
      <c r="C930" s="32"/>
      <c r="D930" s="32"/>
      <c r="E930" s="32"/>
      <c r="F930" s="33"/>
      <c r="G930" s="32"/>
      <c r="H930" s="34"/>
      <c r="I930" s="35"/>
      <c r="J930" s="36" t="str">
        <f aca="false">IF(OR($H930="",$I930=""),"",$H930+MATCH($I930,Listas!$F$5:$F$11,0)-1)</f>
        <v/>
      </c>
      <c r="K930" s="37"/>
      <c r="L930" s="33"/>
      <c r="M930" s="37"/>
      <c r="N930" s="32"/>
      <c r="O930" s="32"/>
      <c r="P930" s="38" t="str">
        <f aca="true">IF($E930="","",IF($L930="Cancelada","Cancelada",IF(OR($K930&lt;&gt;"",$L930="Concluída"),IF(OR($J930="",$K930="",$K930&lt;=$J930),"Concluída","Concluída com atraso"),IF($J930="","Na carteira",IF($J930&lt;TODAY(),"VENCIDA",IF($L930="Em execução","Em execução",IF($J930=TODAY(),"Hoje","Programada")))))))</f>
        <v/>
      </c>
      <c r="Q930" s="31" t="str">
        <f aca="false">IF($E930="","",IF(ISNUMBER(SEARCH("(externo)",$G930)),"Terceirizada","Interna"))</f>
        <v/>
      </c>
      <c r="R930" s="36" t="str">
        <f aca="false">IF($J930="","",IF($M930="",$J930,$M930))</f>
        <v/>
      </c>
      <c r="S930" s="31" t="str">
        <f aca="false">IF($E930="","",IF(OR($K930="",$J930=""),0,IF($K930&lt;=$J930,1,0)))</f>
        <v/>
      </c>
      <c r="T930" s="31" t="str">
        <f aca="false">IF($E930="","",IF(OR($K930="",$R930=""),0,IF($K930&lt;=$R930,1,0)))</f>
        <v/>
      </c>
      <c r="U930" s="38" t="str">
        <f aca="false">IF(OR($K930="",$J930=""),"",MAX(0,$K930-$J930))</f>
        <v/>
      </c>
      <c r="V930" s="31" t="str">
        <f aca="false">IF($E930="","",IF(AND($M930&lt;&gt;"",$J930&lt;&gt;"",$M930&lt;&gt;$J930),1,0))</f>
        <v/>
      </c>
      <c r="W930" s="39" t="str">
        <f aca="false">IF($E930="","",IF($L930="Cancelada",0,IF(OR($K930&lt;&gt;"",$L930="Concluída"),1,0)))</f>
        <v/>
      </c>
    </row>
    <row r="931" customFormat="false" ht="15" hidden="false" customHeight="true" outlineLevel="0" collapsed="false">
      <c r="A931" s="31" t="str">
        <f aca="false">IF($E931="","",COUNTA($E$5:$E931))</f>
        <v/>
      </c>
      <c r="B931" s="32"/>
      <c r="C931" s="32"/>
      <c r="D931" s="32"/>
      <c r="E931" s="32"/>
      <c r="F931" s="33"/>
      <c r="G931" s="32"/>
      <c r="H931" s="34"/>
      <c r="I931" s="35"/>
      <c r="J931" s="36" t="str">
        <f aca="false">IF(OR($H931="",$I931=""),"",$H931+MATCH($I931,Listas!$F$5:$F$11,0)-1)</f>
        <v/>
      </c>
      <c r="K931" s="37"/>
      <c r="L931" s="33"/>
      <c r="M931" s="37"/>
      <c r="N931" s="32"/>
      <c r="O931" s="32"/>
      <c r="P931" s="38" t="str">
        <f aca="true">IF($E931="","",IF($L931="Cancelada","Cancelada",IF(OR($K931&lt;&gt;"",$L931="Concluída"),IF(OR($J931="",$K931="",$K931&lt;=$J931),"Concluída","Concluída com atraso"),IF($J931="","Na carteira",IF($J931&lt;TODAY(),"VENCIDA",IF($L931="Em execução","Em execução",IF($J931=TODAY(),"Hoje","Programada")))))))</f>
        <v/>
      </c>
      <c r="Q931" s="31" t="str">
        <f aca="false">IF($E931="","",IF(ISNUMBER(SEARCH("(externo)",$G931)),"Terceirizada","Interna"))</f>
        <v/>
      </c>
      <c r="R931" s="36" t="str">
        <f aca="false">IF($J931="","",IF($M931="",$J931,$M931))</f>
        <v/>
      </c>
      <c r="S931" s="31" t="str">
        <f aca="false">IF($E931="","",IF(OR($K931="",$J931=""),0,IF($K931&lt;=$J931,1,0)))</f>
        <v/>
      </c>
      <c r="T931" s="31" t="str">
        <f aca="false">IF($E931="","",IF(OR($K931="",$R931=""),0,IF($K931&lt;=$R931,1,0)))</f>
        <v/>
      </c>
      <c r="U931" s="38" t="str">
        <f aca="false">IF(OR($K931="",$J931=""),"",MAX(0,$K931-$J931))</f>
        <v/>
      </c>
      <c r="V931" s="31" t="str">
        <f aca="false">IF($E931="","",IF(AND($M931&lt;&gt;"",$J931&lt;&gt;"",$M931&lt;&gt;$J931),1,0))</f>
        <v/>
      </c>
      <c r="W931" s="39" t="str">
        <f aca="false">IF($E931="","",IF($L931="Cancelada",0,IF(OR($K931&lt;&gt;"",$L931="Concluída"),1,0)))</f>
        <v/>
      </c>
    </row>
    <row r="932" customFormat="false" ht="15" hidden="false" customHeight="true" outlineLevel="0" collapsed="false">
      <c r="A932" s="31" t="str">
        <f aca="false">IF($E932="","",COUNTA($E$5:$E932))</f>
        <v/>
      </c>
      <c r="B932" s="32"/>
      <c r="C932" s="32"/>
      <c r="D932" s="32"/>
      <c r="E932" s="32"/>
      <c r="F932" s="33"/>
      <c r="G932" s="32"/>
      <c r="H932" s="34"/>
      <c r="I932" s="35"/>
      <c r="J932" s="36" t="str">
        <f aca="false">IF(OR($H932="",$I932=""),"",$H932+MATCH($I932,Listas!$F$5:$F$11,0)-1)</f>
        <v/>
      </c>
      <c r="K932" s="37"/>
      <c r="L932" s="33"/>
      <c r="M932" s="37"/>
      <c r="N932" s="32"/>
      <c r="O932" s="32"/>
      <c r="P932" s="38" t="str">
        <f aca="true">IF($E932="","",IF($L932="Cancelada","Cancelada",IF(OR($K932&lt;&gt;"",$L932="Concluída"),IF(OR($J932="",$K932="",$K932&lt;=$J932),"Concluída","Concluída com atraso"),IF($J932="","Na carteira",IF($J932&lt;TODAY(),"VENCIDA",IF($L932="Em execução","Em execução",IF($J932=TODAY(),"Hoje","Programada")))))))</f>
        <v/>
      </c>
      <c r="Q932" s="31" t="str">
        <f aca="false">IF($E932="","",IF(ISNUMBER(SEARCH("(externo)",$G932)),"Terceirizada","Interna"))</f>
        <v/>
      </c>
      <c r="R932" s="36" t="str">
        <f aca="false">IF($J932="","",IF($M932="",$J932,$M932))</f>
        <v/>
      </c>
      <c r="S932" s="31" t="str">
        <f aca="false">IF($E932="","",IF(OR($K932="",$J932=""),0,IF($K932&lt;=$J932,1,0)))</f>
        <v/>
      </c>
      <c r="T932" s="31" t="str">
        <f aca="false">IF($E932="","",IF(OR($K932="",$R932=""),0,IF($K932&lt;=$R932,1,0)))</f>
        <v/>
      </c>
      <c r="U932" s="38" t="str">
        <f aca="false">IF(OR($K932="",$J932=""),"",MAX(0,$K932-$J932))</f>
        <v/>
      </c>
      <c r="V932" s="31" t="str">
        <f aca="false">IF($E932="","",IF(AND($M932&lt;&gt;"",$J932&lt;&gt;"",$M932&lt;&gt;$J932),1,0))</f>
        <v/>
      </c>
      <c r="W932" s="39" t="str">
        <f aca="false">IF($E932="","",IF($L932="Cancelada",0,IF(OR($K932&lt;&gt;"",$L932="Concluída"),1,0)))</f>
        <v/>
      </c>
    </row>
    <row r="933" customFormat="false" ht="15" hidden="false" customHeight="true" outlineLevel="0" collapsed="false">
      <c r="A933" s="31" t="str">
        <f aca="false">IF($E933="","",COUNTA($E$5:$E933))</f>
        <v/>
      </c>
      <c r="B933" s="32"/>
      <c r="C933" s="32"/>
      <c r="D933" s="32"/>
      <c r="E933" s="32"/>
      <c r="F933" s="33"/>
      <c r="G933" s="32"/>
      <c r="H933" s="34"/>
      <c r="I933" s="35"/>
      <c r="J933" s="36" t="str">
        <f aca="false">IF(OR($H933="",$I933=""),"",$H933+MATCH($I933,Listas!$F$5:$F$11,0)-1)</f>
        <v/>
      </c>
      <c r="K933" s="37"/>
      <c r="L933" s="33"/>
      <c r="M933" s="37"/>
      <c r="N933" s="32"/>
      <c r="O933" s="32"/>
      <c r="P933" s="38" t="str">
        <f aca="true">IF($E933="","",IF($L933="Cancelada","Cancelada",IF(OR($K933&lt;&gt;"",$L933="Concluída"),IF(OR($J933="",$K933="",$K933&lt;=$J933),"Concluída","Concluída com atraso"),IF($J933="","Na carteira",IF($J933&lt;TODAY(),"VENCIDA",IF($L933="Em execução","Em execução",IF($J933=TODAY(),"Hoje","Programada")))))))</f>
        <v/>
      </c>
      <c r="Q933" s="31" t="str">
        <f aca="false">IF($E933="","",IF(ISNUMBER(SEARCH("(externo)",$G933)),"Terceirizada","Interna"))</f>
        <v/>
      </c>
      <c r="R933" s="36" t="str">
        <f aca="false">IF($J933="","",IF($M933="",$J933,$M933))</f>
        <v/>
      </c>
      <c r="S933" s="31" t="str">
        <f aca="false">IF($E933="","",IF(OR($K933="",$J933=""),0,IF($K933&lt;=$J933,1,0)))</f>
        <v/>
      </c>
      <c r="T933" s="31" t="str">
        <f aca="false">IF($E933="","",IF(OR($K933="",$R933=""),0,IF($K933&lt;=$R933,1,0)))</f>
        <v/>
      </c>
      <c r="U933" s="38" t="str">
        <f aca="false">IF(OR($K933="",$J933=""),"",MAX(0,$K933-$J933))</f>
        <v/>
      </c>
      <c r="V933" s="31" t="str">
        <f aca="false">IF($E933="","",IF(AND($M933&lt;&gt;"",$J933&lt;&gt;"",$M933&lt;&gt;$J933),1,0))</f>
        <v/>
      </c>
      <c r="W933" s="39" t="str">
        <f aca="false">IF($E933="","",IF($L933="Cancelada",0,IF(OR($K933&lt;&gt;"",$L933="Concluída"),1,0)))</f>
        <v/>
      </c>
    </row>
    <row r="934" customFormat="false" ht="15" hidden="false" customHeight="true" outlineLevel="0" collapsed="false">
      <c r="A934" s="31" t="str">
        <f aca="false">IF($E934="","",COUNTA($E$5:$E934))</f>
        <v/>
      </c>
      <c r="B934" s="32"/>
      <c r="C934" s="32"/>
      <c r="D934" s="32"/>
      <c r="E934" s="32"/>
      <c r="F934" s="33"/>
      <c r="G934" s="32"/>
      <c r="H934" s="34"/>
      <c r="I934" s="35"/>
      <c r="J934" s="36" t="str">
        <f aca="false">IF(OR($H934="",$I934=""),"",$H934+MATCH($I934,Listas!$F$5:$F$11,0)-1)</f>
        <v/>
      </c>
      <c r="K934" s="37"/>
      <c r="L934" s="33"/>
      <c r="M934" s="37"/>
      <c r="N934" s="32"/>
      <c r="O934" s="32"/>
      <c r="P934" s="38" t="str">
        <f aca="true">IF($E934="","",IF($L934="Cancelada","Cancelada",IF(OR($K934&lt;&gt;"",$L934="Concluída"),IF(OR($J934="",$K934="",$K934&lt;=$J934),"Concluída","Concluída com atraso"),IF($J934="","Na carteira",IF($J934&lt;TODAY(),"VENCIDA",IF($L934="Em execução","Em execução",IF($J934=TODAY(),"Hoje","Programada")))))))</f>
        <v/>
      </c>
      <c r="Q934" s="31" t="str">
        <f aca="false">IF($E934="","",IF(ISNUMBER(SEARCH("(externo)",$G934)),"Terceirizada","Interna"))</f>
        <v/>
      </c>
      <c r="R934" s="36" t="str">
        <f aca="false">IF($J934="","",IF($M934="",$J934,$M934))</f>
        <v/>
      </c>
      <c r="S934" s="31" t="str">
        <f aca="false">IF($E934="","",IF(OR($K934="",$J934=""),0,IF($K934&lt;=$J934,1,0)))</f>
        <v/>
      </c>
      <c r="T934" s="31" t="str">
        <f aca="false">IF($E934="","",IF(OR($K934="",$R934=""),0,IF($K934&lt;=$R934,1,0)))</f>
        <v/>
      </c>
      <c r="U934" s="38" t="str">
        <f aca="false">IF(OR($K934="",$J934=""),"",MAX(0,$K934-$J934))</f>
        <v/>
      </c>
      <c r="V934" s="31" t="str">
        <f aca="false">IF($E934="","",IF(AND($M934&lt;&gt;"",$J934&lt;&gt;"",$M934&lt;&gt;$J934),1,0))</f>
        <v/>
      </c>
      <c r="W934" s="39" t="str">
        <f aca="false">IF($E934="","",IF($L934="Cancelada",0,IF(OR($K934&lt;&gt;"",$L934="Concluída"),1,0)))</f>
        <v/>
      </c>
    </row>
    <row r="935" customFormat="false" ht="15" hidden="false" customHeight="true" outlineLevel="0" collapsed="false">
      <c r="A935" s="31" t="str">
        <f aca="false">IF($E935="","",COUNTA($E$5:$E935))</f>
        <v/>
      </c>
      <c r="B935" s="32"/>
      <c r="C935" s="32"/>
      <c r="D935" s="32"/>
      <c r="E935" s="32"/>
      <c r="F935" s="33"/>
      <c r="G935" s="32"/>
      <c r="H935" s="34"/>
      <c r="I935" s="35"/>
      <c r="J935" s="36" t="str">
        <f aca="false">IF(OR($H935="",$I935=""),"",$H935+MATCH($I935,Listas!$F$5:$F$11,0)-1)</f>
        <v/>
      </c>
      <c r="K935" s="37"/>
      <c r="L935" s="33"/>
      <c r="M935" s="37"/>
      <c r="N935" s="32"/>
      <c r="O935" s="32"/>
      <c r="P935" s="38" t="str">
        <f aca="true">IF($E935="","",IF($L935="Cancelada","Cancelada",IF(OR($K935&lt;&gt;"",$L935="Concluída"),IF(OR($J935="",$K935="",$K935&lt;=$J935),"Concluída","Concluída com atraso"),IF($J935="","Na carteira",IF($J935&lt;TODAY(),"VENCIDA",IF($L935="Em execução","Em execução",IF($J935=TODAY(),"Hoje","Programada")))))))</f>
        <v/>
      </c>
      <c r="Q935" s="31" t="str">
        <f aca="false">IF($E935="","",IF(ISNUMBER(SEARCH("(externo)",$G935)),"Terceirizada","Interna"))</f>
        <v/>
      </c>
      <c r="R935" s="36" t="str">
        <f aca="false">IF($J935="","",IF($M935="",$J935,$M935))</f>
        <v/>
      </c>
      <c r="S935" s="31" t="str">
        <f aca="false">IF($E935="","",IF(OR($K935="",$J935=""),0,IF($K935&lt;=$J935,1,0)))</f>
        <v/>
      </c>
      <c r="T935" s="31" t="str">
        <f aca="false">IF($E935="","",IF(OR($K935="",$R935=""),0,IF($K935&lt;=$R935,1,0)))</f>
        <v/>
      </c>
      <c r="U935" s="38" t="str">
        <f aca="false">IF(OR($K935="",$J935=""),"",MAX(0,$K935-$J935))</f>
        <v/>
      </c>
      <c r="V935" s="31" t="str">
        <f aca="false">IF($E935="","",IF(AND($M935&lt;&gt;"",$J935&lt;&gt;"",$M935&lt;&gt;$J935),1,0))</f>
        <v/>
      </c>
      <c r="W935" s="39" t="str">
        <f aca="false">IF($E935="","",IF($L935="Cancelada",0,IF(OR($K935&lt;&gt;"",$L935="Concluída"),1,0)))</f>
        <v/>
      </c>
    </row>
    <row r="936" customFormat="false" ht="15" hidden="false" customHeight="true" outlineLevel="0" collapsed="false">
      <c r="A936" s="31" t="str">
        <f aca="false">IF($E936="","",COUNTA($E$5:$E936))</f>
        <v/>
      </c>
      <c r="B936" s="32"/>
      <c r="C936" s="32"/>
      <c r="D936" s="32"/>
      <c r="E936" s="32"/>
      <c r="F936" s="33"/>
      <c r="G936" s="32"/>
      <c r="H936" s="34"/>
      <c r="I936" s="35"/>
      <c r="J936" s="36" t="str">
        <f aca="false">IF(OR($H936="",$I936=""),"",$H936+MATCH($I936,Listas!$F$5:$F$11,0)-1)</f>
        <v/>
      </c>
      <c r="K936" s="37"/>
      <c r="L936" s="33"/>
      <c r="M936" s="37"/>
      <c r="N936" s="32"/>
      <c r="O936" s="32"/>
      <c r="P936" s="38" t="str">
        <f aca="true">IF($E936="","",IF($L936="Cancelada","Cancelada",IF(OR($K936&lt;&gt;"",$L936="Concluída"),IF(OR($J936="",$K936="",$K936&lt;=$J936),"Concluída","Concluída com atraso"),IF($J936="","Na carteira",IF($J936&lt;TODAY(),"VENCIDA",IF($L936="Em execução","Em execução",IF($J936=TODAY(),"Hoje","Programada")))))))</f>
        <v/>
      </c>
      <c r="Q936" s="31" t="str">
        <f aca="false">IF($E936="","",IF(ISNUMBER(SEARCH("(externo)",$G936)),"Terceirizada","Interna"))</f>
        <v/>
      </c>
      <c r="R936" s="36" t="str">
        <f aca="false">IF($J936="","",IF($M936="",$J936,$M936))</f>
        <v/>
      </c>
      <c r="S936" s="31" t="str">
        <f aca="false">IF($E936="","",IF(OR($K936="",$J936=""),0,IF($K936&lt;=$J936,1,0)))</f>
        <v/>
      </c>
      <c r="T936" s="31" t="str">
        <f aca="false">IF($E936="","",IF(OR($K936="",$R936=""),0,IF($K936&lt;=$R936,1,0)))</f>
        <v/>
      </c>
      <c r="U936" s="38" t="str">
        <f aca="false">IF(OR($K936="",$J936=""),"",MAX(0,$K936-$J936))</f>
        <v/>
      </c>
      <c r="V936" s="31" t="str">
        <f aca="false">IF($E936="","",IF(AND($M936&lt;&gt;"",$J936&lt;&gt;"",$M936&lt;&gt;$J936),1,0))</f>
        <v/>
      </c>
      <c r="W936" s="39" t="str">
        <f aca="false">IF($E936="","",IF($L936="Cancelada",0,IF(OR($K936&lt;&gt;"",$L936="Concluída"),1,0)))</f>
        <v/>
      </c>
    </row>
    <row r="937" customFormat="false" ht="15" hidden="false" customHeight="true" outlineLevel="0" collapsed="false">
      <c r="A937" s="31" t="str">
        <f aca="false">IF($E937="","",COUNTA($E$5:$E937))</f>
        <v/>
      </c>
      <c r="B937" s="32"/>
      <c r="C937" s="32"/>
      <c r="D937" s="32"/>
      <c r="E937" s="32"/>
      <c r="F937" s="33"/>
      <c r="G937" s="32"/>
      <c r="H937" s="34"/>
      <c r="I937" s="35"/>
      <c r="J937" s="36" t="str">
        <f aca="false">IF(OR($H937="",$I937=""),"",$H937+MATCH($I937,Listas!$F$5:$F$11,0)-1)</f>
        <v/>
      </c>
      <c r="K937" s="37"/>
      <c r="L937" s="33"/>
      <c r="M937" s="37"/>
      <c r="N937" s="32"/>
      <c r="O937" s="32"/>
      <c r="P937" s="38" t="str">
        <f aca="true">IF($E937="","",IF($L937="Cancelada","Cancelada",IF(OR($K937&lt;&gt;"",$L937="Concluída"),IF(OR($J937="",$K937="",$K937&lt;=$J937),"Concluída","Concluída com atraso"),IF($J937="","Na carteira",IF($J937&lt;TODAY(),"VENCIDA",IF($L937="Em execução","Em execução",IF($J937=TODAY(),"Hoje","Programada")))))))</f>
        <v/>
      </c>
      <c r="Q937" s="31" t="str">
        <f aca="false">IF($E937="","",IF(ISNUMBER(SEARCH("(externo)",$G937)),"Terceirizada","Interna"))</f>
        <v/>
      </c>
      <c r="R937" s="36" t="str">
        <f aca="false">IF($J937="","",IF($M937="",$J937,$M937))</f>
        <v/>
      </c>
      <c r="S937" s="31" t="str">
        <f aca="false">IF($E937="","",IF(OR($K937="",$J937=""),0,IF($K937&lt;=$J937,1,0)))</f>
        <v/>
      </c>
      <c r="T937" s="31" t="str">
        <f aca="false">IF($E937="","",IF(OR($K937="",$R937=""),0,IF($K937&lt;=$R937,1,0)))</f>
        <v/>
      </c>
      <c r="U937" s="38" t="str">
        <f aca="false">IF(OR($K937="",$J937=""),"",MAX(0,$K937-$J937))</f>
        <v/>
      </c>
      <c r="V937" s="31" t="str">
        <f aca="false">IF($E937="","",IF(AND($M937&lt;&gt;"",$J937&lt;&gt;"",$M937&lt;&gt;$J937),1,0))</f>
        <v/>
      </c>
      <c r="W937" s="39" t="str">
        <f aca="false">IF($E937="","",IF($L937="Cancelada",0,IF(OR($K937&lt;&gt;"",$L937="Concluída"),1,0)))</f>
        <v/>
      </c>
    </row>
    <row r="938" customFormat="false" ht="15" hidden="false" customHeight="true" outlineLevel="0" collapsed="false">
      <c r="A938" s="31" t="str">
        <f aca="false">IF($E938="","",COUNTA($E$5:$E938))</f>
        <v/>
      </c>
      <c r="B938" s="32"/>
      <c r="C938" s="32"/>
      <c r="D938" s="32"/>
      <c r="E938" s="32"/>
      <c r="F938" s="33"/>
      <c r="G938" s="32"/>
      <c r="H938" s="34"/>
      <c r="I938" s="35"/>
      <c r="J938" s="36" t="str">
        <f aca="false">IF(OR($H938="",$I938=""),"",$H938+MATCH($I938,Listas!$F$5:$F$11,0)-1)</f>
        <v/>
      </c>
      <c r="K938" s="37"/>
      <c r="L938" s="33"/>
      <c r="M938" s="37"/>
      <c r="N938" s="32"/>
      <c r="O938" s="32"/>
      <c r="P938" s="38" t="str">
        <f aca="true">IF($E938="","",IF($L938="Cancelada","Cancelada",IF(OR($K938&lt;&gt;"",$L938="Concluída"),IF(OR($J938="",$K938="",$K938&lt;=$J938),"Concluída","Concluída com atraso"),IF($J938="","Na carteira",IF($J938&lt;TODAY(),"VENCIDA",IF($L938="Em execução","Em execução",IF($J938=TODAY(),"Hoje","Programada")))))))</f>
        <v/>
      </c>
      <c r="Q938" s="31" t="str">
        <f aca="false">IF($E938="","",IF(ISNUMBER(SEARCH("(externo)",$G938)),"Terceirizada","Interna"))</f>
        <v/>
      </c>
      <c r="R938" s="36" t="str">
        <f aca="false">IF($J938="","",IF($M938="",$J938,$M938))</f>
        <v/>
      </c>
      <c r="S938" s="31" t="str">
        <f aca="false">IF($E938="","",IF(OR($K938="",$J938=""),0,IF($K938&lt;=$J938,1,0)))</f>
        <v/>
      </c>
      <c r="T938" s="31" t="str">
        <f aca="false">IF($E938="","",IF(OR($K938="",$R938=""),0,IF($K938&lt;=$R938,1,0)))</f>
        <v/>
      </c>
      <c r="U938" s="38" t="str">
        <f aca="false">IF(OR($K938="",$J938=""),"",MAX(0,$K938-$J938))</f>
        <v/>
      </c>
      <c r="V938" s="31" t="str">
        <f aca="false">IF($E938="","",IF(AND($M938&lt;&gt;"",$J938&lt;&gt;"",$M938&lt;&gt;$J938),1,0))</f>
        <v/>
      </c>
      <c r="W938" s="39" t="str">
        <f aca="false">IF($E938="","",IF($L938="Cancelada",0,IF(OR($K938&lt;&gt;"",$L938="Concluída"),1,0)))</f>
        <v/>
      </c>
    </row>
    <row r="939" customFormat="false" ht="15" hidden="false" customHeight="true" outlineLevel="0" collapsed="false">
      <c r="A939" s="31" t="str">
        <f aca="false">IF($E939="","",COUNTA($E$5:$E939))</f>
        <v/>
      </c>
      <c r="B939" s="32"/>
      <c r="C939" s="32"/>
      <c r="D939" s="32"/>
      <c r="E939" s="32"/>
      <c r="F939" s="33"/>
      <c r="G939" s="32"/>
      <c r="H939" s="34"/>
      <c r="I939" s="35"/>
      <c r="J939" s="36" t="str">
        <f aca="false">IF(OR($H939="",$I939=""),"",$H939+MATCH($I939,Listas!$F$5:$F$11,0)-1)</f>
        <v/>
      </c>
      <c r="K939" s="37"/>
      <c r="L939" s="33"/>
      <c r="M939" s="37"/>
      <c r="N939" s="32"/>
      <c r="O939" s="32"/>
      <c r="P939" s="38" t="str">
        <f aca="true">IF($E939="","",IF($L939="Cancelada","Cancelada",IF(OR($K939&lt;&gt;"",$L939="Concluída"),IF(OR($J939="",$K939="",$K939&lt;=$J939),"Concluída","Concluída com atraso"),IF($J939="","Na carteira",IF($J939&lt;TODAY(),"VENCIDA",IF($L939="Em execução","Em execução",IF($J939=TODAY(),"Hoje","Programada")))))))</f>
        <v/>
      </c>
      <c r="Q939" s="31" t="str">
        <f aca="false">IF($E939="","",IF(ISNUMBER(SEARCH("(externo)",$G939)),"Terceirizada","Interna"))</f>
        <v/>
      </c>
      <c r="R939" s="36" t="str">
        <f aca="false">IF($J939="","",IF($M939="",$J939,$M939))</f>
        <v/>
      </c>
      <c r="S939" s="31" t="str">
        <f aca="false">IF($E939="","",IF(OR($K939="",$J939=""),0,IF($K939&lt;=$J939,1,0)))</f>
        <v/>
      </c>
      <c r="T939" s="31" t="str">
        <f aca="false">IF($E939="","",IF(OR($K939="",$R939=""),0,IF($K939&lt;=$R939,1,0)))</f>
        <v/>
      </c>
      <c r="U939" s="38" t="str">
        <f aca="false">IF(OR($K939="",$J939=""),"",MAX(0,$K939-$J939))</f>
        <v/>
      </c>
      <c r="V939" s="31" t="str">
        <f aca="false">IF($E939="","",IF(AND($M939&lt;&gt;"",$J939&lt;&gt;"",$M939&lt;&gt;$J939),1,0))</f>
        <v/>
      </c>
      <c r="W939" s="39" t="str">
        <f aca="false">IF($E939="","",IF($L939="Cancelada",0,IF(OR($K939&lt;&gt;"",$L939="Concluída"),1,0)))</f>
        <v/>
      </c>
    </row>
    <row r="940" customFormat="false" ht="15" hidden="false" customHeight="true" outlineLevel="0" collapsed="false">
      <c r="A940" s="31" t="str">
        <f aca="false">IF($E940="","",COUNTA($E$5:$E940))</f>
        <v/>
      </c>
      <c r="B940" s="32"/>
      <c r="C940" s="32"/>
      <c r="D940" s="32"/>
      <c r="E940" s="32"/>
      <c r="F940" s="33"/>
      <c r="G940" s="32"/>
      <c r="H940" s="34"/>
      <c r="I940" s="35"/>
      <c r="J940" s="36" t="str">
        <f aca="false">IF(OR($H940="",$I940=""),"",$H940+MATCH($I940,Listas!$F$5:$F$11,0)-1)</f>
        <v/>
      </c>
      <c r="K940" s="37"/>
      <c r="L940" s="33"/>
      <c r="M940" s="37"/>
      <c r="N940" s="32"/>
      <c r="O940" s="32"/>
      <c r="P940" s="38" t="str">
        <f aca="true">IF($E940="","",IF($L940="Cancelada","Cancelada",IF(OR($K940&lt;&gt;"",$L940="Concluída"),IF(OR($J940="",$K940="",$K940&lt;=$J940),"Concluída","Concluída com atraso"),IF($J940="","Na carteira",IF($J940&lt;TODAY(),"VENCIDA",IF($L940="Em execução","Em execução",IF($J940=TODAY(),"Hoje","Programada")))))))</f>
        <v/>
      </c>
      <c r="Q940" s="31" t="str">
        <f aca="false">IF($E940="","",IF(ISNUMBER(SEARCH("(externo)",$G940)),"Terceirizada","Interna"))</f>
        <v/>
      </c>
      <c r="R940" s="36" t="str">
        <f aca="false">IF($J940="","",IF($M940="",$J940,$M940))</f>
        <v/>
      </c>
      <c r="S940" s="31" t="str">
        <f aca="false">IF($E940="","",IF(OR($K940="",$J940=""),0,IF($K940&lt;=$J940,1,0)))</f>
        <v/>
      </c>
      <c r="T940" s="31" t="str">
        <f aca="false">IF($E940="","",IF(OR($K940="",$R940=""),0,IF($K940&lt;=$R940,1,0)))</f>
        <v/>
      </c>
      <c r="U940" s="38" t="str">
        <f aca="false">IF(OR($K940="",$J940=""),"",MAX(0,$K940-$J940))</f>
        <v/>
      </c>
      <c r="V940" s="31" t="str">
        <f aca="false">IF($E940="","",IF(AND($M940&lt;&gt;"",$J940&lt;&gt;"",$M940&lt;&gt;$J940),1,0))</f>
        <v/>
      </c>
      <c r="W940" s="39" t="str">
        <f aca="false">IF($E940="","",IF($L940="Cancelada",0,IF(OR($K940&lt;&gt;"",$L940="Concluída"),1,0)))</f>
        <v/>
      </c>
    </row>
    <row r="941" customFormat="false" ht="15" hidden="false" customHeight="true" outlineLevel="0" collapsed="false">
      <c r="A941" s="31" t="str">
        <f aca="false">IF($E941="","",COUNTA($E$5:$E941))</f>
        <v/>
      </c>
      <c r="B941" s="32"/>
      <c r="C941" s="32"/>
      <c r="D941" s="32"/>
      <c r="E941" s="32"/>
      <c r="F941" s="33"/>
      <c r="G941" s="32"/>
      <c r="H941" s="34"/>
      <c r="I941" s="35"/>
      <c r="J941" s="36" t="str">
        <f aca="false">IF(OR($H941="",$I941=""),"",$H941+MATCH($I941,Listas!$F$5:$F$11,0)-1)</f>
        <v/>
      </c>
      <c r="K941" s="37"/>
      <c r="L941" s="33"/>
      <c r="M941" s="37"/>
      <c r="N941" s="32"/>
      <c r="O941" s="32"/>
      <c r="P941" s="38" t="str">
        <f aca="true">IF($E941="","",IF($L941="Cancelada","Cancelada",IF(OR($K941&lt;&gt;"",$L941="Concluída"),IF(OR($J941="",$K941="",$K941&lt;=$J941),"Concluída","Concluída com atraso"),IF($J941="","Na carteira",IF($J941&lt;TODAY(),"VENCIDA",IF($L941="Em execução","Em execução",IF($J941=TODAY(),"Hoje","Programada")))))))</f>
        <v/>
      </c>
      <c r="Q941" s="31" t="str">
        <f aca="false">IF($E941="","",IF(ISNUMBER(SEARCH("(externo)",$G941)),"Terceirizada","Interna"))</f>
        <v/>
      </c>
      <c r="R941" s="36" t="str">
        <f aca="false">IF($J941="","",IF($M941="",$J941,$M941))</f>
        <v/>
      </c>
      <c r="S941" s="31" t="str">
        <f aca="false">IF($E941="","",IF(OR($K941="",$J941=""),0,IF($K941&lt;=$J941,1,0)))</f>
        <v/>
      </c>
      <c r="T941" s="31" t="str">
        <f aca="false">IF($E941="","",IF(OR($K941="",$R941=""),0,IF($K941&lt;=$R941,1,0)))</f>
        <v/>
      </c>
      <c r="U941" s="38" t="str">
        <f aca="false">IF(OR($K941="",$J941=""),"",MAX(0,$K941-$J941))</f>
        <v/>
      </c>
      <c r="V941" s="31" t="str">
        <f aca="false">IF($E941="","",IF(AND($M941&lt;&gt;"",$J941&lt;&gt;"",$M941&lt;&gt;$J941),1,0))</f>
        <v/>
      </c>
      <c r="W941" s="39" t="str">
        <f aca="false">IF($E941="","",IF($L941="Cancelada",0,IF(OR($K941&lt;&gt;"",$L941="Concluída"),1,0)))</f>
        <v/>
      </c>
    </row>
    <row r="942" customFormat="false" ht="15" hidden="false" customHeight="true" outlineLevel="0" collapsed="false">
      <c r="A942" s="31" t="str">
        <f aca="false">IF($E942="","",COUNTA($E$5:$E942))</f>
        <v/>
      </c>
      <c r="B942" s="32"/>
      <c r="C942" s="32"/>
      <c r="D942" s="32"/>
      <c r="E942" s="32"/>
      <c r="F942" s="33"/>
      <c r="G942" s="32"/>
      <c r="H942" s="34"/>
      <c r="I942" s="35"/>
      <c r="J942" s="36" t="str">
        <f aca="false">IF(OR($H942="",$I942=""),"",$H942+MATCH($I942,Listas!$F$5:$F$11,0)-1)</f>
        <v/>
      </c>
      <c r="K942" s="37"/>
      <c r="L942" s="33"/>
      <c r="M942" s="37"/>
      <c r="N942" s="32"/>
      <c r="O942" s="32"/>
      <c r="P942" s="38" t="str">
        <f aca="true">IF($E942="","",IF($L942="Cancelada","Cancelada",IF(OR($K942&lt;&gt;"",$L942="Concluída"),IF(OR($J942="",$K942="",$K942&lt;=$J942),"Concluída","Concluída com atraso"),IF($J942="","Na carteira",IF($J942&lt;TODAY(),"VENCIDA",IF($L942="Em execução","Em execução",IF($J942=TODAY(),"Hoje","Programada")))))))</f>
        <v/>
      </c>
      <c r="Q942" s="31" t="str">
        <f aca="false">IF($E942="","",IF(ISNUMBER(SEARCH("(externo)",$G942)),"Terceirizada","Interna"))</f>
        <v/>
      </c>
      <c r="R942" s="36" t="str">
        <f aca="false">IF($J942="","",IF($M942="",$J942,$M942))</f>
        <v/>
      </c>
      <c r="S942" s="31" t="str">
        <f aca="false">IF($E942="","",IF(OR($K942="",$J942=""),0,IF($K942&lt;=$J942,1,0)))</f>
        <v/>
      </c>
      <c r="T942" s="31" t="str">
        <f aca="false">IF($E942="","",IF(OR($K942="",$R942=""),0,IF($K942&lt;=$R942,1,0)))</f>
        <v/>
      </c>
      <c r="U942" s="38" t="str">
        <f aca="false">IF(OR($K942="",$J942=""),"",MAX(0,$K942-$J942))</f>
        <v/>
      </c>
      <c r="V942" s="31" t="str">
        <f aca="false">IF($E942="","",IF(AND($M942&lt;&gt;"",$J942&lt;&gt;"",$M942&lt;&gt;$J942),1,0))</f>
        <v/>
      </c>
      <c r="W942" s="39" t="str">
        <f aca="false">IF($E942="","",IF($L942="Cancelada",0,IF(OR($K942&lt;&gt;"",$L942="Concluída"),1,0)))</f>
        <v/>
      </c>
    </row>
    <row r="943" customFormat="false" ht="15" hidden="false" customHeight="true" outlineLevel="0" collapsed="false">
      <c r="A943" s="31" t="str">
        <f aca="false">IF($E943="","",COUNTA($E$5:$E943))</f>
        <v/>
      </c>
      <c r="B943" s="32"/>
      <c r="C943" s="32"/>
      <c r="D943" s="32"/>
      <c r="E943" s="32"/>
      <c r="F943" s="33"/>
      <c r="G943" s="32"/>
      <c r="H943" s="34"/>
      <c r="I943" s="35"/>
      <c r="J943" s="36" t="str">
        <f aca="false">IF(OR($H943="",$I943=""),"",$H943+MATCH($I943,Listas!$F$5:$F$11,0)-1)</f>
        <v/>
      </c>
      <c r="K943" s="37"/>
      <c r="L943" s="33"/>
      <c r="M943" s="37"/>
      <c r="N943" s="32"/>
      <c r="O943" s="32"/>
      <c r="P943" s="38" t="str">
        <f aca="true">IF($E943="","",IF($L943="Cancelada","Cancelada",IF(OR($K943&lt;&gt;"",$L943="Concluída"),IF(OR($J943="",$K943="",$K943&lt;=$J943),"Concluída","Concluída com atraso"),IF($J943="","Na carteira",IF($J943&lt;TODAY(),"VENCIDA",IF($L943="Em execução","Em execução",IF($J943=TODAY(),"Hoje","Programada")))))))</f>
        <v/>
      </c>
      <c r="Q943" s="31" t="str">
        <f aca="false">IF($E943="","",IF(ISNUMBER(SEARCH("(externo)",$G943)),"Terceirizada","Interna"))</f>
        <v/>
      </c>
      <c r="R943" s="36" t="str">
        <f aca="false">IF($J943="","",IF($M943="",$J943,$M943))</f>
        <v/>
      </c>
      <c r="S943" s="31" t="str">
        <f aca="false">IF($E943="","",IF(OR($K943="",$J943=""),0,IF($K943&lt;=$J943,1,0)))</f>
        <v/>
      </c>
      <c r="T943" s="31" t="str">
        <f aca="false">IF($E943="","",IF(OR($K943="",$R943=""),0,IF($K943&lt;=$R943,1,0)))</f>
        <v/>
      </c>
      <c r="U943" s="38" t="str">
        <f aca="false">IF(OR($K943="",$J943=""),"",MAX(0,$K943-$J943))</f>
        <v/>
      </c>
      <c r="V943" s="31" t="str">
        <f aca="false">IF($E943="","",IF(AND($M943&lt;&gt;"",$J943&lt;&gt;"",$M943&lt;&gt;$J943),1,0))</f>
        <v/>
      </c>
      <c r="W943" s="39" t="str">
        <f aca="false">IF($E943="","",IF($L943="Cancelada",0,IF(OR($K943&lt;&gt;"",$L943="Concluída"),1,0)))</f>
        <v/>
      </c>
    </row>
    <row r="944" customFormat="false" ht="15" hidden="false" customHeight="true" outlineLevel="0" collapsed="false">
      <c r="A944" s="31" t="str">
        <f aca="false">IF($E944="","",COUNTA($E$5:$E944))</f>
        <v/>
      </c>
      <c r="B944" s="32"/>
      <c r="C944" s="32"/>
      <c r="D944" s="32"/>
      <c r="E944" s="32"/>
      <c r="F944" s="33"/>
      <c r="G944" s="32"/>
      <c r="H944" s="34"/>
      <c r="I944" s="35"/>
      <c r="J944" s="36" t="str">
        <f aca="false">IF(OR($H944="",$I944=""),"",$H944+MATCH($I944,Listas!$F$5:$F$11,0)-1)</f>
        <v/>
      </c>
      <c r="K944" s="37"/>
      <c r="L944" s="33"/>
      <c r="M944" s="37"/>
      <c r="N944" s="32"/>
      <c r="O944" s="32"/>
      <c r="P944" s="38" t="str">
        <f aca="true">IF($E944="","",IF($L944="Cancelada","Cancelada",IF(OR($K944&lt;&gt;"",$L944="Concluída"),IF(OR($J944="",$K944="",$K944&lt;=$J944),"Concluída","Concluída com atraso"),IF($J944="","Na carteira",IF($J944&lt;TODAY(),"VENCIDA",IF($L944="Em execução","Em execução",IF($J944=TODAY(),"Hoje","Programada")))))))</f>
        <v/>
      </c>
      <c r="Q944" s="31" t="str">
        <f aca="false">IF($E944="","",IF(ISNUMBER(SEARCH("(externo)",$G944)),"Terceirizada","Interna"))</f>
        <v/>
      </c>
      <c r="R944" s="36" t="str">
        <f aca="false">IF($J944="","",IF($M944="",$J944,$M944))</f>
        <v/>
      </c>
      <c r="S944" s="31" t="str">
        <f aca="false">IF($E944="","",IF(OR($K944="",$J944=""),0,IF($K944&lt;=$J944,1,0)))</f>
        <v/>
      </c>
      <c r="T944" s="31" t="str">
        <f aca="false">IF($E944="","",IF(OR($K944="",$R944=""),0,IF($K944&lt;=$R944,1,0)))</f>
        <v/>
      </c>
      <c r="U944" s="38" t="str">
        <f aca="false">IF(OR($K944="",$J944=""),"",MAX(0,$K944-$J944))</f>
        <v/>
      </c>
      <c r="V944" s="31" t="str">
        <f aca="false">IF($E944="","",IF(AND($M944&lt;&gt;"",$J944&lt;&gt;"",$M944&lt;&gt;$J944),1,0))</f>
        <v/>
      </c>
      <c r="W944" s="39" t="str">
        <f aca="false">IF($E944="","",IF($L944="Cancelada",0,IF(OR($K944&lt;&gt;"",$L944="Concluída"),1,0)))</f>
        <v/>
      </c>
    </row>
    <row r="945" customFormat="false" ht="15" hidden="false" customHeight="true" outlineLevel="0" collapsed="false">
      <c r="A945" s="31" t="str">
        <f aca="false">IF($E945="","",COUNTA($E$5:$E945))</f>
        <v/>
      </c>
      <c r="B945" s="32"/>
      <c r="C945" s="32"/>
      <c r="D945" s="32"/>
      <c r="E945" s="32"/>
      <c r="F945" s="33"/>
      <c r="G945" s="32"/>
      <c r="H945" s="34"/>
      <c r="I945" s="35"/>
      <c r="J945" s="36" t="str">
        <f aca="false">IF(OR($H945="",$I945=""),"",$H945+MATCH($I945,Listas!$F$5:$F$11,0)-1)</f>
        <v/>
      </c>
      <c r="K945" s="37"/>
      <c r="L945" s="33"/>
      <c r="M945" s="37"/>
      <c r="N945" s="32"/>
      <c r="O945" s="32"/>
      <c r="P945" s="38" t="str">
        <f aca="true">IF($E945="","",IF($L945="Cancelada","Cancelada",IF(OR($K945&lt;&gt;"",$L945="Concluída"),IF(OR($J945="",$K945="",$K945&lt;=$J945),"Concluída","Concluída com atraso"),IF($J945="","Na carteira",IF($J945&lt;TODAY(),"VENCIDA",IF($L945="Em execução","Em execução",IF($J945=TODAY(),"Hoje","Programada")))))))</f>
        <v/>
      </c>
      <c r="Q945" s="31" t="str">
        <f aca="false">IF($E945="","",IF(ISNUMBER(SEARCH("(externo)",$G945)),"Terceirizada","Interna"))</f>
        <v/>
      </c>
      <c r="R945" s="36" t="str">
        <f aca="false">IF($J945="","",IF($M945="",$J945,$M945))</f>
        <v/>
      </c>
      <c r="S945" s="31" t="str">
        <f aca="false">IF($E945="","",IF(OR($K945="",$J945=""),0,IF($K945&lt;=$J945,1,0)))</f>
        <v/>
      </c>
      <c r="T945" s="31" t="str">
        <f aca="false">IF($E945="","",IF(OR($K945="",$R945=""),0,IF($K945&lt;=$R945,1,0)))</f>
        <v/>
      </c>
      <c r="U945" s="38" t="str">
        <f aca="false">IF(OR($K945="",$J945=""),"",MAX(0,$K945-$J945))</f>
        <v/>
      </c>
      <c r="V945" s="31" t="str">
        <f aca="false">IF($E945="","",IF(AND($M945&lt;&gt;"",$J945&lt;&gt;"",$M945&lt;&gt;$J945),1,0))</f>
        <v/>
      </c>
      <c r="W945" s="39" t="str">
        <f aca="false">IF($E945="","",IF($L945="Cancelada",0,IF(OR($K945&lt;&gt;"",$L945="Concluída"),1,0)))</f>
        <v/>
      </c>
    </row>
    <row r="946" customFormat="false" ht="15" hidden="false" customHeight="true" outlineLevel="0" collapsed="false">
      <c r="A946" s="31" t="str">
        <f aca="false">IF($E946="","",COUNTA($E$5:$E946))</f>
        <v/>
      </c>
      <c r="B946" s="32"/>
      <c r="C946" s="32"/>
      <c r="D946" s="32"/>
      <c r="E946" s="32"/>
      <c r="F946" s="33"/>
      <c r="G946" s="32"/>
      <c r="H946" s="34"/>
      <c r="I946" s="35"/>
      <c r="J946" s="36" t="str">
        <f aca="false">IF(OR($H946="",$I946=""),"",$H946+MATCH($I946,Listas!$F$5:$F$11,0)-1)</f>
        <v/>
      </c>
      <c r="K946" s="37"/>
      <c r="L946" s="33"/>
      <c r="M946" s="37"/>
      <c r="N946" s="32"/>
      <c r="O946" s="32"/>
      <c r="P946" s="38" t="str">
        <f aca="true">IF($E946="","",IF($L946="Cancelada","Cancelada",IF(OR($K946&lt;&gt;"",$L946="Concluída"),IF(OR($J946="",$K946="",$K946&lt;=$J946),"Concluída","Concluída com atraso"),IF($J946="","Na carteira",IF($J946&lt;TODAY(),"VENCIDA",IF($L946="Em execução","Em execução",IF($J946=TODAY(),"Hoje","Programada")))))))</f>
        <v/>
      </c>
      <c r="Q946" s="31" t="str">
        <f aca="false">IF($E946="","",IF(ISNUMBER(SEARCH("(externo)",$G946)),"Terceirizada","Interna"))</f>
        <v/>
      </c>
      <c r="R946" s="36" t="str">
        <f aca="false">IF($J946="","",IF($M946="",$J946,$M946))</f>
        <v/>
      </c>
      <c r="S946" s="31" t="str">
        <f aca="false">IF($E946="","",IF(OR($K946="",$J946=""),0,IF($K946&lt;=$J946,1,0)))</f>
        <v/>
      </c>
      <c r="T946" s="31" t="str">
        <f aca="false">IF($E946="","",IF(OR($K946="",$R946=""),0,IF($K946&lt;=$R946,1,0)))</f>
        <v/>
      </c>
      <c r="U946" s="38" t="str">
        <f aca="false">IF(OR($K946="",$J946=""),"",MAX(0,$K946-$J946))</f>
        <v/>
      </c>
      <c r="V946" s="31" t="str">
        <f aca="false">IF($E946="","",IF(AND($M946&lt;&gt;"",$J946&lt;&gt;"",$M946&lt;&gt;$J946),1,0))</f>
        <v/>
      </c>
      <c r="W946" s="39" t="str">
        <f aca="false">IF($E946="","",IF($L946="Cancelada",0,IF(OR($K946&lt;&gt;"",$L946="Concluída"),1,0)))</f>
        <v/>
      </c>
    </row>
    <row r="947" customFormat="false" ht="15" hidden="false" customHeight="true" outlineLevel="0" collapsed="false">
      <c r="A947" s="31" t="str">
        <f aca="false">IF($E947="","",COUNTA($E$5:$E947))</f>
        <v/>
      </c>
      <c r="B947" s="32"/>
      <c r="C947" s="32"/>
      <c r="D947" s="32"/>
      <c r="E947" s="32"/>
      <c r="F947" s="33"/>
      <c r="G947" s="32"/>
      <c r="H947" s="34"/>
      <c r="I947" s="35"/>
      <c r="J947" s="36" t="str">
        <f aca="false">IF(OR($H947="",$I947=""),"",$H947+MATCH($I947,Listas!$F$5:$F$11,0)-1)</f>
        <v/>
      </c>
      <c r="K947" s="37"/>
      <c r="L947" s="33"/>
      <c r="M947" s="37"/>
      <c r="N947" s="32"/>
      <c r="O947" s="32"/>
      <c r="P947" s="38" t="str">
        <f aca="true">IF($E947="","",IF($L947="Cancelada","Cancelada",IF(OR($K947&lt;&gt;"",$L947="Concluída"),IF(OR($J947="",$K947="",$K947&lt;=$J947),"Concluída","Concluída com atraso"),IF($J947="","Na carteira",IF($J947&lt;TODAY(),"VENCIDA",IF($L947="Em execução","Em execução",IF($J947=TODAY(),"Hoje","Programada")))))))</f>
        <v/>
      </c>
      <c r="Q947" s="31" t="str">
        <f aca="false">IF($E947="","",IF(ISNUMBER(SEARCH("(externo)",$G947)),"Terceirizada","Interna"))</f>
        <v/>
      </c>
      <c r="R947" s="36" t="str">
        <f aca="false">IF($J947="","",IF($M947="",$J947,$M947))</f>
        <v/>
      </c>
      <c r="S947" s="31" t="str">
        <f aca="false">IF($E947="","",IF(OR($K947="",$J947=""),0,IF($K947&lt;=$J947,1,0)))</f>
        <v/>
      </c>
      <c r="T947" s="31" t="str">
        <f aca="false">IF($E947="","",IF(OR($K947="",$R947=""),0,IF($K947&lt;=$R947,1,0)))</f>
        <v/>
      </c>
      <c r="U947" s="38" t="str">
        <f aca="false">IF(OR($K947="",$J947=""),"",MAX(0,$K947-$J947))</f>
        <v/>
      </c>
      <c r="V947" s="31" t="str">
        <f aca="false">IF($E947="","",IF(AND($M947&lt;&gt;"",$J947&lt;&gt;"",$M947&lt;&gt;$J947),1,0))</f>
        <v/>
      </c>
      <c r="W947" s="39" t="str">
        <f aca="false">IF($E947="","",IF($L947="Cancelada",0,IF(OR($K947&lt;&gt;"",$L947="Concluída"),1,0)))</f>
        <v/>
      </c>
    </row>
    <row r="948" customFormat="false" ht="15" hidden="false" customHeight="true" outlineLevel="0" collapsed="false">
      <c r="A948" s="31" t="str">
        <f aca="false">IF($E948="","",COUNTA($E$5:$E948))</f>
        <v/>
      </c>
      <c r="B948" s="32"/>
      <c r="C948" s="32"/>
      <c r="D948" s="32"/>
      <c r="E948" s="32"/>
      <c r="F948" s="33"/>
      <c r="G948" s="32"/>
      <c r="H948" s="34"/>
      <c r="I948" s="35"/>
      <c r="J948" s="36" t="str">
        <f aca="false">IF(OR($H948="",$I948=""),"",$H948+MATCH($I948,Listas!$F$5:$F$11,0)-1)</f>
        <v/>
      </c>
      <c r="K948" s="37"/>
      <c r="L948" s="33"/>
      <c r="M948" s="37"/>
      <c r="N948" s="32"/>
      <c r="O948" s="32"/>
      <c r="P948" s="38" t="str">
        <f aca="true">IF($E948="","",IF($L948="Cancelada","Cancelada",IF(OR($K948&lt;&gt;"",$L948="Concluída"),IF(OR($J948="",$K948="",$K948&lt;=$J948),"Concluída","Concluída com atraso"),IF($J948="","Na carteira",IF($J948&lt;TODAY(),"VENCIDA",IF($L948="Em execução","Em execução",IF($J948=TODAY(),"Hoje","Programada")))))))</f>
        <v/>
      </c>
      <c r="Q948" s="31" t="str">
        <f aca="false">IF($E948="","",IF(ISNUMBER(SEARCH("(externo)",$G948)),"Terceirizada","Interna"))</f>
        <v/>
      </c>
      <c r="R948" s="36" t="str">
        <f aca="false">IF($J948="","",IF($M948="",$J948,$M948))</f>
        <v/>
      </c>
      <c r="S948" s="31" t="str">
        <f aca="false">IF($E948="","",IF(OR($K948="",$J948=""),0,IF($K948&lt;=$J948,1,0)))</f>
        <v/>
      </c>
      <c r="T948" s="31" t="str">
        <f aca="false">IF($E948="","",IF(OR($K948="",$R948=""),0,IF($K948&lt;=$R948,1,0)))</f>
        <v/>
      </c>
      <c r="U948" s="38" t="str">
        <f aca="false">IF(OR($K948="",$J948=""),"",MAX(0,$K948-$J948))</f>
        <v/>
      </c>
      <c r="V948" s="31" t="str">
        <f aca="false">IF($E948="","",IF(AND($M948&lt;&gt;"",$J948&lt;&gt;"",$M948&lt;&gt;$J948),1,0))</f>
        <v/>
      </c>
      <c r="W948" s="39" t="str">
        <f aca="false">IF($E948="","",IF($L948="Cancelada",0,IF(OR($K948&lt;&gt;"",$L948="Concluída"),1,0)))</f>
        <v/>
      </c>
    </row>
    <row r="949" customFormat="false" ht="15" hidden="false" customHeight="true" outlineLevel="0" collapsed="false">
      <c r="A949" s="31" t="str">
        <f aca="false">IF($E949="","",COUNTA($E$5:$E949))</f>
        <v/>
      </c>
      <c r="B949" s="32"/>
      <c r="C949" s="32"/>
      <c r="D949" s="32"/>
      <c r="E949" s="32"/>
      <c r="F949" s="33"/>
      <c r="G949" s="32"/>
      <c r="H949" s="34"/>
      <c r="I949" s="35"/>
      <c r="J949" s="36" t="str">
        <f aca="false">IF(OR($H949="",$I949=""),"",$H949+MATCH($I949,Listas!$F$5:$F$11,0)-1)</f>
        <v/>
      </c>
      <c r="K949" s="37"/>
      <c r="L949" s="33"/>
      <c r="M949" s="37"/>
      <c r="N949" s="32"/>
      <c r="O949" s="32"/>
      <c r="P949" s="38" t="str">
        <f aca="true">IF($E949="","",IF($L949="Cancelada","Cancelada",IF(OR($K949&lt;&gt;"",$L949="Concluída"),IF(OR($J949="",$K949="",$K949&lt;=$J949),"Concluída","Concluída com atraso"),IF($J949="","Na carteira",IF($J949&lt;TODAY(),"VENCIDA",IF($L949="Em execução","Em execução",IF($J949=TODAY(),"Hoje","Programada")))))))</f>
        <v/>
      </c>
      <c r="Q949" s="31" t="str">
        <f aca="false">IF($E949="","",IF(ISNUMBER(SEARCH("(externo)",$G949)),"Terceirizada","Interna"))</f>
        <v/>
      </c>
      <c r="R949" s="36" t="str">
        <f aca="false">IF($J949="","",IF($M949="",$J949,$M949))</f>
        <v/>
      </c>
      <c r="S949" s="31" t="str">
        <f aca="false">IF($E949="","",IF(OR($K949="",$J949=""),0,IF($K949&lt;=$J949,1,0)))</f>
        <v/>
      </c>
      <c r="T949" s="31" t="str">
        <f aca="false">IF($E949="","",IF(OR($K949="",$R949=""),0,IF($K949&lt;=$R949,1,0)))</f>
        <v/>
      </c>
      <c r="U949" s="38" t="str">
        <f aca="false">IF(OR($K949="",$J949=""),"",MAX(0,$K949-$J949))</f>
        <v/>
      </c>
      <c r="V949" s="31" t="str">
        <f aca="false">IF($E949="","",IF(AND($M949&lt;&gt;"",$J949&lt;&gt;"",$M949&lt;&gt;$J949),1,0))</f>
        <v/>
      </c>
      <c r="W949" s="39" t="str">
        <f aca="false">IF($E949="","",IF($L949="Cancelada",0,IF(OR($K949&lt;&gt;"",$L949="Concluída"),1,0)))</f>
        <v/>
      </c>
    </row>
    <row r="950" customFormat="false" ht="15" hidden="false" customHeight="true" outlineLevel="0" collapsed="false">
      <c r="A950" s="31" t="str">
        <f aca="false">IF($E950="","",COUNTA($E$5:$E950))</f>
        <v/>
      </c>
      <c r="B950" s="32"/>
      <c r="C950" s="32"/>
      <c r="D950" s="32"/>
      <c r="E950" s="32"/>
      <c r="F950" s="33"/>
      <c r="G950" s="32"/>
      <c r="H950" s="34"/>
      <c r="I950" s="35"/>
      <c r="J950" s="36" t="str">
        <f aca="false">IF(OR($H950="",$I950=""),"",$H950+MATCH($I950,Listas!$F$5:$F$11,0)-1)</f>
        <v/>
      </c>
      <c r="K950" s="37"/>
      <c r="L950" s="33"/>
      <c r="M950" s="37"/>
      <c r="N950" s="32"/>
      <c r="O950" s="32"/>
      <c r="P950" s="38" t="str">
        <f aca="true">IF($E950="","",IF($L950="Cancelada","Cancelada",IF(OR($K950&lt;&gt;"",$L950="Concluída"),IF(OR($J950="",$K950="",$K950&lt;=$J950),"Concluída","Concluída com atraso"),IF($J950="","Na carteira",IF($J950&lt;TODAY(),"VENCIDA",IF($L950="Em execução","Em execução",IF($J950=TODAY(),"Hoje","Programada")))))))</f>
        <v/>
      </c>
      <c r="Q950" s="31" t="str">
        <f aca="false">IF($E950="","",IF(ISNUMBER(SEARCH("(externo)",$G950)),"Terceirizada","Interna"))</f>
        <v/>
      </c>
      <c r="R950" s="36" t="str">
        <f aca="false">IF($J950="","",IF($M950="",$J950,$M950))</f>
        <v/>
      </c>
      <c r="S950" s="31" t="str">
        <f aca="false">IF($E950="","",IF(OR($K950="",$J950=""),0,IF($K950&lt;=$J950,1,0)))</f>
        <v/>
      </c>
      <c r="T950" s="31" t="str">
        <f aca="false">IF($E950="","",IF(OR($K950="",$R950=""),0,IF($K950&lt;=$R950,1,0)))</f>
        <v/>
      </c>
      <c r="U950" s="38" t="str">
        <f aca="false">IF(OR($K950="",$J950=""),"",MAX(0,$K950-$J950))</f>
        <v/>
      </c>
      <c r="V950" s="31" t="str">
        <f aca="false">IF($E950="","",IF(AND($M950&lt;&gt;"",$J950&lt;&gt;"",$M950&lt;&gt;$J950),1,0))</f>
        <v/>
      </c>
      <c r="W950" s="39" t="str">
        <f aca="false">IF($E950="","",IF($L950="Cancelada",0,IF(OR($K950&lt;&gt;"",$L950="Concluída"),1,0)))</f>
        <v/>
      </c>
    </row>
    <row r="951" customFormat="false" ht="15" hidden="false" customHeight="true" outlineLevel="0" collapsed="false">
      <c r="A951" s="31" t="str">
        <f aca="false">IF($E951="","",COUNTA($E$5:$E951))</f>
        <v/>
      </c>
      <c r="B951" s="32"/>
      <c r="C951" s="32"/>
      <c r="D951" s="32"/>
      <c r="E951" s="32"/>
      <c r="F951" s="33"/>
      <c r="G951" s="32"/>
      <c r="H951" s="34"/>
      <c r="I951" s="35"/>
      <c r="J951" s="36" t="str">
        <f aca="false">IF(OR($H951="",$I951=""),"",$H951+MATCH($I951,Listas!$F$5:$F$11,0)-1)</f>
        <v/>
      </c>
      <c r="K951" s="37"/>
      <c r="L951" s="33"/>
      <c r="M951" s="37"/>
      <c r="N951" s="32"/>
      <c r="O951" s="32"/>
      <c r="P951" s="38" t="str">
        <f aca="true">IF($E951="","",IF($L951="Cancelada","Cancelada",IF(OR($K951&lt;&gt;"",$L951="Concluída"),IF(OR($J951="",$K951="",$K951&lt;=$J951),"Concluída","Concluída com atraso"),IF($J951="","Na carteira",IF($J951&lt;TODAY(),"VENCIDA",IF($L951="Em execução","Em execução",IF($J951=TODAY(),"Hoje","Programada")))))))</f>
        <v/>
      </c>
      <c r="Q951" s="31" t="str">
        <f aca="false">IF($E951="","",IF(ISNUMBER(SEARCH("(externo)",$G951)),"Terceirizada","Interna"))</f>
        <v/>
      </c>
      <c r="R951" s="36" t="str">
        <f aca="false">IF($J951="","",IF($M951="",$J951,$M951))</f>
        <v/>
      </c>
      <c r="S951" s="31" t="str">
        <f aca="false">IF($E951="","",IF(OR($K951="",$J951=""),0,IF($K951&lt;=$J951,1,0)))</f>
        <v/>
      </c>
      <c r="T951" s="31" t="str">
        <f aca="false">IF($E951="","",IF(OR($K951="",$R951=""),0,IF($K951&lt;=$R951,1,0)))</f>
        <v/>
      </c>
      <c r="U951" s="38" t="str">
        <f aca="false">IF(OR($K951="",$J951=""),"",MAX(0,$K951-$J951))</f>
        <v/>
      </c>
      <c r="V951" s="31" t="str">
        <f aca="false">IF($E951="","",IF(AND($M951&lt;&gt;"",$J951&lt;&gt;"",$M951&lt;&gt;$J951),1,0))</f>
        <v/>
      </c>
      <c r="W951" s="39" t="str">
        <f aca="false">IF($E951="","",IF($L951="Cancelada",0,IF(OR($K951&lt;&gt;"",$L951="Concluída"),1,0)))</f>
        <v/>
      </c>
    </row>
    <row r="952" customFormat="false" ht="15" hidden="false" customHeight="true" outlineLevel="0" collapsed="false">
      <c r="A952" s="31" t="str">
        <f aca="false">IF($E952="","",COUNTA($E$5:$E952))</f>
        <v/>
      </c>
      <c r="B952" s="32"/>
      <c r="C952" s="32"/>
      <c r="D952" s="32"/>
      <c r="E952" s="32"/>
      <c r="F952" s="33"/>
      <c r="G952" s="32"/>
      <c r="H952" s="34"/>
      <c r="I952" s="35"/>
      <c r="J952" s="36" t="str">
        <f aca="false">IF(OR($H952="",$I952=""),"",$H952+MATCH($I952,Listas!$F$5:$F$11,0)-1)</f>
        <v/>
      </c>
      <c r="K952" s="37"/>
      <c r="L952" s="33"/>
      <c r="M952" s="37"/>
      <c r="N952" s="32"/>
      <c r="O952" s="32"/>
      <c r="P952" s="38" t="str">
        <f aca="true">IF($E952="","",IF($L952="Cancelada","Cancelada",IF(OR($K952&lt;&gt;"",$L952="Concluída"),IF(OR($J952="",$K952="",$K952&lt;=$J952),"Concluída","Concluída com atraso"),IF($J952="","Na carteira",IF($J952&lt;TODAY(),"VENCIDA",IF($L952="Em execução","Em execução",IF($J952=TODAY(),"Hoje","Programada")))))))</f>
        <v/>
      </c>
      <c r="Q952" s="31" t="str">
        <f aca="false">IF($E952="","",IF(ISNUMBER(SEARCH("(externo)",$G952)),"Terceirizada","Interna"))</f>
        <v/>
      </c>
      <c r="R952" s="36" t="str">
        <f aca="false">IF($J952="","",IF($M952="",$J952,$M952))</f>
        <v/>
      </c>
      <c r="S952" s="31" t="str">
        <f aca="false">IF($E952="","",IF(OR($K952="",$J952=""),0,IF($K952&lt;=$J952,1,0)))</f>
        <v/>
      </c>
      <c r="T952" s="31" t="str">
        <f aca="false">IF($E952="","",IF(OR($K952="",$R952=""),0,IF($K952&lt;=$R952,1,0)))</f>
        <v/>
      </c>
      <c r="U952" s="38" t="str">
        <f aca="false">IF(OR($K952="",$J952=""),"",MAX(0,$K952-$J952))</f>
        <v/>
      </c>
      <c r="V952" s="31" t="str">
        <f aca="false">IF($E952="","",IF(AND($M952&lt;&gt;"",$J952&lt;&gt;"",$M952&lt;&gt;$J952),1,0))</f>
        <v/>
      </c>
      <c r="W952" s="39" t="str">
        <f aca="false">IF($E952="","",IF($L952="Cancelada",0,IF(OR($K952&lt;&gt;"",$L952="Concluída"),1,0)))</f>
        <v/>
      </c>
    </row>
    <row r="953" customFormat="false" ht="15" hidden="false" customHeight="true" outlineLevel="0" collapsed="false">
      <c r="A953" s="31" t="str">
        <f aca="false">IF($E953="","",COUNTA($E$5:$E953))</f>
        <v/>
      </c>
      <c r="B953" s="32"/>
      <c r="C953" s="32"/>
      <c r="D953" s="32"/>
      <c r="E953" s="32"/>
      <c r="F953" s="33"/>
      <c r="G953" s="32"/>
      <c r="H953" s="34"/>
      <c r="I953" s="35"/>
      <c r="J953" s="36" t="str">
        <f aca="false">IF(OR($H953="",$I953=""),"",$H953+MATCH($I953,Listas!$F$5:$F$11,0)-1)</f>
        <v/>
      </c>
      <c r="K953" s="37"/>
      <c r="L953" s="33"/>
      <c r="M953" s="37"/>
      <c r="N953" s="32"/>
      <c r="O953" s="32"/>
      <c r="P953" s="38" t="str">
        <f aca="true">IF($E953="","",IF($L953="Cancelada","Cancelada",IF(OR($K953&lt;&gt;"",$L953="Concluída"),IF(OR($J953="",$K953="",$K953&lt;=$J953),"Concluída","Concluída com atraso"),IF($J953="","Na carteira",IF($J953&lt;TODAY(),"VENCIDA",IF($L953="Em execução","Em execução",IF($J953=TODAY(),"Hoje","Programada")))))))</f>
        <v/>
      </c>
      <c r="Q953" s="31" t="str">
        <f aca="false">IF($E953="","",IF(ISNUMBER(SEARCH("(externo)",$G953)),"Terceirizada","Interna"))</f>
        <v/>
      </c>
      <c r="R953" s="36" t="str">
        <f aca="false">IF($J953="","",IF($M953="",$J953,$M953))</f>
        <v/>
      </c>
      <c r="S953" s="31" t="str">
        <f aca="false">IF($E953="","",IF(OR($K953="",$J953=""),0,IF($K953&lt;=$J953,1,0)))</f>
        <v/>
      </c>
      <c r="T953" s="31" t="str">
        <f aca="false">IF($E953="","",IF(OR($K953="",$R953=""),0,IF($K953&lt;=$R953,1,0)))</f>
        <v/>
      </c>
      <c r="U953" s="38" t="str">
        <f aca="false">IF(OR($K953="",$J953=""),"",MAX(0,$K953-$J953))</f>
        <v/>
      </c>
      <c r="V953" s="31" t="str">
        <f aca="false">IF($E953="","",IF(AND($M953&lt;&gt;"",$J953&lt;&gt;"",$M953&lt;&gt;$J953),1,0))</f>
        <v/>
      </c>
      <c r="W953" s="39" t="str">
        <f aca="false">IF($E953="","",IF($L953="Cancelada",0,IF(OR($K953&lt;&gt;"",$L953="Concluída"),1,0)))</f>
        <v/>
      </c>
    </row>
    <row r="954" customFormat="false" ht="15" hidden="false" customHeight="true" outlineLevel="0" collapsed="false">
      <c r="A954" s="31" t="str">
        <f aca="false">IF($E954="","",COUNTA($E$5:$E954))</f>
        <v/>
      </c>
      <c r="B954" s="32"/>
      <c r="C954" s="32"/>
      <c r="D954" s="32"/>
      <c r="E954" s="32"/>
      <c r="F954" s="33"/>
      <c r="G954" s="32"/>
      <c r="H954" s="34"/>
      <c r="I954" s="35"/>
      <c r="J954" s="36" t="str">
        <f aca="false">IF(OR($H954="",$I954=""),"",$H954+MATCH($I954,Listas!$F$5:$F$11,0)-1)</f>
        <v/>
      </c>
      <c r="K954" s="37"/>
      <c r="L954" s="33"/>
      <c r="M954" s="37"/>
      <c r="N954" s="32"/>
      <c r="O954" s="32"/>
      <c r="P954" s="38" t="str">
        <f aca="true">IF($E954="","",IF($L954="Cancelada","Cancelada",IF(OR($K954&lt;&gt;"",$L954="Concluída"),IF(OR($J954="",$K954="",$K954&lt;=$J954),"Concluída","Concluída com atraso"),IF($J954="","Na carteira",IF($J954&lt;TODAY(),"VENCIDA",IF($L954="Em execução","Em execução",IF($J954=TODAY(),"Hoje","Programada")))))))</f>
        <v/>
      </c>
      <c r="Q954" s="31" t="str">
        <f aca="false">IF($E954="","",IF(ISNUMBER(SEARCH("(externo)",$G954)),"Terceirizada","Interna"))</f>
        <v/>
      </c>
      <c r="R954" s="36" t="str">
        <f aca="false">IF($J954="","",IF($M954="",$J954,$M954))</f>
        <v/>
      </c>
      <c r="S954" s="31" t="str">
        <f aca="false">IF($E954="","",IF(OR($K954="",$J954=""),0,IF($K954&lt;=$J954,1,0)))</f>
        <v/>
      </c>
      <c r="T954" s="31" t="str">
        <f aca="false">IF($E954="","",IF(OR($K954="",$R954=""),0,IF($K954&lt;=$R954,1,0)))</f>
        <v/>
      </c>
      <c r="U954" s="38" t="str">
        <f aca="false">IF(OR($K954="",$J954=""),"",MAX(0,$K954-$J954))</f>
        <v/>
      </c>
      <c r="V954" s="31" t="str">
        <f aca="false">IF($E954="","",IF(AND($M954&lt;&gt;"",$J954&lt;&gt;"",$M954&lt;&gt;$J954),1,0))</f>
        <v/>
      </c>
      <c r="W954" s="39" t="str">
        <f aca="false">IF($E954="","",IF($L954="Cancelada",0,IF(OR($K954&lt;&gt;"",$L954="Concluída"),1,0)))</f>
        <v/>
      </c>
    </row>
    <row r="955" customFormat="false" ht="15" hidden="false" customHeight="true" outlineLevel="0" collapsed="false">
      <c r="A955" s="31" t="str">
        <f aca="false">IF($E955="","",COUNTA($E$5:$E955))</f>
        <v/>
      </c>
      <c r="B955" s="32"/>
      <c r="C955" s="32"/>
      <c r="D955" s="32"/>
      <c r="E955" s="32"/>
      <c r="F955" s="33"/>
      <c r="G955" s="32"/>
      <c r="H955" s="34"/>
      <c r="I955" s="35"/>
      <c r="J955" s="36" t="str">
        <f aca="false">IF(OR($H955="",$I955=""),"",$H955+MATCH($I955,Listas!$F$5:$F$11,0)-1)</f>
        <v/>
      </c>
      <c r="K955" s="37"/>
      <c r="L955" s="33"/>
      <c r="M955" s="37"/>
      <c r="N955" s="32"/>
      <c r="O955" s="32"/>
      <c r="P955" s="38" t="str">
        <f aca="true">IF($E955="","",IF($L955="Cancelada","Cancelada",IF(OR($K955&lt;&gt;"",$L955="Concluída"),IF(OR($J955="",$K955="",$K955&lt;=$J955),"Concluída","Concluída com atraso"),IF($J955="","Na carteira",IF($J955&lt;TODAY(),"VENCIDA",IF($L955="Em execução","Em execução",IF($J955=TODAY(),"Hoje","Programada")))))))</f>
        <v/>
      </c>
      <c r="Q955" s="31" t="str">
        <f aca="false">IF($E955="","",IF(ISNUMBER(SEARCH("(externo)",$G955)),"Terceirizada","Interna"))</f>
        <v/>
      </c>
      <c r="R955" s="36" t="str">
        <f aca="false">IF($J955="","",IF($M955="",$J955,$M955))</f>
        <v/>
      </c>
      <c r="S955" s="31" t="str">
        <f aca="false">IF($E955="","",IF(OR($K955="",$J955=""),0,IF($K955&lt;=$J955,1,0)))</f>
        <v/>
      </c>
      <c r="T955" s="31" t="str">
        <f aca="false">IF($E955="","",IF(OR($K955="",$R955=""),0,IF($K955&lt;=$R955,1,0)))</f>
        <v/>
      </c>
      <c r="U955" s="38" t="str">
        <f aca="false">IF(OR($K955="",$J955=""),"",MAX(0,$K955-$J955))</f>
        <v/>
      </c>
      <c r="V955" s="31" t="str">
        <f aca="false">IF($E955="","",IF(AND($M955&lt;&gt;"",$J955&lt;&gt;"",$M955&lt;&gt;$J955),1,0))</f>
        <v/>
      </c>
      <c r="W955" s="39" t="str">
        <f aca="false">IF($E955="","",IF($L955="Cancelada",0,IF(OR($K955&lt;&gt;"",$L955="Concluída"),1,0)))</f>
        <v/>
      </c>
    </row>
    <row r="956" customFormat="false" ht="15" hidden="false" customHeight="true" outlineLevel="0" collapsed="false">
      <c r="A956" s="31" t="str">
        <f aca="false">IF($E956="","",COUNTA($E$5:$E956))</f>
        <v/>
      </c>
      <c r="B956" s="32"/>
      <c r="C956" s="32"/>
      <c r="D956" s="32"/>
      <c r="E956" s="32"/>
      <c r="F956" s="33"/>
      <c r="G956" s="32"/>
      <c r="H956" s="34"/>
      <c r="I956" s="35"/>
      <c r="J956" s="36" t="str">
        <f aca="false">IF(OR($H956="",$I956=""),"",$H956+MATCH($I956,Listas!$F$5:$F$11,0)-1)</f>
        <v/>
      </c>
      <c r="K956" s="37"/>
      <c r="L956" s="33"/>
      <c r="M956" s="37"/>
      <c r="N956" s="32"/>
      <c r="O956" s="32"/>
      <c r="P956" s="38" t="str">
        <f aca="true">IF($E956="","",IF($L956="Cancelada","Cancelada",IF(OR($K956&lt;&gt;"",$L956="Concluída"),IF(OR($J956="",$K956="",$K956&lt;=$J956),"Concluída","Concluída com atraso"),IF($J956="","Na carteira",IF($J956&lt;TODAY(),"VENCIDA",IF($L956="Em execução","Em execução",IF($J956=TODAY(),"Hoje","Programada")))))))</f>
        <v/>
      </c>
      <c r="Q956" s="31" t="str">
        <f aca="false">IF($E956="","",IF(ISNUMBER(SEARCH("(externo)",$G956)),"Terceirizada","Interna"))</f>
        <v/>
      </c>
      <c r="R956" s="36" t="str">
        <f aca="false">IF($J956="","",IF($M956="",$J956,$M956))</f>
        <v/>
      </c>
      <c r="S956" s="31" t="str">
        <f aca="false">IF($E956="","",IF(OR($K956="",$J956=""),0,IF($K956&lt;=$J956,1,0)))</f>
        <v/>
      </c>
      <c r="T956" s="31" t="str">
        <f aca="false">IF($E956="","",IF(OR($K956="",$R956=""),0,IF($K956&lt;=$R956,1,0)))</f>
        <v/>
      </c>
      <c r="U956" s="38" t="str">
        <f aca="false">IF(OR($K956="",$J956=""),"",MAX(0,$K956-$J956))</f>
        <v/>
      </c>
      <c r="V956" s="31" t="str">
        <f aca="false">IF($E956="","",IF(AND($M956&lt;&gt;"",$J956&lt;&gt;"",$M956&lt;&gt;$J956),1,0))</f>
        <v/>
      </c>
      <c r="W956" s="39" t="str">
        <f aca="false">IF($E956="","",IF($L956="Cancelada",0,IF(OR($K956&lt;&gt;"",$L956="Concluída"),1,0)))</f>
        <v/>
      </c>
    </row>
    <row r="957" customFormat="false" ht="15" hidden="false" customHeight="true" outlineLevel="0" collapsed="false">
      <c r="A957" s="31" t="str">
        <f aca="false">IF($E957="","",COUNTA($E$5:$E957))</f>
        <v/>
      </c>
      <c r="B957" s="32"/>
      <c r="C957" s="32"/>
      <c r="D957" s="32"/>
      <c r="E957" s="32"/>
      <c r="F957" s="33"/>
      <c r="G957" s="32"/>
      <c r="H957" s="34"/>
      <c r="I957" s="35"/>
      <c r="J957" s="36" t="str">
        <f aca="false">IF(OR($H957="",$I957=""),"",$H957+MATCH($I957,Listas!$F$5:$F$11,0)-1)</f>
        <v/>
      </c>
      <c r="K957" s="37"/>
      <c r="L957" s="33"/>
      <c r="M957" s="37"/>
      <c r="N957" s="32"/>
      <c r="O957" s="32"/>
      <c r="P957" s="38" t="str">
        <f aca="true">IF($E957="","",IF($L957="Cancelada","Cancelada",IF(OR($K957&lt;&gt;"",$L957="Concluída"),IF(OR($J957="",$K957="",$K957&lt;=$J957),"Concluída","Concluída com atraso"),IF($J957="","Na carteira",IF($J957&lt;TODAY(),"VENCIDA",IF($L957="Em execução","Em execução",IF($J957=TODAY(),"Hoje","Programada")))))))</f>
        <v/>
      </c>
      <c r="Q957" s="31" t="str">
        <f aca="false">IF($E957="","",IF(ISNUMBER(SEARCH("(externo)",$G957)),"Terceirizada","Interna"))</f>
        <v/>
      </c>
      <c r="R957" s="36" t="str">
        <f aca="false">IF($J957="","",IF($M957="",$J957,$M957))</f>
        <v/>
      </c>
      <c r="S957" s="31" t="str">
        <f aca="false">IF($E957="","",IF(OR($K957="",$J957=""),0,IF($K957&lt;=$J957,1,0)))</f>
        <v/>
      </c>
      <c r="T957" s="31" t="str">
        <f aca="false">IF($E957="","",IF(OR($K957="",$R957=""),0,IF($K957&lt;=$R957,1,0)))</f>
        <v/>
      </c>
      <c r="U957" s="38" t="str">
        <f aca="false">IF(OR($K957="",$J957=""),"",MAX(0,$K957-$J957))</f>
        <v/>
      </c>
      <c r="V957" s="31" t="str">
        <f aca="false">IF($E957="","",IF(AND($M957&lt;&gt;"",$J957&lt;&gt;"",$M957&lt;&gt;$J957),1,0))</f>
        <v/>
      </c>
      <c r="W957" s="39" t="str">
        <f aca="false">IF($E957="","",IF($L957="Cancelada",0,IF(OR($K957&lt;&gt;"",$L957="Concluída"),1,0)))</f>
        <v/>
      </c>
    </row>
    <row r="958" customFormat="false" ht="15" hidden="false" customHeight="true" outlineLevel="0" collapsed="false">
      <c r="A958" s="31" t="str">
        <f aca="false">IF($E958="","",COUNTA($E$5:$E958))</f>
        <v/>
      </c>
      <c r="B958" s="32"/>
      <c r="C958" s="32"/>
      <c r="D958" s="32"/>
      <c r="E958" s="32"/>
      <c r="F958" s="33"/>
      <c r="G958" s="32"/>
      <c r="H958" s="34"/>
      <c r="I958" s="35"/>
      <c r="J958" s="36" t="str">
        <f aca="false">IF(OR($H958="",$I958=""),"",$H958+MATCH($I958,Listas!$F$5:$F$11,0)-1)</f>
        <v/>
      </c>
      <c r="K958" s="37"/>
      <c r="L958" s="33"/>
      <c r="M958" s="37"/>
      <c r="N958" s="32"/>
      <c r="O958" s="32"/>
      <c r="P958" s="38" t="str">
        <f aca="true">IF($E958="","",IF($L958="Cancelada","Cancelada",IF(OR($K958&lt;&gt;"",$L958="Concluída"),IF(OR($J958="",$K958="",$K958&lt;=$J958),"Concluída","Concluída com atraso"),IF($J958="","Na carteira",IF($J958&lt;TODAY(),"VENCIDA",IF($L958="Em execução","Em execução",IF($J958=TODAY(),"Hoje","Programada")))))))</f>
        <v/>
      </c>
      <c r="Q958" s="31" t="str">
        <f aca="false">IF($E958="","",IF(ISNUMBER(SEARCH("(externo)",$G958)),"Terceirizada","Interna"))</f>
        <v/>
      </c>
      <c r="R958" s="36" t="str">
        <f aca="false">IF($J958="","",IF($M958="",$J958,$M958))</f>
        <v/>
      </c>
      <c r="S958" s="31" t="str">
        <f aca="false">IF($E958="","",IF(OR($K958="",$J958=""),0,IF($K958&lt;=$J958,1,0)))</f>
        <v/>
      </c>
      <c r="T958" s="31" t="str">
        <f aca="false">IF($E958="","",IF(OR($K958="",$R958=""),0,IF($K958&lt;=$R958,1,0)))</f>
        <v/>
      </c>
      <c r="U958" s="38" t="str">
        <f aca="false">IF(OR($K958="",$J958=""),"",MAX(0,$K958-$J958))</f>
        <v/>
      </c>
      <c r="V958" s="31" t="str">
        <f aca="false">IF($E958="","",IF(AND($M958&lt;&gt;"",$J958&lt;&gt;"",$M958&lt;&gt;$J958),1,0))</f>
        <v/>
      </c>
      <c r="W958" s="39" t="str">
        <f aca="false">IF($E958="","",IF($L958="Cancelada",0,IF(OR($K958&lt;&gt;"",$L958="Concluída"),1,0)))</f>
        <v/>
      </c>
    </row>
    <row r="959" customFormat="false" ht="15" hidden="false" customHeight="true" outlineLevel="0" collapsed="false">
      <c r="A959" s="31" t="str">
        <f aca="false">IF($E959="","",COUNTA($E$5:$E959))</f>
        <v/>
      </c>
      <c r="B959" s="32"/>
      <c r="C959" s="32"/>
      <c r="D959" s="32"/>
      <c r="E959" s="32"/>
      <c r="F959" s="33"/>
      <c r="G959" s="32"/>
      <c r="H959" s="34"/>
      <c r="I959" s="35"/>
      <c r="J959" s="36" t="str">
        <f aca="false">IF(OR($H959="",$I959=""),"",$H959+MATCH($I959,Listas!$F$5:$F$11,0)-1)</f>
        <v/>
      </c>
      <c r="K959" s="37"/>
      <c r="L959" s="33"/>
      <c r="M959" s="37"/>
      <c r="N959" s="32"/>
      <c r="O959" s="32"/>
      <c r="P959" s="38" t="str">
        <f aca="true">IF($E959="","",IF($L959="Cancelada","Cancelada",IF(OR($K959&lt;&gt;"",$L959="Concluída"),IF(OR($J959="",$K959="",$K959&lt;=$J959),"Concluída","Concluída com atraso"),IF($J959="","Na carteira",IF($J959&lt;TODAY(),"VENCIDA",IF($L959="Em execução","Em execução",IF($J959=TODAY(),"Hoje","Programada")))))))</f>
        <v/>
      </c>
      <c r="Q959" s="31" t="str">
        <f aca="false">IF($E959="","",IF(ISNUMBER(SEARCH("(externo)",$G959)),"Terceirizada","Interna"))</f>
        <v/>
      </c>
      <c r="R959" s="36" t="str">
        <f aca="false">IF($J959="","",IF($M959="",$J959,$M959))</f>
        <v/>
      </c>
      <c r="S959" s="31" t="str">
        <f aca="false">IF($E959="","",IF(OR($K959="",$J959=""),0,IF($K959&lt;=$J959,1,0)))</f>
        <v/>
      </c>
      <c r="T959" s="31" t="str">
        <f aca="false">IF($E959="","",IF(OR($K959="",$R959=""),0,IF($K959&lt;=$R959,1,0)))</f>
        <v/>
      </c>
      <c r="U959" s="38" t="str">
        <f aca="false">IF(OR($K959="",$J959=""),"",MAX(0,$K959-$J959))</f>
        <v/>
      </c>
      <c r="V959" s="31" t="str">
        <f aca="false">IF($E959="","",IF(AND($M959&lt;&gt;"",$J959&lt;&gt;"",$M959&lt;&gt;$J959),1,0))</f>
        <v/>
      </c>
      <c r="W959" s="39" t="str">
        <f aca="false">IF($E959="","",IF($L959="Cancelada",0,IF(OR($K959&lt;&gt;"",$L959="Concluída"),1,0)))</f>
        <v/>
      </c>
    </row>
    <row r="960" customFormat="false" ht="15" hidden="false" customHeight="true" outlineLevel="0" collapsed="false">
      <c r="A960" s="31" t="str">
        <f aca="false">IF($E960="","",COUNTA($E$5:$E960))</f>
        <v/>
      </c>
      <c r="B960" s="32"/>
      <c r="C960" s="32"/>
      <c r="D960" s="32"/>
      <c r="E960" s="32"/>
      <c r="F960" s="33"/>
      <c r="G960" s="32"/>
      <c r="H960" s="34"/>
      <c r="I960" s="35"/>
      <c r="J960" s="36" t="str">
        <f aca="false">IF(OR($H960="",$I960=""),"",$H960+MATCH($I960,Listas!$F$5:$F$11,0)-1)</f>
        <v/>
      </c>
      <c r="K960" s="37"/>
      <c r="L960" s="33"/>
      <c r="M960" s="37"/>
      <c r="N960" s="32"/>
      <c r="O960" s="32"/>
      <c r="P960" s="38" t="str">
        <f aca="true">IF($E960="","",IF($L960="Cancelada","Cancelada",IF(OR($K960&lt;&gt;"",$L960="Concluída"),IF(OR($J960="",$K960="",$K960&lt;=$J960),"Concluída","Concluída com atraso"),IF($J960="","Na carteira",IF($J960&lt;TODAY(),"VENCIDA",IF($L960="Em execução","Em execução",IF($J960=TODAY(),"Hoje","Programada")))))))</f>
        <v/>
      </c>
      <c r="Q960" s="31" t="str">
        <f aca="false">IF($E960="","",IF(ISNUMBER(SEARCH("(externo)",$G960)),"Terceirizada","Interna"))</f>
        <v/>
      </c>
      <c r="R960" s="36" t="str">
        <f aca="false">IF($J960="","",IF($M960="",$J960,$M960))</f>
        <v/>
      </c>
      <c r="S960" s="31" t="str">
        <f aca="false">IF($E960="","",IF(OR($K960="",$J960=""),0,IF($K960&lt;=$J960,1,0)))</f>
        <v/>
      </c>
      <c r="T960" s="31" t="str">
        <f aca="false">IF($E960="","",IF(OR($K960="",$R960=""),0,IF($K960&lt;=$R960,1,0)))</f>
        <v/>
      </c>
      <c r="U960" s="38" t="str">
        <f aca="false">IF(OR($K960="",$J960=""),"",MAX(0,$K960-$J960))</f>
        <v/>
      </c>
      <c r="V960" s="31" t="str">
        <f aca="false">IF($E960="","",IF(AND($M960&lt;&gt;"",$J960&lt;&gt;"",$M960&lt;&gt;$J960),1,0))</f>
        <v/>
      </c>
      <c r="W960" s="39" t="str">
        <f aca="false">IF($E960="","",IF($L960="Cancelada",0,IF(OR($K960&lt;&gt;"",$L960="Concluída"),1,0)))</f>
        <v/>
      </c>
    </row>
    <row r="961" customFormat="false" ht="15" hidden="false" customHeight="true" outlineLevel="0" collapsed="false">
      <c r="A961" s="31" t="str">
        <f aca="false">IF($E961="","",COUNTA($E$5:$E961))</f>
        <v/>
      </c>
      <c r="B961" s="32"/>
      <c r="C961" s="32"/>
      <c r="D961" s="32"/>
      <c r="E961" s="32"/>
      <c r="F961" s="33"/>
      <c r="G961" s="32"/>
      <c r="H961" s="34"/>
      <c r="I961" s="35"/>
      <c r="J961" s="36" t="str">
        <f aca="false">IF(OR($H961="",$I961=""),"",$H961+MATCH($I961,Listas!$F$5:$F$11,0)-1)</f>
        <v/>
      </c>
      <c r="K961" s="37"/>
      <c r="L961" s="33"/>
      <c r="M961" s="37"/>
      <c r="N961" s="32"/>
      <c r="O961" s="32"/>
      <c r="P961" s="38" t="str">
        <f aca="true">IF($E961="","",IF($L961="Cancelada","Cancelada",IF(OR($K961&lt;&gt;"",$L961="Concluída"),IF(OR($J961="",$K961="",$K961&lt;=$J961),"Concluída","Concluída com atraso"),IF($J961="","Na carteira",IF($J961&lt;TODAY(),"VENCIDA",IF($L961="Em execução","Em execução",IF($J961=TODAY(),"Hoje","Programada")))))))</f>
        <v/>
      </c>
      <c r="Q961" s="31" t="str">
        <f aca="false">IF($E961="","",IF(ISNUMBER(SEARCH("(externo)",$G961)),"Terceirizada","Interna"))</f>
        <v/>
      </c>
      <c r="R961" s="36" t="str">
        <f aca="false">IF($J961="","",IF($M961="",$J961,$M961))</f>
        <v/>
      </c>
      <c r="S961" s="31" t="str">
        <f aca="false">IF($E961="","",IF(OR($K961="",$J961=""),0,IF($K961&lt;=$J961,1,0)))</f>
        <v/>
      </c>
      <c r="T961" s="31" t="str">
        <f aca="false">IF($E961="","",IF(OR($K961="",$R961=""),0,IF($K961&lt;=$R961,1,0)))</f>
        <v/>
      </c>
      <c r="U961" s="38" t="str">
        <f aca="false">IF(OR($K961="",$J961=""),"",MAX(0,$K961-$J961))</f>
        <v/>
      </c>
      <c r="V961" s="31" t="str">
        <f aca="false">IF($E961="","",IF(AND($M961&lt;&gt;"",$J961&lt;&gt;"",$M961&lt;&gt;$J961),1,0))</f>
        <v/>
      </c>
      <c r="W961" s="39" t="str">
        <f aca="false">IF($E961="","",IF($L961="Cancelada",0,IF(OR($K961&lt;&gt;"",$L961="Concluída"),1,0)))</f>
        <v/>
      </c>
    </row>
    <row r="962" customFormat="false" ht="15" hidden="false" customHeight="true" outlineLevel="0" collapsed="false">
      <c r="A962" s="31" t="str">
        <f aca="false">IF($E962="","",COUNTA($E$5:$E962))</f>
        <v/>
      </c>
      <c r="B962" s="32"/>
      <c r="C962" s="32"/>
      <c r="D962" s="32"/>
      <c r="E962" s="32"/>
      <c r="F962" s="33"/>
      <c r="G962" s="32"/>
      <c r="H962" s="34"/>
      <c r="I962" s="35"/>
      <c r="J962" s="36" t="str">
        <f aca="false">IF(OR($H962="",$I962=""),"",$H962+MATCH($I962,Listas!$F$5:$F$11,0)-1)</f>
        <v/>
      </c>
      <c r="K962" s="37"/>
      <c r="L962" s="33"/>
      <c r="M962" s="37"/>
      <c r="N962" s="32"/>
      <c r="O962" s="32"/>
      <c r="P962" s="38" t="str">
        <f aca="true">IF($E962="","",IF($L962="Cancelada","Cancelada",IF(OR($K962&lt;&gt;"",$L962="Concluída"),IF(OR($J962="",$K962="",$K962&lt;=$J962),"Concluída","Concluída com atraso"),IF($J962="","Na carteira",IF($J962&lt;TODAY(),"VENCIDA",IF($L962="Em execução","Em execução",IF($J962=TODAY(),"Hoje","Programada")))))))</f>
        <v/>
      </c>
      <c r="Q962" s="31" t="str">
        <f aca="false">IF($E962="","",IF(ISNUMBER(SEARCH("(externo)",$G962)),"Terceirizada","Interna"))</f>
        <v/>
      </c>
      <c r="R962" s="36" t="str">
        <f aca="false">IF($J962="","",IF($M962="",$J962,$M962))</f>
        <v/>
      </c>
      <c r="S962" s="31" t="str">
        <f aca="false">IF($E962="","",IF(OR($K962="",$J962=""),0,IF($K962&lt;=$J962,1,0)))</f>
        <v/>
      </c>
      <c r="T962" s="31" t="str">
        <f aca="false">IF($E962="","",IF(OR($K962="",$R962=""),0,IF($K962&lt;=$R962,1,0)))</f>
        <v/>
      </c>
      <c r="U962" s="38" t="str">
        <f aca="false">IF(OR($K962="",$J962=""),"",MAX(0,$K962-$J962))</f>
        <v/>
      </c>
      <c r="V962" s="31" t="str">
        <f aca="false">IF($E962="","",IF(AND($M962&lt;&gt;"",$J962&lt;&gt;"",$M962&lt;&gt;$J962),1,0))</f>
        <v/>
      </c>
      <c r="W962" s="39" t="str">
        <f aca="false">IF($E962="","",IF($L962="Cancelada",0,IF(OR($K962&lt;&gt;"",$L962="Concluída"),1,0)))</f>
        <v/>
      </c>
    </row>
    <row r="963" customFormat="false" ht="15" hidden="false" customHeight="true" outlineLevel="0" collapsed="false">
      <c r="A963" s="31" t="str">
        <f aca="false">IF($E963="","",COUNTA($E$5:$E963))</f>
        <v/>
      </c>
      <c r="B963" s="32"/>
      <c r="C963" s="32"/>
      <c r="D963" s="32"/>
      <c r="E963" s="32"/>
      <c r="F963" s="33"/>
      <c r="G963" s="32"/>
      <c r="H963" s="34"/>
      <c r="I963" s="35"/>
      <c r="J963" s="36" t="str">
        <f aca="false">IF(OR($H963="",$I963=""),"",$H963+MATCH($I963,Listas!$F$5:$F$11,0)-1)</f>
        <v/>
      </c>
      <c r="K963" s="37"/>
      <c r="L963" s="33"/>
      <c r="M963" s="37"/>
      <c r="N963" s="32"/>
      <c r="O963" s="32"/>
      <c r="P963" s="38" t="str">
        <f aca="true">IF($E963="","",IF($L963="Cancelada","Cancelada",IF(OR($K963&lt;&gt;"",$L963="Concluída"),IF(OR($J963="",$K963="",$K963&lt;=$J963),"Concluída","Concluída com atraso"),IF($J963="","Na carteira",IF($J963&lt;TODAY(),"VENCIDA",IF($L963="Em execução","Em execução",IF($J963=TODAY(),"Hoje","Programada")))))))</f>
        <v/>
      </c>
      <c r="Q963" s="31" t="str">
        <f aca="false">IF($E963="","",IF(ISNUMBER(SEARCH("(externo)",$G963)),"Terceirizada","Interna"))</f>
        <v/>
      </c>
      <c r="R963" s="36" t="str">
        <f aca="false">IF($J963="","",IF($M963="",$J963,$M963))</f>
        <v/>
      </c>
      <c r="S963" s="31" t="str">
        <f aca="false">IF($E963="","",IF(OR($K963="",$J963=""),0,IF($K963&lt;=$J963,1,0)))</f>
        <v/>
      </c>
      <c r="T963" s="31" t="str">
        <f aca="false">IF($E963="","",IF(OR($K963="",$R963=""),0,IF($K963&lt;=$R963,1,0)))</f>
        <v/>
      </c>
      <c r="U963" s="38" t="str">
        <f aca="false">IF(OR($K963="",$J963=""),"",MAX(0,$K963-$J963))</f>
        <v/>
      </c>
      <c r="V963" s="31" t="str">
        <f aca="false">IF($E963="","",IF(AND($M963&lt;&gt;"",$J963&lt;&gt;"",$M963&lt;&gt;$J963),1,0))</f>
        <v/>
      </c>
      <c r="W963" s="39" t="str">
        <f aca="false">IF($E963="","",IF($L963="Cancelada",0,IF(OR($K963&lt;&gt;"",$L963="Concluída"),1,0)))</f>
        <v/>
      </c>
    </row>
    <row r="964" customFormat="false" ht="15" hidden="false" customHeight="true" outlineLevel="0" collapsed="false">
      <c r="A964" s="31" t="str">
        <f aca="false">IF($E964="","",COUNTA($E$5:$E964))</f>
        <v/>
      </c>
      <c r="B964" s="32"/>
      <c r="C964" s="32"/>
      <c r="D964" s="32"/>
      <c r="E964" s="32"/>
      <c r="F964" s="33"/>
      <c r="G964" s="32"/>
      <c r="H964" s="34"/>
      <c r="I964" s="35"/>
      <c r="J964" s="36" t="str">
        <f aca="false">IF(OR($H964="",$I964=""),"",$H964+MATCH($I964,Listas!$F$5:$F$11,0)-1)</f>
        <v/>
      </c>
      <c r="K964" s="37"/>
      <c r="L964" s="33"/>
      <c r="M964" s="37"/>
      <c r="N964" s="32"/>
      <c r="O964" s="32"/>
      <c r="P964" s="38" t="str">
        <f aca="true">IF($E964="","",IF($L964="Cancelada","Cancelada",IF(OR($K964&lt;&gt;"",$L964="Concluída"),IF(OR($J964="",$K964="",$K964&lt;=$J964),"Concluída","Concluída com atraso"),IF($J964="","Na carteira",IF($J964&lt;TODAY(),"VENCIDA",IF($L964="Em execução","Em execução",IF($J964=TODAY(),"Hoje","Programada")))))))</f>
        <v/>
      </c>
      <c r="Q964" s="31" t="str">
        <f aca="false">IF($E964="","",IF(ISNUMBER(SEARCH("(externo)",$G964)),"Terceirizada","Interna"))</f>
        <v/>
      </c>
      <c r="R964" s="36" t="str">
        <f aca="false">IF($J964="","",IF($M964="",$J964,$M964))</f>
        <v/>
      </c>
      <c r="S964" s="31" t="str">
        <f aca="false">IF($E964="","",IF(OR($K964="",$J964=""),0,IF($K964&lt;=$J964,1,0)))</f>
        <v/>
      </c>
      <c r="T964" s="31" t="str">
        <f aca="false">IF($E964="","",IF(OR($K964="",$R964=""),0,IF($K964&lt;=$R964,1,0)))</f>
        <v/>
      </c>
      <c r="U964" s="38" t="str">
        <f aca="false">IF(OR($K964="",$J964=""),"",MAX(0,$K964-$J964))</f>
        <v/>
      </c>
      <c r="V964" s="31" t="str">
        <f aca="false">IF($E964="","",IF(AND($M964&lt;&gt;"",$J964&lt;&gt;"",$M964&lt;&gt;$J964),1,0))</f>
        <v/>
      </c>
      <c r="W964" s="39" t="str">
        <f aca="false">IF($E964="","",IF($L964="Cancelada",0,IF(OR($K964&lt;&gt;"",$L964="Concluída"),1,0)))</f>
        <v/>
      </c>
    </row>
    <row r="965" customFormat="false" ht="15" hidden="false" customHeight="true" outlineLevel="0" collapsed="false">
      <c r="A965" s="31" t="str">
        <f aca="false">IF($E965="","",COUNTA($E$5:$E965))</f>
        <v/>
      </c>
      <c r="B965" s="32"/>
      <c r="C965" s="32"/>
      <c r="D965" s="32"/>
      <c r="E965" s="32"/>
      <c r="F965" s="33"/>
      <c r="G965" s="32"/>
      <c r="H965" s="34"/>
      <c r="I965" s="35"/>
      <c r="J965" s="36" t="str">
        <f aca="false">IF(OR($H965="",$I965=""),"",$H965+MATCH($I965,Listas!$F$5:$F$11,0)-1)</f>
        <v/>
      </c>
      <c r="K965" s="37"/>
      <c r="L965" s="33"/>
      <c r="M965" s="37"/>
      <c r="N965" s="32"/>
      <c r="O965" s="32"/>
      <c r="P965" s="38" t="str">
        <f aca="true">IF($E965="","",IF($L965="Cancelada","Cancelada",IF(OR($K965&lt;&gt;"",$L965="Concluída"),IF(OR($J965="",$K965="",$K965&lt;=$J965),"Concluída","Concluída com atraso"),IF($J965="","Na carteira",IF($J965&lt;TODAY(),"VENCIDA",IF($L965="Em execução","Em execução",IF($J965=TODAY(),"Hoje","Programada")))))))</f>
        <v/>
      </c>
      <c r="Q965" s="31" t="str">
        <f aca="false">IF($E965="","",IF(ISNUMBER(SEARCH("(externo)",$G965)),"Terceirizada","Interna"))</f>
        <v/>
      </c>
      <c r="R965" s="36" t="str">
        <f aca="false">IF($J965="","",IF($M965="",$J965,$M965))</f>
        <v/>
      </c>
      <c r="S965" s="31" t="str">
        <f aca="false">IF($E965="","",IF(OR($K965="",$J965=""),0,IF($K965&lt;=$J965,1,0)))</f>
        <v/>
      </c>
      <c r="T965" s="31" t="str">
        <f aca="false">IF($E965="","",IF(OR($K965="",$R965=""),0,IF($K965&lt;=$R965,1,0)))</f>
        <v/>
      </c>
      <c r="U965" s="38" t="str">
        <f aca="false">IF(OR($K965="",$J965=""),"",MAX(0,$K965-$J965))</f>
        <v/>
      </c>
      <c r="V965" s="31" t="str">
        <f aca="false">IF($E965="","",IF(AND($M965&lt;&gt;"",$J965&lt;&gt;"",$M965&lt;&gt;$J965),1,0))</f>
        <v/>
      </c>
      <c r="W965" s="39" t="str">
        <f aca="false">IF($E965="","",IF($L965="Cancelada",0,IF(OR($K965&lt;&gt;"",$L965="Concluída"),1,0)))</f>
        <v/>
      </c>
    </row>
    <row r="966" customFormat="false" ht="15" hidden="false" customHeight="true" outlineLevel="0" collapsed="false">
      <c r="A966" s="31" t="str">
        <f aca="false">IF($E966="","",COUNTA($E$5:$E966))</f>
        <v/>
      </c>
      <c r="B966" s="32"/>
      <c r="C966" s="32"/>
      <c r="D966" s="32"/>
      <c r="E966" s="32"/>
      <c r="F966" s="33"/>
      <c r="G966" s="32"/>
      <c r="H966" s="34"/>
      <c r="I966" s="35"/>
      <c r="J966" s="36" t="str">
        <f aca="false">IF(OR($H966="",$I966=""),"",$H966+MATCH($I966,Listas!$F$5:$F$11,0)-1)</f>
        <v/>
      </c>
      <c r="K966" s="37"/>
      <c r="L966" s="33"/>
      <c r="M966" s="37"/>
      <c r="N966" s="32"/>
      <c r="O966" s="32"/>
      <c r="P966" s="38" t="str">
        <f aca="true">IF($E966="","",IF($L966="Cancelada","Cancelada",IF(OR($K966&lt;&gt;"",$L966="Concluída"),IF(OR($J966="",$K966="",$K966&lt;=$J966),"Concluída","Concluída com atraso"),IF($J966="","Na carteira",IF($J966&lt;TODAY(),"VENCIDA",IF($L966="Em execução","Em execução",IF($J966=TODAY(),"Hoje","Programada")))))))</f>
        <v/>
      </c>
      <c r="Q966" s="31" t="str">
        <f aca="false">IF($E966="","",IF(ISNUMBER(SEARCH("(externo)",$G966)),"Terceirizada","Interna"))</f>
        <v/>
      </c>
      <c r="R966" s="36" t="str">
        <f aca="false">IF($J966="","",IF($M966="",$J966,$M966))</f>
        <v/>
      </c>
      <c r="S966" s="31" t="str">
        <f aca="false">IF($E966="","",IF(OR($K966="",$J966=""),0,IF($K966&lt;=$J966,1,0)))</f>
        <v/>
      </c>
      <c r="T966" s="31" t="str">
        <f aca="false">IF($E966="","",IF(OR($K966="",$R966=""),0,IF($K966&lt;=$R966,1,0)))</f>
        <v/>
      </c>
      <c r="U966" s="38" t="str">
        <f aca="false">IF(OR($K966="",$J966=""),"",MAX(0,$K966-$J966))</f>
        <v/>
      </c>
      <c r="V966" s="31" t="str">
        <f aca="false">IF($E966="","",IF(AND($M966&lt;&gt;"",$J966&lt;&gt;"",$M966&lt;&gt;$J966),1,0))</f>
        <v/>
      </c>
      <c r="W966" s="39" t="str">
        <f aca="false">IF($E966="","",IF($L966="Cancelada",0,IF(OR($K966&lt;&gt;"",$L966="Concluída"),1,0)))</f>
        <v/>
      </c>
    </row>
    <row r="967" customFormat="false" ht="15" hidden="false" customHeight="true" outlineLevel="0" collapsed="false">
      <c r="A967" s="31" t="str">
        <f aca="false">IF($E967="","",COUNTA($E$5:$E967))</f>
        <v/>
      </c>
      <c r="B967" s="32"/>
      <c r="C967" s="32"/>
      <c r="D967" s="32"/>
      <c r="E967" s="32"/>
      <c r="F967" s="33"/>
      <c r="G967" s="32"/>
      <c r="H967" s="34"/>
      <c r="I967" s="35"/>
      <c r="J967" s="36" t="str">
        <f aca="false">IF(OR($H967="",$I967=""),"",$H967+MATCH($I967,Listas!$F$5:$F$11,0)-1)</f>
        <v/>
      </c>
      <c r="K967" s="37"/>
      <c r="L967" s="33"/>
      <c r="M967" s="37"/>
      <c r="N967" s="32"/>
      <c r="O967" s="32"/>
      <c r="P967" s="38" t="str">
        <f aca="true">IF($E967="","",IF($L967="Cancelada","Cancelada",IF(OR($K967&lt;&gt;"",$L967="Concluída"),IF(OR($J967="",$K967="",$K967&lt;=$J967),"Concluída","Concluída com atraso"),IF($J967="","Na carteira",IF($J967&lt;TODAY(),"VENCIDA",IF($L967="Em execução","Em execução",IF($J967=TODAY(),"Hoje","Programada")))))))</f>
        <v/>
      </c>
      <c r="Q967" s="31" t="str">
        <f aca="false">IF($E967="","",IF(ISNUMBER(SEARCH("(externo)",$G967)),"Terceirizada","Interna"))</f>
        <v/>
      </c>
      <c r="R967" s="36" t="str">
        <f aca="false">IF($J967="","",IF($M967="",$J967,$M967))</f>
        <v/>
      </c>
      <c r="S967" s="31" t="str">
        <f aca="false">IF($E967="","",IF(OR($K967="",$J967=""),0,IF($K967&lt;=$J967,1,0)))</f>
        <v/>
      </c>
      <c r="T967" s="31" t="str">
        <f aca="false">IF($E967="","",IF(OR($K967="",$R967=""),0,IF($K967&lt;=$R967,1,0)))</f>
        <v/>
      </c>
      <c r="U967" s="38" t="str">
        <f aca="false">IF(OR($K967="",$J967=""),"",MAX(0,$K967-$J967))</f>
        <v/>
      </c>
      <c r="V967" s="31" t="str">
        <f aca="false">IF($E967="","",IF(AND($M967&lt;&gt;"",$J967&lt;&gt;"",$M967&lt;&gt;$J967),1,0))</f>
        <v/>
      </c>
      <c r="W967" s="39" t="str">
        <f aca="false">IF($E967="","",IF($L967="Cancelada",0,IF(OR($K967&lt;&gt;"",$L967="Concluída"),1,0)))</f>
        <v/>
      </c>
    </row>
    <row r="968" customFormat="false" ht="15" hidden="false" customHeight="true" outlineLevel="0" collapsed="false">
      <c r="A968" s="31" t="str">
        <f aca="false">IF($E968="","",COUNTA($E$5:$E968))</f>
        <v/>
      </c>
      <c r="B968" s="32"/>
      <c r="C968" s="32"/>
      <c r="D968" s="32"/>
      <c r="E968" s="32"/>
      <c r="F968" s="33"/>
      <c r="G968" s="32"/>
      <c r="H968" s="34"/>
      <c r="I968" s="35"/>
      <c r="J968" s="36" t="str">
        <f aca="false">IF(OR($H968="",$I968=""),"",$H968+MATCH($I968,Listas!$F$5:$F$11,0)-1)</f>
        <v/>
      </c>
      <c r="K968" s="37"/>
      <c r="L968" s="33"/>
      <c r="M968" s="37"/>
      <c r="N968" s="32"/>
      <c r="O968" s="32"/>
      <c r="P968" s="38" t="str">
        <f aca="true">IF($E968="","",IF($L968="Cancelada","Cancelada",IF(OR($K968&lt;&gt;"",$L968="Concluída"),IF(OR($J968="",$K968="",$K968&lt;=$J968),"Concluída","Concluída com atraso"),IF($J968="","Na carteira",IF($J968&lt;TODAY(),"VENCIDA",IF($L968="Em execução","Em execução",IF($J968=TODAY(),"Hoje","Programada")))))))</f>
        <v/>
      </c>
      <c r="Q968" s="31" t="str">
        <f aca="false">IF($E968="","",IF(ISNUMBER(SEARCH("(externo)",$G968)),"Terceirizada","Interna"))</f>
        <v/>
      </c>
      <c r="R968" s="36" t="str">
        <f aca="false">IF($J968="","",IF($M968="",$J968,$M968))</f>
        <v/>
      </c>
      <c r="S968" s="31" t="str">
        <f aca="false">IF($E968="","",IF(OR($K968="",$J968=""),0,IF($K968&lt;=$J968,1,0)))</f>
        <v/>
      </c>
      <c r="T968" s="31" t="str">
        <f aca="false">IF($E968="","",IF(OR($K968="",$R968=""),0,IF($K968&lt;=$R968,1,0)))</f>
        <v/>
      </c>
      <c r="U968" s="38" t="str">
        <f aca="false">IF(OR($K968="",$J968=""),"",MAX(0,$K968-$J968))</f>
        <v/>
      </c>
      <c r="V968" s="31" t="str">
        <f aca="false">IF($E968="","",IF(AND($M968&lt;&gt;"",$J968&lt;&gt;"",$M968&lt;&gt;$J968),1,0))</f>
        <v/>
      </c>
      <c r="W968" s="39" t="str">
        <f aca="false">IF($E968="","",IF($L968="Cancelada",0,IF(OR($K968&lt;&gt;"",$L968="Concluída"),1,0)))</f>
        <v/>
      </c>
    </row>
    <row r="969" customFormat="false" ht="15" hidden="false" customHeight="true" outlineLevel="0" collapsed="false">
      <c r="A969" s="31" t="str">
        <f aca="false">IF($E969="","",COUNTA($E$5:$E969))</f>
        <v/>
      </c>
      <c r="B969" s="32"/>
      <c r="C969" s="32"/>
      <c r="D969" s="32"/>
      <c r="E969" s="32"/>
      <c r="F969" s="33"/>
      <c r="G969" s="32"/>
      <c r="H969" s="34"/>
      <c r="I969" s="35"/>
      <c r="J969" s="36" t="str">
        <f aca="false">IF(OR($H969="",$I969=""),"",$H969+MATCH($I969,Listas!$F$5:$F$11,0)-1)</f>
        <v/>
      </c>
      <c r="K969" s="37"/>
      <c r="L969" s="33"/>
      <c r="M969" s="37"/>
      <c r="N969" s="32"/>
      <c r="O969" s="32"/>
      <c r="P969" s="38" t="str">
        <f aca="true">IF($E969="","",IF($L969="Cancelada","Cancelada",IF(OR($K969&lt;&gt;"",$L969="Concluída"),IF(OR($J969="",$K969="",$K969&lt;=$J969),"Concluída","Concluída com atraso"),IF($J969="","Na carteira",IF($J969&lt;TODAY(),"VENCIDA",IF($L969="Em execução","Em execução",IF($J969=TODAY(),"Hoje","Programada")))))))</f>
        <v/>
      </c>
      <c r="Q969" s="31" t="str">
        <f aca="false">IF($E969="","",IF(ISNUMBER(SEARCH("(externo)",$G969)),"Terceirizada","Interna"))</f>
        <v/>
      </c>
      <c r="R969" s="36" t="str">
        <f aca="false">IF($J969="","",IF($M969="",$J969,$M969))</f>
        <v/>
      </c>
      <c r="S969" s="31" t="str">
        <f aca="false">IF($E969="","",IF(OR($K969="",$J969=""),0,IF($K969&lt;=$J969,1,0)))</f>
        <v/>
      </c>
      <c r="T969" s="31" t="str">
        <f aca="false">IF($E969="","",IF(OR($K969="",$R969=""),0,IF($K969&lt;=$R969,1,0)))</f>
        <v/>
      </c>
      <c r="U969" s="38" t="str">
        <f aca="false">IF(OR($K969="",$J969=""),"",MAX(0,$K969-$J969))</f>
        <v/>
      </c>
      <c r="V969" s="31" t="str">
        <f aca="false">IF($E969="","",IF(AND($M969&lt;&gt;"",$J969&lt;&gt;"",$M969&lt;&gt;$J969),1,0))</f>
        <v/>
      </c>
      <c r="W969" s="39" t="str">
        <f aca="false">IF($E969="","",IF($L969="Cancelada",0,IF(OR($K969&lt;&gt;"",$L969="Concluída"),1,0)))</f>
        <v/>
      </c>
    </row>
    <row r="970" customFormat="false" ht="15" hidden="false" customHeight="true" outlineLevel="0" collapsed="false">
      <c r="A970" s="31" t="str">
        <f aca="false">IF($E970="","",COUNTA($E$5:$E970))</f>
        <v/>
      </c>
      <c r="B970" s="32"/>
      <c r="C970" s="32"/>
      <c r="D970" s="32"/>
      <c r="E970" s="32"/>
      <c r="F970" s="33"/>
      <c r="G970" s="32"/>
      <c r="H970" s="34"/>
      <c r="I970" s="35"/>
      <c r="J970" s="36" t="str">
        <f aca="false">IF(OR($H970="",$I970=""),"",$H970+MATCH($I970,Listas!$F$5:$F$11,0)-1)</f>
        <v/>
      </c>
      <c r="K970" s="37"/>
      <c r="L970" s="33"/>
      <c r="M970" s="37"/>
      <c r="N970" s="32"/>
      <c r="O970" s="32"/>
      <c r="P970" s="38" t="str">
        <f aca="true">IF($E970="","",IF($L970="Cancelada","Cancelada",IF(OR($K970&lt;&gt;"",$L970="Concluída"),IF(OR($J970="",$K970="",$K970&lt;=$J970),"Concluída","Concluída com atraso"),IF($J970="","Na carteira",IF($J970&lt;TODAY(),"VENCIDA",IF($L970="Em execução","Em execução",IF($J970=TODAY(),"Hoje","Programada")))))))</f>
        <v/>
      </c>
      <c r="Q970" s="31" t="str">
        <f aca="false">IF($E970="","",IF(ISNUMBER(SEARCH("(externo)",$G970)),"Terceirizada","Interna"))</f>
        <v/>
      </c>
      <c r="R970" s="36" t="str">
        <f aca="false">IF($J970="","",IF($M970="",$J970,$M970))</f>
        <v/>
      </c>
      <c r="S970" s="31" t="str">
        <f aca="false">IF($E970="","",IF(OR($K970="",$J970=""),0,IF($K970&lt;=$J970,1,0)))</f>
        <v/>
      </c>
      <c r="T970" s="31" t="str">
        <f aca="false">IF($E970="","",IF(OR($K970="",$R970=""),0,IF($K970&lt;=$R970,1,0)))</f>
        <v/>
      </c>
      <c r="U970" s="38" t="str">
        <f aca="false">IF(OR($K970="",$J970=""),"",MAX(0,$K970-$J970))</f>
        <v/>
      </c>
      <c r="V970" s="31" t="str">
        <f aca="false">IF($E970="","",IF(AND($M970&lt;&gt;"",$J970&lt;&gt;"",$M970&lt;&gt;$J970),1,0))</f>
        <v/>
      </c>
      <c r="W970" s="39" t="str">
        <f aca="false">IF($E970="","",IF($L970="Cancelada",0,IF(OR($K970&lt;&gt;"",$L970="Concluída"),1,0)))</f>
        <v/>
      </c>
    </row>
    <row r="971" customFormat="false" ht="15" hidden="false" customHeight="true" outlineLevel="0" collapsed="false">
      <c r="A971" s="31" t="str">
        <f aca="false">IF($E971="","",COUNTA($E$5:$E971))</f>
        <v/>
      </c>
      <c r="B971" s="32"/>
      <c r="C971" s="32"/>
      <c r="D971" s="32"/>
      <c r="E971" s="32"/>
      <c r="F971" s="33"/>
      <c r="G971" s="32"/>
      <c r="H971" s="34"/>
      <c r="I971" s="35"/>
      <c r="J971" s="36" t="str">
        <f aca="false">IF(OR($H971="",$I971=""),"",$H971+MATCH($I971,Listas!$F$5:$F$11,0)-1)</f>
        <v/>
      </c>
      <c r="K971" s="37"/>
      <c r="L971" s="33"/>
      <c r="M971" s="37"/>
      <c r="N971" s="32"/>
      <c r="O971" s="32"/>
      <c r="P971" s="38" t="str">
        <f aca="true">IF($E971="","",IF($L971="Cancelada","Cancelada",IF(OR($K971&lt;&gt;"",$L971="Concluída"),IF(OR($J971="",$K971="",$K971&lt;=$J971),"Concluída","Concluída com atraso"),IF($J971="","Na carteira",IF($J971&lt;TODAY(),"VENCIDA",IF($L971="Em execução","Em execução",IF($J971=TODAY(),"Hoje","Programada")))))))</f>
        <v/>
      </c>
      <c r="Q971" s="31" t="str">
        <f aca="false">IF($E971="","",IF(ISNUMBER(SEARCH("(externo)",$G971)),"Terceirizada","Interna"))</f>
        <v/>
      </c>
      <c r="R971" s="36" t="str">
        <f aca="false">IF($J971="","",IF($M971="",$J971,$M971))</f>
        <v/>
      </c>
      <c r="S971" s="31" t="str">
        <f aca="false">IF($E971="","",IF(OR($K971="",$J971=""),0,IF($K971&lt;=$J971,1,0)))</f>
        <v/>
      </c>
      <c r="T971" s="31" t="str">
        <f aca="false">IF($E971="","",IF(OR($K971="",$R971=""),0,IF($K971&lt;=$R971,1,0)))</f>
        <v/>
      </c>
      <c r="U971" s="38" t="str">
        <f aca="false">IF(OR($K971="",$J971=""),"",MAX(0,$K971-$J971))</f>
        <v/>
      </c>
      <c r="V971" s="31" t="str">
        <f aca="false">IF($E971="","",IF(AND($M971&lt;&gt;"",$J971&lt;&gt;"",$M971&lt;&gt;$J971),1,0))</f>
        <v/>
      </c>
      <c r="W971" s="39" t="str">
        <f aca="false">IF($E971="","",IF($L971="Cancelada",0,IF(OR($K971&lt;&gt;"",$L971="Concluída"),1,0)))</f>
        <v/>
      </c>
    </row>
    <row r="972" customFormat="false" ht="15" hidden="false" customHeight="true" outlineLevel="0" collapsed="false">
      <c r="A972" s="31" t="str">
        <f aca="false">IF($E972="","",COUNTA($E$5:$E972))</f>
        <v/>
      </c>
      <c r="B972" s="32"/>
      <c r="C972" s="32"/>
      <c r="D972" s="32"/>
      <c r="E972" s="32"/>
      <c r="F972" s="33"/>
      <c r="G972" s="32"/>
      <c r="H972" s="34"/>
      <c r="I972" s="35"/>
      <c r="J972" s="36" t="str">
        <f aca="false">IF(OR($H972="",$I972=""),"",$H972+MATCH($I972,Listas!$F$5:$F$11,0)-1)</f>
        <v/>
      </c>
      <c r="K972" s="37"/>
      <c r="L972" s="33"/>
      <c r="M972" s="37"/>
      <c r="N972" s="32"/>
      <c r="O972" s="32"/>
      <c r="P972" s="38" t="str">
        <f aca="true">IF($E972="","",IF($L972="Cancelada","Cancelada",IF(OR($K972&lt;&gt;"",$L972="Concluída"),IF(OR($J972="",$K972="",$K972&lt;=$J972),"Concluída","Concluída com atraso"),IF($J972="","Na carteira",IF($J972&lt;TODAY(),"VENCIDA",IF($L972="Em execução","Em execução",IF($J972=TODAY(),"Hoje","Programada")))))))</f>
        <v/>
      </c>
      <c r="Q972" s="31" t="str">
        <f aca="false">IF($E972="","",IF(ISNUMBER(SEARCH("(externo)",$G972)),"Terceirizada","Interna"))</f>
        <v/>
      </c>
      <c r="R972" s="36" t="str">
        <f aca="false">IF($J972="","",IF($M972="",$J972,$M972))</f>
        <v/>
      </c>
      <c r="S972" s="31" t="str">
        <f aca="false">IF($E972="","",IF(OR($K972="",$J972=""),0,IF($K972&lt;=$J972,1,0)))</f>
        <v/>
      </c>
      <c r="T972" s="31" t="str">
        <f aca="false">IF($E972="","",IF(OR($K972="",$R972=""),0,IF($K972&lt;=$R972,1,0)))</f>
        <v/>
      </c>
      <c r="U972" s="38" t="str">
        <f aca="false">IF(OR($K972="",$J972=""),"",MAX(0,$K972-$J972))</f>
        <v/>
      </c>
      <c r="V972" s="31" t="str">
        <f aca="false">IF($E972="","",IF(AND($M972&lt;&gt;"",$J972&lt;&gt;"",$M972&lt;&gt;$J972),1,0))</f>
        <v/>
      </c>
      <c r="W972" s="39" t="str">
        <f aca="false">IF($E972="","",IF($L972="Cancelada",0,IF(OR($K972&lt;&gt;"",$L972="Concluída"),1,0)))</f>
        <v/>
      </c>
    </row>
    <row r="973" customFormat="false" ht="15" hidden="false" customHeight="true" outlineLevel="0" collapsed="false">
      <c r="A973" s="31" t="str">
        <f aca="false">IF($E973="","",COUNTA($E$5:$E973))</f>
        <v/>
      </c>
      <c r="B973" s="32"/>
      <c r="C973" s="32"/>
      <c r="D973" s="32"/>
      <c r="E973" s="32"/>
      <c r="F973" s="33"/>
      <c r="G973" s="32"/>
      <c r="H973" s="34"/>
      <c r="I973" s="35"/>
      <c r="J973" s="36" t="str">
        <f aca="false">IF(OR($H973="",$I973=""),"",$H973+MATCH($I973,Listas!$F$5:$F$11,0)-1)</f>
        <v/>
      </c>
      <c r="K973" s="37"/>
      <c r="L973" s="33"/>
      <c r="M973" s="37"/>
      <c r="N973" s="32"/>
      <c r="O973" s="32"/>
      <c r="P973" s="38" t="str">
        <f aca="true">IF($E973="","",IF($L973="Cancelada","Cancelada",IF(OR($K973&lt;&gt;"",$L973="Concluída"),IF(OR($J973="",$K973="",$K973&lt;=$J973),"Concluída","Concluída com atraso"),IF($J973="","Na carteira",IF($J973&lt;TODAY(),"VENCIDA",IF($L973="Em execução","Em execução",IF($J973=TODAY(),"Hoje","Programada")))))))</f>
        <v/>
      </c>
      <c r="Q973" s="31" t="str">
        <f aca="false">IF($E973="","",IF(ISNUMBER(SEARCH("(externo)",$G973)),"Terceirizada","Interna"))</f>
        <v/>
      </c>
      <c r="R973" s="36" t="str">
        <f aca="false">IF($J973="","",IF($M973="",$J973,$M973))</f>
        <v/>
      </c>
      <c r="S973" s="31" t="str">
        <f aca="false">IF($E973="","",IF(OR($K973="",$J973=""),0,IF($K973&lt;=$J973,1,0)))</f>
        <v/>
      </c>
      <c r="T973" s="31" t="str">
        <f aca="false">IF($E973="","",IF(OR($K973="",$R973=""),0,IF($K973&lt;=$R973,1,0)))</f>
        <v/>
      </c>
      <c r="U973" s="38" t="str">
        <f aca="false">IF(OR($K973="",$J973=""),"",MAX(0,$K973-$J973))</f>
        <v/>
      </c>
      <c r="V973" s="31" t="str">
        <f aca="false">IF($E973="","",IF(AND($M973&lt;&gt;"",$J973&lt;&gt;"",$M973&lt;&gt;$J973),1,0))</f>
        <v/>
      </c>
      <c r="W973" s="39" t="str">
        <f aca="false">IF($E973="","",IF($L973="Cancelada",0,IF(OR($K973&lt;&gt;"",$L973="Concluída"),1,0)))</f>
        <v/>
      </c>
    </row>
    <row r="974" customFormat="false" ht="15" hidden="false" customHeight="true" outlineLevel="0" collapsed="false">
      <c r="A974" s="31" t="str">
        <f aca="false">IF($E974="","",COUNTA($E$5:$E974))</f>
        <v/>
      </c>
      <c r="B974" s="32"/>
      <c r="C974" s="32"/>
      <c r="D974" s="32"/>
      <c r="E974" s="32"/>
      <c r="F974" s="33"/>
      <c r="G974" s="32"/>
      <c r="H974" s="34"/>
      <c r="I974" s="35"/>
      <c r="J974" s="36" t="str">
        <f aca="false">IF(OR($H974="",$I974=""),"",$H974+MATCH($I974,Listas!$F$5:$F$11,0)-1)</f>
        <v/>
      </c>
      <c r="K974" s="37"/>
      <c r="L974" s="33"/>
      <c r="M974" s="37"/>
      <c r="N974" s="32"/>
      <c r="O974" s="32"/>
      <c r="P974" s="38" t="str">
        <f aca="true">IF($E974="","",IF($L974="Cancelada","Cancelada",IF(OR($K974&lt;&gt;"",$L974="Concluída"),IF(OR($J974="",$K974="",$K974&lt;=$J974),"Concluída","Concluída com atraso"),IF($J974="","Na carteira",IF($J974&lt;TODAY(),"VENCIDA",IF($L974="Em execução","Em execução",IF($J974=TODAY(),"Hoje","Programada")))))))</f>
        <v/>
      </c>
      <c r="Q974" s="31" t="str">
        <f aca="false">IF($E974="","",IF(ISNUMBER(SEARCH("(externo)",$G974)),"Terceirizada","Interna"))</f>
        <v/>
      </c>
      <c r="R974" s="36" t="str">
        <f aca="false">IF($J974="","",IF($M974="",$J974,$M974))</f>
        <v/>
      </c>
      <c r="S974" s="31" t="str">
        <f aca="false">IF($E974="","",IF(OR($K974="",$J974=""),0,IF($K974&lt;=$J974,1,0)))</f>
        <v/>
      </c>
      <c r="T974" s="31" t="str">
        <f aca="false">IF($E974="","",IF(OR($K974="",$R974=""),0,IF($K974&lt;=$R974,1,0)))</f>
        <v/>
      </c>
      <c r="U974" s="38" t="str">
        <f aca="false">IF(OR($K974="",$J974=""),"",MAX(0,$K974-$J974))</f>
        <v/>
      </c>
      <c r="V974" s="31" t="str">
        <f aca="false">IF($E974="","",IF(AND($M974&lt;&gt;"",$J974&lt;&gt;"",$M974&lt;&gt;$J974),1,0))</f>
        <v/>
      </c>
      <c r="W974" s="39" t="str">
        <f aca="false">IF($E974="","",IF($L974="Cancelada",0,IF(OR($K974&lt;&gt;"",$L974="Concluída"),1,0)))</f>
        <v/>
      </c>
    </row>
    <row r="975" customFormat="false" ht="15" hidden="false" customHeight="true" outlineLevel="0" collapsed="false">
      <c r="A975" s="31" t="str">
        <f aca="false">IF($E975="","",COUNTA($E$5:$E975))</f>
        <v/>
      </c>
      <c r="B975" s="32"/>
      <c r="C975" s="32"/>
      <c r="D975" s="32"/>
      <c r="E975" s="32"/>
      <c r="F975" s="33"/>
      <c r="G975" s="32"/>
      <c r="H975" s="34"/>
      <c r="I975" s="35"/>
      <c r="J975" s="36" t="str">
        <f aca="false">IF(OR($H975="",$I975=""),"",$H975+MATCH($I975,Listas!$F$5:$F$11,0)-1)</f>
        <v/>
      </c>
      <c r="K975" s="37"/>
      <c r="L975" s="33"/>
      <c r="M975" s="37"/>
      <c r="N975" s="32"/>
      <c r="O975" s="32"/>
      <c r="P975" s="38" t="str">
        <f aca="true">IF($E975="","",IF($L975="Cancelada","Cancelada",IF(OR($K975&lt;&gt;"",$L975="Concluída"),IF(OR($J975="",$K975="",$K975&lt;=$J975),"Concluída","Concluída com atraso"),IF($J975="","Na carteira",IF($J975&lt;TODAY(),"VENCIDA",IF($L975="Em execução","Em execução",IF($J975=TODAY(),"Hoje","Programada")))))))</f>
        <v/>
      </c>
      <c r="Q975" s="31" t="str">
        <f aca="false">IF($E975="","",IF(ISNUMBER(SEARCH("(externo)",$G975)),"Terceirizada","Interna"))</f>
        <v/>
      </c>
      <c r="R975" s="36" t="str">
        <f aca="false">IF($J975="","",IF($M975="",$J975,$M975))</f>
        <v/>
      </c>
      <c r="S975" s="31" t="str">
        <f aca="false">IF($E975="","",IF(OR($K975="",$J975=""),0,IF($K975&lt;=$J975,1,0)))</f>
        <v/>
      </c>
      <c r="T975" s="31" t="str">
        <f aca="false">IF($E975="","",IF(OR($K975="",$R975=""),0,IF($K975&lt;=$R975,1,0)))</f>
        <v/>
      </c>
      <c r="U975" s="38" t="str">
        <f aca="false">IF(OR($K975="",$J975=""),"",MAX(0,$K975-$J975))</f>
        <v/>
      </c>
      <c r="V975" s="31" t="str">
        <f aca="false">IF($E975="","",IF(AND($M975&lt;&gt;"",$J975&lt;&gt;"",$M975&lt;&gt;$J975),1,0))</f>
        <v/>
      </c>
      <c r="W975" s="39" t="str">
        <f aca="false">IF($E975="","",IF($L975="Cancelada",0,IF(OR($K975&lt;&gt;"",$L975="Concluída"),1,0)))</f>
        <v/>
      </c>
    </row>
    <row r="976" customFormat="false" ht="15" hidden="false" customHeight="true" outlineLevel="0" collapsed="false">
      <c r="A976" s="31" t="str">
        <f aca="false">IF($E976="","",COUNTA($E$5:$E976))</f>
        <v/>
      </c>
      <c r="B976" s="32"/>
      <c r="C976" s="32"/>
      <c r="D976" s="32"/>
      <c r="E976" s="32"/>
      <c r="F976" s="33"/>
      <c r="G976" s="32"/>
      <c r="H976" s="34"/>
      <c r="I976" s="35"/>
      <c r="J976" s="36" t="str">
        <f aca="false">IF(OR($H976="",$I976=""),"",$H976+MATCH($I976,Listas!$F$5:$F$11,0)-1)</f>
        <v/>
      </c>
      <c r="K976" s="37"/>
      <c r="L976" s="33"/>
      <c r="M976" s="37"/>
      <c r="N976" s="32"/>
      <c r="O976" s="32"/>
      <c r="P976" s="38" t="str">
        <f aca="true">IF($E976="","",IF($L976="Cancelada","Cancelada",IF(OR($K976&lt;&gt;"",$L976="Concluída"),IF(OR($J976="",$K976="",$K976&lt;=$J976),"Concluída","Concluída com atraso"),IF($J976="","Na carteira",IF($J976&lt;TODAY(),"VENCIDA",IF($L976="Em execução","Em execução",IF($J976=TODAY(),"Hoje","Programada")))))))</f>
        <v/>
      </c>
      <c r="Q976" s="31" t="str">
        <f aca="false">IF($E976="","",IF(ISNUMBER(SEARCH("(externo)",$G976)),"Terceirizada","Interna"))</f>
        <v/>
      </c>
      <c r="R976" s="36" t="str">
        <f aca="false">IF($J976="","",IF($M976="",$J976,$M976))</f>
        <v/>
      </c>
      <c r="S976" s="31" t="str">
        <f aca="false">IF($E976="","",IF(OR($K976="",$J976=""),0,IF($K976&lt;=$J976,1,0)))</f>
        <v/>
      </c>
      <c r="T976" s="31" t="str">
        <f aca="false">IF($E976="","",IF(OR($K976="",$R976=""),0,IF($K976&lt;=$R976,1,0)))</f>
        <v/>
      </c>
      <c r="U976" s="38" t="str">
        <f aca="false">IF(OR($K976="",$J976=""),"",MAX(0,$K976-$J976))</f>
        <v/>
      </c>
      <c r="V976" s="31" t="str">
        <f aca="false">IF($E976="","",IF(AND($M976&lt;&gt;"",$J976&lt;&gt;"",$M976&lt;&gt;$J976),1,0))</f>
        <v/>
      </c>
      <c r="W976" s="39" t="str">
        <f aca="false">IF($E976="","",IF($L976="Cancelada",0,IF(OR($K976&lt;&gt;"",$L976="Concluída"),1,0)))</f>
        <v/>
      </c>
    </row>
    <row r="977" customFormat="false" ht="15" hidden="false" customHeight="true" outlineLevel="0" collapsed="false">
      <c r="A977" s="31" t="str">
        <f aca="false">IF($E977="","",COUNTA($E$5:$E977))</f>
        <v/>
      </c>
      <c r="B977" s="32"/>
      <c r="C977" s="32"/>
      <c r="D977" s="32"/>
      <c r="E977" s="32"/>
      <c r="F977" s="33"/>
      <c r="G977" s="32"/>
      <c r="H977" s="34"/>
      <c r="I977" s="35"/>
      <c r="J977" s="36" t="str">
        <f aca="false">IF(OR($H977="",$I977=""),"",$H977+MATCH($I977,Listas!$F$5:$F$11,0)-1)</f>
        <v/>
      </c>
      <c r="K977" s="37"/>
      <c r="L977" s="33"/>
      <c r="M977" s="37"/>
      <c r="N977" s="32"/>
      <c r="O977" s="32"/>
      <c r="P977" s="38" t="str">
        <f aca="true">IF($E977="","",IF($L977="Cancelada","Cancelada",IF(OR($K977&lt;&gt;"",$L977="Concluída"),IF(OR($J977="",$K977="",$K977&lt;=$J977),"Concluída","Concluída com atraso"),IF($J977="","Na carteira",IF($J977&lt;TODAY(),"VENCIDA",IF($L977="Em execução","Em execução",IF($J977=TODAY(),"Hoje","Programada")))))))</f>
        <v/>
      </c>
      <c r="Q977" s="31" t="str">
        <f aca="false">IF($E977="","",IF(ISNUMBER(SEARCH("(externo)",$G977)),"Terceirizada","Interna"))</f>
        <v/>
      </c>
      <c r="R977" s="36" t="str">
        <f aca="false">IF($J977="","",IF($M977="",$J977,$M977))</f>
        <v/>
      </c>
      <c r="S977" s="31" t="str">
        <f aca="false">IF($E977="","",IF(OR($K977="",$J977=""),0,IF($K977&lt;=$J977,1,0)))</f>
        <v/>
      </c>
      <c r="T977" s="31" t="str">
        <f aca="false">IF($E977="","",IF(OR($K977="",$R977=""),0,IF($K977&lt;=$R977,1,0)))</f>
        <v/>
      </c>
      <c r="U977" s="38" t="str">
        <f aca="false">IF(OR($K977="",$J977=""),"",MAX(0,$K977-$J977))</f>
        <v/>
      </c>
      <c r="V977" s="31" t="str">
        <f aca="false">IF($E977="","",IF(AND($M977&lt;&gt;"",$J977&lt;&gt;"",$M977&lt;&gt;$J977),1,0))</f>
        <v/>
      </c>
      <c r="W977" s="39" t="str">
        <f aca="false">IF($E977="","",IF($L977="Cancelada",0,IF(OR($K977&lt;&gt;"",$L977="Concluída"),1,0)))</f>
        <v/>
      </c>
    </row>
    <row r="978" customFormat="false" ht="15" hidden="false" customHeight="true" outlineLevel="0" collapsed="false">
      <c r="A978" s="31" t="str">
        <f aca="false">IF($E978="","",COUNTA($E$5:$E978))</f>
        <v/>
      </c>
      <c r="B978" s="32"/>
      <c r="C978" s="32"/>
      <c r="D978" s="32"/>
      <c r="E978" s="32"/>
      <c r="F978" s="33"/>
      <c r="G978" s="32"/>
      <c r="H978" s="34"/>
      <c r="I978" s="35"/>
      <c r="J978" s="36" t="str">
        <f aca="false">IF(OR($H978="",$I978=""),"",$H978+MATCH($I978,Listas!$F$5:$F$11,0)-1)</f>
        <v/>
      </c>
      <c r="K978" s="37"/>
      <c r="L978" s="33"/>
      <c r="M978" s="37"/>
      <c r="N978" s="32"/>
      <c r="O978" s="32"/>
      <c r="P978" s="38" t="str">
        <f aca="true">IF($E978="","",IF($L978="Cancelada","Cancelada",IF(OR($K978&lt;&gt;"",$L978="Concluída"),IF(OR($J978="",$K978="",$K978&lt;=$J978),"Concluída","Concluída com atraso"),IF($J978="","Na carteira",IF($J978&lt;TODAY(),"VENCIDA",IF($L978="Em execução","Em execução",IF($J978=TODAY(),"Hoje","Programada")))))))</f>
        <v/>
      </c>
      <c r="Q978" s="31" t="str">
        <f aca="false">IF($E978="","",IF(ISNUMBER(SEARCH("(externo)",$G978)),"Terceirizada","Interna"))</f>
        <v/>
      </c>
      <c r="R978" s="36" t="str">
        <f aca="false">IF($J978="","",IF($M978="",$J978,$M978))</f>
        <v/>
      </c>
      <c r="S978" s="31" t="str">
        <f aca="false">IF($E978="","",IF(OR($K978="",$J978=""),0,IF($K978&lt;=$J978,1,0)))</f>
        <v/>
      </c>
      <c r="T978" s="31" t="str">
        <f aca="false">IF($E978="","",IF(OR($K978="",$R978=""),0,IF($K978&lt;=$R978,1,0)))</f>
        <v/>
      </c>
      <c r="U978" s="38" t="str">
        <f aca="false">IF(OR($K978="",$J978=""),"",MAX(0,$K978-$J978))</f>
        <v/>
      </c>
      <c r="V978" s="31" t="str">
        <f aca="false">IF($E978="","",IF(AND($M978&lt;&gt;"",$J978&lt;&gt;"",$M978&lt;&gt;$J978),1,0))</f>
        <v/>
      </c>
      <c r="W978" s="39" t="str">
        <f aca="false">IF($E978="","",IF($L978="Cancelada",0,IF(OR($K978&lt;&gt;"",$L978="Concluída"),1,0)))</f>
        <v/>
      </c>
    </row>
    <row r="979" customFormat="false" ht="15" hidden="false" customHeight="true" outlineLevel="0" collapsed="false">
      <c r="A979" s="31" t="str">
        <f aca="false">IF($E979="","",COUNTA($E$5:$E979))</f>
        <v/>
      </c>
      <c r="B979" s="32"/>
      <c r="C979" s="32"/>
      <c r="D979" s="32"/>
      <c r="E979" s="32"/>
      <c r="F979" s="33"/>
      <c r="G979" s="32"/>
      <c r="H979" s="34"/>
      <c r="I979" s="35"/>
      <c r="J979" s="36" t="str">
        <f aca="false">IF(OR($H979="",$I979=""),"",$H979+MATCH($I979,Listas!$F$5:$F$11,0)-1)</f>
        <v/>
      </c>
      <c r="K979" s="37"/>
      <c r="L979" s="33"/>
      <c r="M979" s="37"/>
      <c r="N979" s="32"/>
      <c r="O979" s="32"/>
      <c r="P979" s="38" t="str">
        <f aca="true">IF($E979="","",IF($L979="Cancelada","Cancelada",IF(OR($K979&lt;&gt;"",$L979="Concluída"),IF(OR($J979="",$K979="",$K979&lt;=$J979),"Concluída","Concluída com atraso"),IF($J979="","Na carteira",IF($J979&lt;TODAY(),"VENCIDA",IF($L979="Em execução","Em execução",IF($J979=TODAY(),"Hoje","Programada")))))))</f>
        <v/>
      </c>
      <c r="Q979" s="31" t="str">
        <f aca="false">IF($E979="","",IF(ISNUMBER(SEARCH("(externo)",$G979)),"Terceirizada","Interna"))</f>
        <v/>
      </c>
      <c r="R979" s="36" t="str">
        <f aca="false">IF($J979="","",IF($M979="",$J979,$M979))</f>
        <v/>
      </c>
      <c r="S979" s="31" t="str">
        <f aca="false">IF($E979="","",IF(OR($K979="",$J979=""),0,IF($K979&lt;=$J979,1,0)))</f>
        <v/>
      </c>
      <c r="T979" s="31" t="str">
        <f aca="false">IF($E979="","",IF(OR($K979="",$R979=""),0,IF($K979&lt;=$R979,1,0)))</f>
        <v/>
      </c>
      <c r="U979" s="38" t="str">
        <f aca="false">IF(OR($K979="",$J979=""),"",MAX(0,$K979-$J979))</f>
        <v/>
      </c>
      <c r="V979" s="31" t="str">
        <f aca="false">IF($E979="","",IF(AND($M979&lt;&gt;"",$J979&lt;&gt;"",$M979&lt;&gt;$J979),1,0))</f>
        <v/>
      </c>
      <c r="W979" s="39" t="str">
        <f aca="false">IF($E979="","",IF($L979="Cancelada",0,IF(OR($K979&lt;&gt;"",$L979="Concluída"),1,0)))</f>
        <v/>
      </c>
    </row>
    <row r="980" customFormat="false" ht="15" hidden="false" customHeight="true" outlineLevel="0" collapsed="false">
      <c r="A980" s="31" t="str">
        <f aca="false">IF($E980="","",COUNTA($E$5:$E980))</f>
        <v/>
      </c>
      <c r="B980" s="32"/>
      <c r="C980" s="32"/>
      <c r="D980" s="32"/>
      <c r="E980" s="32"/>
      <c r="F980" s="33"/>
      <c r="G980" s="32"/>
      <c r="H980" s="34"/>
      <c r="I980" s="35"/>
      <c r="J980" s="36" t="str">
        <f aca="false">IF(OR($H980="",$I980=""),"",$H980+MATCH($I980,Listas!$F$5:$F$11,0)-1)</f>
        <v/>
      </c>
      <c r="K980" s="37"/>
      <c r="L980" s="33"/>
      <c r="M980" s="37"/>
      <c r="N980" s="32"/>
      <c r="O980" s="32"/>
      <c r="P980" s="38" t="str">
        <f aca="true">IF($E980="","",IF($L980="Cancelada","Cancelada",IF(OR($K980&lt;&gt;"",$L980="Concluída"),IF(OR($J980="",$K980="",$K980&lt;=$J980),"Concluída","Concluída com atraso"),IF($J980="","Na carteira",IF($J980&lt;TODAY(),"VENCIDA",IF($L980="Em execução","Em execução",IF($J980=TODAY(),"Hoje","Programada")))))))</f>
        <v/>
      </c>
      <c r="Q980" s="31" t="str">
        <f aca="false">IF($E980="","",IF(ISNUMBER(SEARCH("(externo)",$G980)),"Terceirizada","Interna"))</f>
        <v/>
      </c>
      <c r="R980" s="36" t="str">
        <f aca="false">IF($J980="","",IF($M980="",$J980,$M980))</f>
        <v/>
      </c>
      <c r="S980" s="31" t="str">
        <f aca="false">IF($E980="","",IF(OR($K980="",$J980=""),0,IF($K980&lt;=$J980,1,0)))</f>
        <v/>
      </c>
      <c r="T980" s="31" t="str">
        <f aca="false">IF($E980="","",IF(OR($K980="",$R980=""),0,IF($K980&lt;=$R980,1,0)))</f>
        <v/>
      </c>
      <c r="U980" s="38" t="str">
        <f aca="false">IF(OR($K980="",$J980=""),"",MAX(0,$K980-$J980))</f>
        <v/>
      </c>
      <c r="V980" s="31" t="str">
        <f aca="false">IF($E980="","",IF(AND($M980&lt;&gt;"",$J980&lt;&gt;"",$M980&lt;&gt;$J980),1,0))</f>
        <v/>
      </c>
      <c r="W980" s="39" t="str">
        <f aca="false">IF($E980="","",IF($L980="Cancelada",0,IF(OR($K980&lt;&gt;"",$L980="Concluída"),1,0)))</f>
        <v/>
      </c>
    </row>
    <row r="981" customFormat="false" ht="15" hidden="false" customHeight="true" outlineLevel="0" collapsed="false">
      <c r="A981" s="31" t="str">
        <f aca="false">IF($E981="","",COUNTA($E$5:$E981))</f>
        <v/>
      </c>
      <c r="B981" s="32"/>
      <c r="C981" s="32"/>
      <c r="D981" s="32"/>
      <c r="E981" s="32"/>
      <c r="F981" s="33"/>
      <c r="G981" s="32"/>
      <c r="H981" s="34"/>
      <c r="I981" s="35"/>
      <c r="J981" s="36" t="str">
        <f aca="false">IF(OR($H981="",$I981=""),"",$H981+MATCH($I981,Listas!$F$5:$F$11,0)-1)</f>
        <v/>
      </c>
      <c r="K981" s="37"/>
      <c r="L981" s="33"/>
      <c r="M981" s="37"/>
      <c r="N981" s="32"/>
      <c r="O981" s="32"/>
      <c r="P981" s="38" t="str">
        <f aca="true">IF($E981="","",IF($L981="Cancelada","Cancelada",IF(OR($K981&lt;&gt;"",$L981="Concluída"),IF(OR($J981="",$K981="",$K981&lt;=$J981),"Concluída","Concluída com atraso"),IF($J981="","Na carteira",IF($J981&lt;TODAY(),"VENCIDA",IF($L981="Em execução","Em execução",IF($J981=TODAY(),"Hoje","Programada")))))))</f>
        <v/>
      </c>
      <c r="Q981" s="31" t="str">
        <f aca="false">IF($E981="","",IF(ISNUMBER(SEARCH("(externo)",$G981)),"Terceirizada","Interna"))</f>
        <v/>
      </c>
      <c r="R981" s="36" t="str">
        <f aca="false">IF($J981="","",IF($M981="",$J981,$M981))</f>
        <v/>
      </c>
      <c r="S981" s="31" t="str">
        <f aca="false">IF($E981="","",IF(OR($K981="",$J981=""),0,IF($K981&lt;=$J981,1,0)))</f>
        <v/>
      </c>
      <c r="T981" s="31" t="str">
        <f aca="false">IF($E981="","",IF(OR($K981="",$R981=""),0,IF($K981&lt;=$R981,1,0)))</f>
        <v/>
      </c>
      <c r="U981" s="38" t="str">
        <f aca="false">IF(OR($K981="",$J981=""),"",MAX(0,$K981-$J981))</f>
        <v/>
      </c>
      <c r="V981" s="31" t="str">
        <f aca="false">IF($E981="","",IF(AND($M981&lt;&gt;"",$J981&lt;&gt;"",$M981&lt;&gt;$J981),1,0))</f>
        <v/>
      </c>
      <c r="W981" s="39" t="str">
        <f aca="false">IF($E981="","",IF($L981="Cancelada",0,IF(OR($K981&lt;&gt;"",$L981="Concluída"),1,0)))</f>
        <v/>
      </c>
    </row>
    <row r="982" customFormat="false" ht="15" hidden="false" customHeight="true" outlineLevel="0" collapsed="false">
      <c r="A982" s="31" t="str">
        <f aca="false">IF($E982="","",COUNTA($E$5:$E982))</f>
        <v/>
      </c>
      <c r="B982" s="32"/>
      <c r="C982" s="32"/>
      <c r="D982" s="32"/>
      <c r="E982" s="32"/>
      <c r="F982" s="33"/>
      <c r="G982" s="32"/>
      <c r="H982" s="34"/>
      <c r="I982" s="35"/>
      <c r="J982" s="36" t="str">
        <f aca="false">IF(OR($H982="",$I982=""),"",$H982+MATCH($I982,Listas!$F$5:$F$11,0)-1)</f>
        <v/>
      </c>
      <c r="K982" s="37"/>
      <c r="L982" s="33"/>
      <c r="M982" s="37"/>
      <c r="N982" s="32"/>
      <c r="O982" s="32"/>
      <c r="P982" s="38" t="str">
        <f aca="true">IF($E982="","",IF($L982="Cancelada","Cancelada",IF(OR($K982&lt;&gt;"",$L982="Concluída"),IF(OR($J982="",$K982="",$K982&lt;=$J982),"Concluída","Concluída com atraso"),IF($J982="","Na carteira",IF($J982&lt;TODAY(),"VENCIDA",IF($L982="Em execução","Em execução",IF($J982=TODAY(),"Hoje","Programada")))))))</f>
        <v/>
      </c>
      <c r="Q982" s="31" t="str">
        <f aca="false">IF($E982="","",IF(ISNUMBER(SEARCH("(externo)",$G982)),"Terceirizada","Interna"))</f>
        <v/>
      </c>
      <c r="R982" s="36" t="str">
        <f aca="false">IF($J982="","",IF($M982="",$J982,$M982))</f>
        <v/>
      </c>
      <c r="S982" s="31" t="str">
        <f aca="false">IF($E982="","",IF(OR($K982="",$J982=""),0,IF($K982&lt;=$J982,1,0)))</f>
        <v/>
      </c>
      <c r="T982" s="31" t="str">
        <f aca="false">IF($E982="","",IF(OR($K982="",$R982=""),0,IF($K982&lt;=$R982,1,0)))</f>
        <v/>
      </c>
      <c r="U982" s="38" t="str">
        <f aca="false">IF(OR($K982="",$J982=""),"",MAX(0,$K982-$J982))</f>
        <v/>
      </c>
      <c r="V982" s="31" t="str">
        <f aca="false">IF($E982="","",IF(AND($M982&lt;&gt;"",$J982&lt;&gt;"",$M982&lt;&gt;$J982),1,0))</f>
        <v/>
      </c>
      <c r="W982" s="39" t="str">
        <f aca="false">IF($E982="","",IF($L982="Cancelada",0,IF(OR($K982&lt;&gt;"",$L982="Concluída"),1,0)))</f>
        <v/>
      </c>
    </row>
    <row r="983" customFormat="false" ht="15" hidden="false" customHeight="true" outlineLevel="0" collapsed="false">
      <c r="A983" s="31" t="str">
        <f aca="false">IF($E983="","",COUNTA($E$5:$E983))</f>
        <v/>
      </c>
      <c r="B983" s="32"/>
      <c r="C983" s="32"/>
      <c r="D983" s="32"/>
      <c r="E983" s="32"/>
      <c r="F983" s="33"/>
      <c r="G983" s="32"/>
      <c r="H983" s="34"/>
      <c r="I983" s="35"/>
      <c r="J983" s="36" t="str">
        <f aca="false">IF(OR($H983="",$I983=""),"",$H983+MATCH($I983,Listas!$F$5:$F$11,0)-1)</f>
        <v/>
      </c>
      <c r="K983" s="37"/>
      <c r="L983" s="33"/>
      <c r="M983" s="37"/>
      <c r="N983" s="32"/>
      <c r="O983" s="32"/>
      <c r="P983" s="38" t="str">
        <f aca="true">IF($E983="","",IF($L983="Cancelada","Cancelada",IF(OR($K983&lt;&gt;"",$L983="Concluída"),IF(OR($J983="",$K983="",$K983&lt;=$J983),"Concluída","Concluída com atraso"),IF($J983="","Na carteira",IF($J983&lt;TODAY(),"VENCIDA",IF($L983="Em execução","Em execução",IF($J983=TODAY(),"Hoje","Programada")))))))</f>
        <v/>
      </c>
      <c r="Q983" s="31" t="str">
        <f aca="false">IF($E983="","",IF(ISNUMBER(SEARCH("(externo)",$G983)),"Terceirizada","Interna"))</f>
        <v/>
      </c>
      <c r="R983" s="36" t="str">
        <f aca="false">IF($J983="","",IF($M983="",$J983,$M983))</f>
        <v/>
      </c>
      <c r="S983" s="31" t="str">
        <f aca="false">IF($E983="","",IF(OR($K983="",$J983=""),0,IF($K983&lt;=$J983,1,0)))</f>
        <v/>
      </c>
      <c r="T983" s="31" t="str">
        <f aca="false">IF($E983="","",IF(OR($K983="",$R983=""),0,IF($K983&lt;=$R983,1,0)))</f>
        <v/>
      </c>
      <c r="U983" s="38" t="str">
        <f aca="false">IF(OR($K983="",$J983=""),"",MAX(0,$K983-$J983))</f>
        <v/>
      </c>
      <c r="V983" s="31" t="str">
        <f aca="false">IF($E983="","",IF(AND($M983&lt;&gt;"",$J983&lt;&gt;"",$M983&lt;&gt;$J983),1,0))</f>
        <v/>
      </c>
      <c r="W983" s="39" t="str">
        <f aca="false">IF($E983="","",IF($L983="Cancelada",0,IF(OR($K983&lt;&gt;"",$L983="Concluída"),1,0)))</f>
        <v/>
      </c>
    </row>
    <row r="984" customFormat="false" ht="15" hidden="false" customHeight="true" outlineLevel="0" collapsed="false">
      <c r="A984" s="31" t="str">
        <f aca="false">IF($E984="","",COUNTA($E$5:$E984))</f>
        <v/>
      </c>
      <c r="B984" s="32"/>
      <c r="C984" s="32"/>
      <c r="D984" s="32"/>
      <c r="E984" s="32"/>
      <c r="F984" s="33"/>
      <c r="G984" s="32"/>
      <c r="H984" s="34"/>
      <c r="I984" s="35"/>
      <c r="J984" s="36" t="str">
        <f aca="false">IF(OR($H984="",$I984=""),"",$H984+MATCH($I984,Listas!$F$5:$F$11,0)-1)</f>
        <v/>
      </c>
      <c r="K984" s="37"/>
      <c r="L984" s="33"/>
      <c r="M984" s="37"/>
      <c r="N984" s="32"/>
      <c r="O984" s="32"/>
      <c r="P984" s="38" t="str">
        <f aca="true">IF($E984="","",IF($L984="Cancelada","Cancelada",IF(OR($K984&lt;&gt;"",$L984="Concluída"),IF(OR($J984="",$K984="",$K984&lt;=$J984),"Concluída","Concluída com atraso"),IF($J984="","Na carteira",IF($J984&lt;TODAY(),"VENCIDA",IF($L984="Em execução","Em execução",IF($J984=TODAY(),"Hoje","Programada")))))))</f>
        <v/>
      </c>
      <c r="Q984" s="31" t="str">
        <f aca="false">IF($E984="","",IF(ISNUMBER(SEARCH("(externo)",$G984)),"Terceirizada","Interna"))</f>
        <v/>
      </c>
      <c r="R984" s="36" t="str">
        <f aca="false">IF($J984="","",IF($M984="",$J984,$M984))</f>
        <v/>
      </c>
      <c r="S984" s="31" t="str">
        <f aca="false">IF($E984="","",IF(OR($K984="",$J984=""),0,IF($K984&lt;=$J984,1,0)))</f>
        <v/>
      </c>
      <c r="T984" s="31" t="str">
        <f aca="false">IF($E984="","",IF(OR($K984="",$R984=""),0,IF($K984&lt;=$R984,1,0)))</f>
        <v/>
      </c>
      <c r="U984" s="38" t="str">
        <f aca="false">IF(OR($K984="",$J984=""),"",MAX(0,$K984-$J984))</f>
        <v/>
      </c>
      <c r="V984" s="31" t="str">
        <f aca="false">IF($E984="","",IF(AND($M984&lt;&gt;"",$J984&lt;&gt;"",$M984&lt;&gt;$J984),1,0))</f>
        <v/>
      </c>
      <c r="W984" s="39" t="str">
        <f aca="false">IF($E984="","",IF($L984="Cancelada",0,IF(OR($K984&lt;&gt;"",$L984="Concluída"),1,0)))</f>
        <v/>
      </c>
    </row>
    <row r="985" customFormat="false" ht="15" hidden="false" customHeight="true" outlineLevel="0" collapsed="false">
      <c r="A985" s="31" t="str">
        <f aca="false">IF($E985="","",COUNTA($E$5:$E985))</f>
        <v/>
      </c>
      <c r="B985" s="32"/>
      <c r="C985" s="32"/>
      <c r="D985" s="32"/>
      <c r="E985" s="32"/>
      <c r="F985" s="33"/>
      <c r="G985" s="32"/>
      <c r="H985" s="34"/>
      <c r="I985" s="35"/>
      <c r="J985" s="36" t="str">
        <f aca="false">IF(OR($H985="",$I985=""),"",$H985+MATCH($I985,Listas!$F$5:$F$11,0)-1)</f>
        <v/>
      </c>
      <c r="K985" s="37"/>
      <c r="L985" s="33"/>
      <c r="M985" s="37"/>
      <c r="N985" s="32"/>
      <c r="O985" s="32"/>
      <c r="P985" s="38" t="str">
        <f aca="true">IF($E985="","",IF($L985="Cancelada","Cancelada",IF(OR($K985&lt;&gt;"",$L985="Concluída"),IF(OR($J985="",$K985="",$K985&lt;=$J985),"Concluída","Concluída com atraso"),IF($J985="","Na carteira",IF($J985&lt;TODAY(),"VENCIDA",IF($L985="Em execução","Em execução",IF($J985=TODAY(),"Hoje","Programada")))))))</f>
        <v/>
      </c>
      <c r="Q985" s="31" t="str">
        <f aca="false">IF($E985="","",IF(ISNUMBER(SEARCH("(externo)",$G985)),"Terceirizada","Interna"))</f>
        <v/>
      </c>
      <c r="R985" s="36" t="str">
        <f aca="false">IF($J985="","",IF($M985="",$J985,$M985))</f>
        <v/>
      </c>
      <c r="S985" s="31" t="str">
        <f aca="false">IF($E985="","",IF(OR($K985="",$J985=""),0,IF($K985&lt;=$J985,1,0)))</f>
        <v/>
      </c>
      <c r="T985" s="31" t="str">
        <f aca="false">IF($E985="","",IF(OR($K985="",$R985=""),0,IF($K985&lt;=$R985,1,0)))</f>
        <v/>
      </c>
      <c r="U985" s="38" t="str">
        <f aca="false">IF(OR($K985="",$J985=""),"",MAX(0,$K985-$J985))</f>
        <v/>
      </c>
      <c r="V985" s="31" t="str">
        <f aca="false">IF($E985="","",IF(AND($M985&lt;&gt;"",$J985&lt;&gt;"",$M985&lt;&gt;$J985),1,0))</f>
        <v/>
      </c>
      <c r="W985" s="39" t="str">
        <f aca="false">IF($E985="","",IF($L985="Cancelada",0,IF(OR($K985&lt;&gt;"",$L985="Concluída"),1,0)))</f>
        <v/>
      </c>
    </row>
    <row r="986" customFormat="false" ht="15" hidden="false" customHeight="true" outlineLevel="0" collapsed="false">
      <c r="A986" s="31" t="str">
        <f aca="false">IF($E986="","",COUNTA($E$5:$E986))</f>
        <v/>
      </c>
      <c r="B986" s="32"/>
      <c r="C986" s="32"/>
      <c r="D986" s="32"/>
      <c r="E986" s="32"/>
      <c r="F986" s="33"/>
      <c r="G986" s="32"/>
      <c r="H986" s="34"/>
      <c r="I986" s="35"/>
      <c r="J986" s="36" t="str">
        <f aca="false">IF(OR($H986="",$I986=""),"",$H986+MATCH($I986,Listas!$F$5:$F$11,0)-1)</f>
        <v/>
      </c>
      <c r="K986" s="37"/>
      <c r="L986" s="33"/>
      <c r="M986" s="37"/>
      <c r="N986" s="32"/>
      <c r="O986" s="32"/>
      <c r="P986" s="38" t="str">
        <f aca="true">IF($E986="","",IF($L986="Cancelada","Cancelada",IF(OR($K986&lt;&gt;"",$L986="Concluída"),IF(OR($J986="",$K986="",$K986&lt;=$J986),"Concluída","Concluída com atraso"),IF($J986="","Na carteira",IF($J986&lt;TODAY(),"VENCIDA",IF($L986="Em execução","Em execução",IF($J986=TODAY(),"Hoje","Programada")))))))</f>
        <v/>
      </c>
      <c r="Q986" s="31" t="str">
        <f aca="false">IF($E986="","",IF(ISNUMBER(SEARCH("(externo)",$G986)),"Terceirizada","Interna"))</f>
        <v/>
      </c>
      <c r="R986" s="36" t="str">
        <f aca="false">IF($J986="","",IF($M986="",$J986,$M986))</f>
        <v/>
      </c>
      <c r="S986" s="31" t="str">
        <f aca="false">IF($E986="","",IF(OR($K986="",$J986=""),0,IF($K986&lt;=$J986,1,0)))</f>
        <v/>
      </c>
      <c r="T986" s="31" t="str">
        <f aca="false">IF($E986="","",IF(OR($K986="",$R986=""),0,IF($K986&lt;=$R986,1,0)))</f>
        <v/>
      </c>
      <c r="U986" s="38" t="str">
        <f aca="false">IF(OR($K986="",$J986=""),"",MAX(0,$K986-$J986))</f>
        <v/>
      </c>
      <c r="V986" s="31" t="str">
        <f aca="false">IF($E986="","",IF(AND($M986&lt;&gt;"",$J986&lt;&gt;"",$M986&lt;&gt;$J986),1,0))</f>
        <v/>
      </c>
      <c r="W986" s="39" t="str">
        <f aca="false">IF($E986="","",IF($L986="Cancelada",0,IF(OR($K986&lt;&gt;"",$L986="Concluída"),1,0)))</f>
        <v/>
      </c>
    </row>
    <row r="987" customFormat="false" ht="15" hidden="false" customHeight="true" outlineLevel="0" collapsed="false">
      <c r="A987" s="31" t="str">
        <f aca="false">IF($E987="","",COUNTA($E$5:$E987))</f>
        <v/>
      </c>
      <c r="B987" s="32"/>
      <c r="C987" s="32"/>
      <c r="D987" s="32"/>
      <c r="E987" s="32"/>
      <c r="F987" s="33"/>
      <c r="G987" s="32"/>
      <c r="H987" s="34"/>
      <c r="I987" s="35"/>
      <c r="J987" s="36" t="str">
        <f aca="false">IF(OR($H987="",$I987=""),"",$H987+MATCH($I987,Listas!$F$5:$F$11,0)-1)</f>
        <v/>
      </c>
      <c r="K987" s="37"/>
      <c r="L987" s="33"/>
      <c r="M987" s="37"/>
      <c r="N987" s="32"/>
      <c r="O987" s="32"/>
      <c r="P987" s="38" t="str">
        <f aca="true">IF($E987="","",IF($L987="Cancelada","Cancelada",IF(OR($K987&lt;&gt;"",$L987="Concluída"),IF(OR($J987="",$K987="",$K987&lt;=$J987),"Concluída","Concluída com atraso"),IF($J987="","Na carteira",IF($J987&lt;TODAY(),"VENCIDA",IF($L987="Em execução","Em execução",IF($J987=TODAY(),"Hoje","Programada")))))))</f>
        <v/>
      </c>
      <c r="Q987" s="31" t="str">
        <f aca="false">IF($E987="","",IF(ISNUMBER(SEARCH("(externo)",$G987)),"Terceirizada","Interna"))</f>
        <v/>
      </c>
      <c r="R987" s="36" t="str">
        <f aca="false">IF($J987="","",IF($M987="",$J987,$M987))</f>
        <v/>
      </c>
      <c r="S987" s="31" t="str">
        <f aca="false">IF($E987="","",IF(OR($K987="",$J987=""),0,IF($K987&lt;=$J987,1,0)))</f>
        <v/>
      </c>
      <c r="T987" s="31" t="str">
        <f aca="false">IF($E987="","",IF(OR($K987="",$R987=""),0,IF($K987&lt;=$R987,1,0)))</f>
        <v/>
      </c>
      <c r="U987" s="38" t="str">
        <f aca="false">IF(OR($K987="",$J987=""),"",MAX(0,$K987-$J987))</f>
        <v/>
      </c>
      <c r="V987" s="31" t="str">
        <f aca="false">IF($E987="","",IF(AND($M987&lt;&gt;"",$J987&lt;&gt;"",$M987&lt;&gt;$J987),1,0))</f>
        <v/>
      </c>
      <c r="W987" s="39" t="str">
        <f aca="false">IF($E987="","",IF($L987="Cancelada",0,IF(OR($K987&lt;&gt;"",$L987="Concluída"),1,0)))</f>
        <v/>
      </c>
    </row>
    <row r="988" customFormat="false" ht="15" hidden="false" customHeight="true" outlineLevel="0" collapsed="false">
      <c r="A988" s="31" t="str">
        <f aca="false">IF($E988="","",COUNTA($E$5:$E988))</f>
        <v/>
      </c>
      <c r="B988" s="32"/>
      <c r="C988" s="32"/>
      <c r="D988" s="32"/>
      <c r="E988" s="32"/>
      <c r="F988" s="33"/>
      <c r="G988" s="32"/>
      <c r="H988" s="34"/>
      <c r="I988" s="35"/>
      <c r="J988" s="36" t="str">
        <f aca="false">IF(OR($H988="",$I988=""),"",$H988+MATCH($I988,Listas!$F$5:$F$11,0)-1)</f>
        <v/>
      </c>
      <c r="K988" s="37"/>
      <c r="L988" s="33"/>
      <c r="M988" s="37"/>
      <c r="N988" s="32"/>
      <c r="O988" s="32"/>
      <c r="P988" s="38" t="str">
        <f aca="true">IF($E988="","",IF($L988="Cancelada","Cancelada",IF(OR($K988&lt;&gt;"",$L988="Concluída"),IF(OR($J988="",$K988="",$K988&lt;=$J988),"Concluída","Concluída com atraso"),IF($J988="","Na carteira",IF($J988&lt;TODAY(),"VENCIDA",IF($L988="Em execução","Em execução",IF($J988=TODAY(),"Hoje","Programada")))))))</f>
        <v/>
      </c>
      <c r="Q988" s="31" t="str">
        <f aca="false">IF($E988="","",IF(ISNUMBER(SEARCH("(externo)",$G988)),"Terceirizada","Interna"))</f>
        <v/>
      </c>
      <c r="R988" s="36" t="str">
        <f aca="false">IF($J988="","",IF($M988="",$J988,$M988))</f>
        <v/>
      </c>
      <c r="S988" s="31" t="str">
        <f aca="false">IF($E988="","",IF(OR($K988="",$J988=""),0,IF($K988&lt;=$J988,1,0)))</f>
        <v/>
      </c>
      <c r="T988" s="31" t="str">
        <f aca="false">IF($E988="","",IF(OR($K988="",$R988=""),0,IF($K988&lt;=$R988,1,0)))</f>
        <v/>
      </c>
      <c r="U988" s="38" t="str">
        <f aca="false">IF(OR($K988="",$J988=""),"",MAX(0,$K988-$J988))</f>
        <v/>
      </c>
      <c r="V988" s="31" t="str">
        <f aca="false">IF($E988="","",IF(AND($M988&lt;&gt;"",$J988&lt;&gt;"",$M988&lt;&gt;$J988),1,0))</f>
        <v/>
      </c>
      <c r="W988" s="39" t="str">
        <f aca="false">IF($E988="","",IF($L988="Cancelada",0,IF(OR($K988&lt;&gt;"",$L988="Concluída"),1,0)))</f>
        <v/>
      </c>
    </row>
    <row r="989" customFormat="false" ht="15" hidden="false" customHeight="true" outlineLevel="0" collapsed="false">
      <c r="A989" s="31" t="str">
        <f aca="false">IF($E989="","",COUNTA($E$5:$E989))</f>
        <v/>
      </c>
      <c r="B989" s="32"/>
      <c r="C989" s="32"/>
      <c r="D989" s="32"/>
      <c r="E989" s="32"/>
      <c r="F989" s="33"/>
      <c r="G989" s="32"/>
      <c r="H989" s="34"/>
      <c r="I989" s="35"/>
      <c r="J989" s="36" t="str">
        <f aca="false">IF(OR($H989="",$I989=""),"",$H989+MATCH($I989,Listas!$F$5:$F$11,0)-1)</f>
        <v/>
      </c>
      <c r="K989" s="37"/>
      <c r="L989" s="33"/>
      <c r="M989" s="37"/>
      <c r="N989" s="32"/>
      <c r="O989" s="32"/>
      <c r="P989" s="38" t="str">
        <f aca="true">IF($E989="","",IF($L989="Cancelada","Cancelada",IF(OR($K989&lt;&gt;"",$L989="Concluída"),IF(OR($J989="",$K989="",$K989&lt;=$J989),"Concluída","Concluída com atraso"),IF($J989="","Na carteira",IF($J989&lt;TODAY(),"VENCIDA",IF($L989="Em execução","Em execução",IF($J989=TODAY(),"Hoje","Programada")))))))</f>
        <v/>
      </c>
      <c r="Q989" s="31" t="str">
        <f aca="false">IF($E989="","",IF(ISNUMBER(SEARCH("(externo)",$G989)),"Terceirizada","Interna"))</f>
        <v/>
      </c>
      <c r="R989" s="36" t="str">
        <f aca="false">IF($J989="","",IF($M989="",$J989,$M989))</f>
        <v/>
      </c>
      <c r="S989" s="31" t="str">
        <f aca="false">IF($E989="","",IF(OR($K989="",$J989=""),0,IF($K989&lt;=$J989,1,0)))</f>
        <v/>
      </c>
      <c r="T989" s="31" t="str">
        <f aca="false">IF($E989="","",IF(OR($K989="",$R989=""),0,IF($K989&lt;=$R989,1,0)))</f>
        <v/>
      </c>
      <c r="U989" s="38" t="str">
        <f aca="false">IF(OR($K989="",$J989=""),"",MAX(0,$K989-$J989))</f>
        <v/>
      </c>
      <c r="V989" s="31" t="str">
        <f aca="false">IF($E989="","",IF(AND($M989&lt;&gt;"",$J989&lt;&gt;"",$M989&lt;&gt;$J989),1,0))</f>
        <v/>
      </c>
      <c r="W989" s="39" t="str">
        <f aca="false">IF($E989="","",IF($L989="Cancelada",0,IF(OR($K989&lt;&gt;"",$L989="Concluída"),1,0)))</f>
        <v/>
      </c>
    </row>
    <row r="990" customFormat="false" ht="15" hidden="false" customHeight="true" outlineLevel="0" collapsed="false">
      <c r="A990" s="31" t="str">
        <f aca="false">IF($E990="","",COUNTA($E$5:$E990))</f>
        <v/>
      </c>
      <c r="B990" s="32"/>
      <c r="C990" s="32"/>
      <c r="D990" s="32"/>
      <c r="E990" s="32"/>
      <c r="F990" s="33"/>
      <c r="G990" s="32"/>
      <c r="H990" s="34"/>
      <c r="I990" s="35"/>
      <c r="J990" s="36" t="str">
        <f aca="false">IF(OR($H990="",$I990=""),"",$H990+MATCH($I990,Listas!$F$5:$F$11,0)-1)</f>
        <v/>
      </c>
      <c r="K990" s="37"/>
      <c r="L990" s="33"/>
      <c r="M990" s="37"/>
      <c r="N990" s="32"/>
      <c r="O990" s="32"/>
      <c r="P990" s="38" t="str">
        <f aca="true">IF($E990="","",IF($L990="Cancelada","Cancelada",IF(OR($K990&lt;&gt;"",$L990="Concluída"),IF(OR($J990="",$K990="",$K990&lt;=$J990),"Concluída","Concluída com atraso"),IF($J990="","Na carteira",IF($J990&lt;TODAY(),"VENCIDA",IF($L990="Em execução","Em execução",IF($J990=TODAY(),"Hoje","Programada")))))))</f>
        <v/>
      </c>
      <c r="Q990" s="31" t="str">
        <f aca="false">IF($E990="","",IF(ISNUMBER(SEARCH("(externo)",$G990)),"Terceirizada","Interna"))</f>
        <v/>
      </c>
      <c r="R990" s="36" t="str">
        <f aca="false">IF($J990="","",IF($M990="",$J990,$M990))</f>
        <v/>
      </c>
      <c r="S990" s="31" t="str">
        <f aca="false">IF($E990="","",IF(OR($K990="",$J990=""),0,IF($K990&lt;=$J990,1,0)))</f>
        <v/>
      </c>
      <c r="T990" s="31" t="str">
        <f aca="false">IF($E990="","",IF(OR($K990="",$R990=""),0,IF($K990&lt;=$R990,1,0)))</f>
        <v/>
      </c>
      <c r="U990" s="38" t="str">
        <f aca="false">IF(OR($K990="",$J990=""),"",MAX(0,$K990-$J990))</f>
        <v/>
      </c>
      <c r="V990" s="31" t="str">
        <f aca="false">IF($E990="","",IF(AND($M990&lt;&gt;"",$J990&lt;&gt;"",$M990&lt;&gt;$J990),1,0))</f>
        <v/>
      </c>
      <c r="W990" s="39" t="str">
        <f aca="false">IF($E990="","",IF($L990="Cancelada",0,IF(OR($K990&lt;&gt;"",$L990="Concluída"),1,0)))</f>
        <v/>
      </c>
    </row>
    <row r="991" customFormat="false" ht="15" hidden="false" customHeight="true" outlineLevel="0" collapsed="false">
      <c r="A991" s="31" t="str">
        <f aca="false">IF($E991="","",COUNTA($E$5:$E991))</f>
        <v/>
      </c>
      <c r="B991" s="32"/>
      <c r="C991" s="32"/>
      <c r="D991" s="32"/>
      <c r="E991" s="32"/>
      <c r="F991" s="33"/>
      <c r="G991" s="32"/>
      <c r="H991" s="34"/>
      <c r="I991" s="35"/>
      <c r="J991" s="36" t="str">
        <f aca="false">IF(OR($H991="",$I991=""),"",$H991+MATCH($I991,Listas!$F$5:$F$11,0)-1)</f>
        <v/>
      </c>
      <c r="K991" s="37"/>
      <c r="L991" s="33"/>
      <c r="M991" s="37"/>
      <c r="N991" s="32"/>
      <c r="O991" s="32"/>
      <c r="P991" s="38" t="str">
        <f aca="true">IF($E991="","",IF($L991="Cancelada","Cancelada",IF(OR($K991&lt;&gt;"",$L991="Concluída"),IF(OR($J991="",$K991="",$K991&lt;=$J991),"Concluída","Concluída com atraso"),IF($J991="","Na carteira",IF($J991&lt;TODAY(),"VENCIDA",IF($L991="Em execução","Em execução",IF($J991=TODAY(),"Hoje","Programada")))))))</f>
        <v/>
      </c>
      <c r="Q991" s="31" t="str">
        <f aca="false">IF($E991="","",IF(ISNUMBER(SEARCH("(externo)",$G991)),"Terceirizada","Interna"))</f>
        <v/>
      </c>
      <c r="R991" s="36" t="str">
        <f aca="false">IF($J991="","",IF($M991="",$J991,$M991))</f>
        <v/>
      </c>
      <c r="S991" s="31" t="str">
        <f aca="false">IF($E991="","",IF(OR($K991="",$J991=""),0,IF($K991&lt;=$J991,1,0)))</f>
        <v/>
      </c>
      <c r="T991" s="31" t="str">
        <f aca="false">IF($E991="","",IF(OR($K991="",$R991=""),0,IF($K991&lt;=$R991,1,0)))</f>
        <v/>
      </c>
      <c r="U991" s="38" t="str">
        <f aca="false">IF(OR($K991="",$J991=""),"",MAX(0,$K991-$J991))</f>
        <v/>
      </c>
      <c r="V991" s="31" t="str">
        <f aca="false">IF($E991="","",IF(AND($M991&lt;&gt;"",$J991&lt;&gt;"",$M991&lt;&gt;$J991),1,0))</f>
        <v/>
      </c>
      <c r="W991" s="39" t="str">
        <f aca="false">IF($E991="","",IF($L991="Cancelada",0,IF(OR($K991&lt;&gt;"",$L991="Concluída"),1,0)))</f>
        <v/>
      </c>
    </row>
    <row r="992" customFormat="false" ht="15" hidden="false" customHeight="true" outlineLevel="0" collapsed="false">
      <c r="A992" s="31" t="str">
        <f aca="false">IF($E992="","",COUNTA($E$5:$E992))</f>
        <v/>
      </c>
      <c r="B992" s="32"/>
      <c r="C992" s="32"/>
      <c r="D992" s="32"/>
      <c r="E992" s="32"/>
      <c r="F992" s="33"/>
      <c r="G992" s="32"/>
      <c r="H992" s="34"/>
      <c r="I992" s="35"/>
      <c r="J992" s="36" t="str">
        <f aca="false">IF(OR($H992="",$I992=""),"",$H992+MATCH($I992,Listas!$F$5:$F$11,0)-1)</f>
        <v/>
      </c>
      <c r="K992" s="37"/>
      <c r="L992" s="33"/>
      <c r="M992" s="37"/>
      <c r="N992" s="32"/>
      <c r="O992" s="32"/>
      <c r="P992" s="38" t="str">
        <f aca="true">IF($E992="","",IF($L992="Cancelada","Cancelada",IF(OR($K992&lt;&gt;"",$L992="Concluída"),IF(OR($J992="",$K992="",$K992&lt;=$J992),"Concluída","Concluída com atraso"),IF($J992="","Na carteira",IF($J992&lt;TODAY(),"VENCIDA",IF($L992="Em execução","Em execução",IF($J992=TODAY(),"Hoje","Programada")))))))</f>
        <v/>
      </c>
      <c r="Q992" s="31" t="str">
        <f aca="false">IF($E992="","",IF(ISNUMBER(SEARCH("(externo)",$G992)),"Terceirizada","Interna"))</f>
        <v/>
      </c>
      <c r="R992" s="36" t="str">
        <f aca="false">IF($J992="","",IF($M992="",$J992,$M992))</f>
        <v/>
      </c>
      <c r="S992" s="31" t="str">
        <f aca="false">IF($E992="","",IF(OR($K992="",$J992=""),0,IF($K992&lt;=$J992,1,0)))</f>
        <v/>
      </c>
      <c r="T992" s="31" t="str">
        <f aca="false">IF($E992="","",IF(OR($K992="",$R992=""),0,IF($K992&lt;=$R992,1,0)))</f>
        <v/>
      </c>
      <c r="U992" s="38" t="str">
        <f aca="false">IF(OR($K992="",$J992=""),"",MAX(0,$K992-$J992))</f>
        <v/>
      </c>
      <c r="V992" s="31" t="str">
        <f aca="false">IF($E992="","",IF(AND($M992&lt;&gt;"",$J992&lt;&gt;"",$M992&lt;&gt;$J992),1,0))</f>
        <v/>
      </c>
      <c r="W992" s="39" t="str">
        <f aca="false">IF($E992="","",IF($L992="Cancelada",0,IF(OR($K992&lt;&gt;"",$L992="Concluída"),1,0)))</f>
        <v/>
      </c>
    </row>
    <row r="993" customFormat="false" ht="15" hidden="false" customHeight="true" outlineLevel="0" collapsed="false">
      <c r="A993" s="31" t="str">
        <f aca="false">IF($E993="","",COUNTA($E$5:$E993))</f>
        <v/>
      </c>
      <c r="B993" s="32"/>
      <c r="C993" s="32"/>
      <c r="D993" s="32"/>
      <c r="E993" s="32"/>
      <c r="F993" s="33"/>
      <c r="G993" s="32"/>
      <c r="H993" s="34"/>
      <c r="I993" s="35"/>
      <c r="J993" s="36" t="str">
        <f aca="false">IF(OR($H993="",$I993=""),"",$H993+MATCH($I993,Listas!$F$5:$F$11,0)-1)</f>
        <v/>
      </c>
      <c r="K993" s="37"/>
      <c r="L993" s="33"/>
      <c r="M993" s="37"/>
      <c r="N993" s="32"/>
      <c r="O993" s="32"/>
      <c r="P993" s="38" t="str">
        <f aca="true">IF($E993="","",IF($L993="Cancelada","Cancelada",IF(OR($K993&lt;&gt;"",$L993="Concluída"),IF(OR($J993="",$K993="",$K993&lt;=$J993),"Concluída","Concluída com atraso"),IF($J993="","Na carteira",IF($J993&lt;TODAY(),"VENCIDA",IF($L993="Em execução","Em execução",IF($J993=TODAY(),"Hoje","Programada")))))))</f>
        <v/>
      </c>
      <c r="Q993" s="31" t="str">
        <f aca="false">IF($E993="","",IF(ISNUMBER(SEARCH("(externo)",$G993)),"Terceirizada","Interna"))</f>
        <v/>
      </c>
      <c r="R993" s="36" t="str">
        <f aca="false">IF($J993="","",IF($M993="",$J993,$M993))</f>
        <v/>
      </c>
      <c r="S993" s="31" t="str">
        <f aca="false">IF($E993="","",IF(OR($K993="",$J993=""),0,IF($K993&lt;=$J993,1,0)))</f>
        <v/>
      </c>
      <c r="T993" s="31" t="str">
        <f aca="false">IF($E993="","",IF(OR($K993="",$R993=""),0,IF($K993&lt;=$R993,1,0)))</f>
        <v/>
      </c>
      <c r="U993" s="38" t="str">
        <f aca="false">IF(OR($K993="",$J993=""),"",MAX(0,$K993-$J993))</f>
        <v/>
      </c>
      <c r="V993" s="31" t="str">
        <f aca="false">IF($E993="","",IF(AND($M993&lt;&gt;"",$J993&lt;&gt;"",$M993&lt;&gt;$J993),1,0))</f>
        <v/>
      </c>
      <c r="W993" s="39" t="str">
        <f aca="false">IF($E993="","",IF($L993="Cancelada",0,IF(OR($K993&lt;&gt;"",$L993="Concluída"),1,0)))</f>
        <v/>
      </c>
    </row>
    <row r="994" customFormat="false" ht="15" hidden="false" customHeight="true" outlineLevel="0" collapsed="false">
      <c r="A994" s="31" t="str">
        <f aca="false">IF($E994="","",COUNTA($E$5:$E994))</f>
        <v/>
      </c>
      <c r="B994" s="32"/>
      <c r="C994" s="32"/>
      <c r="D994" s="32"/>
      <c r="E994" s="32"/>
      <c r="F994" s="33"/>
      <c r="G994" s="32"/>
      <c r="H994" s="34"/>
      <c r="I994" s="35"/>
      <c r="J994" s="36" t="str">
        <f aca="false">IF(OR($H994="",$I994=""),"",$H994+MATCH($I994,Listas!$F$5:$F$11,0)-1)</f>
        <v/>
      </c>
      <c r="K994" s="37"/>
      <c r="L994" s="33"/>
      <c r="M994" s="37"/>
      <c r="N994" s="32"/>
      <c r="O994" s="32"/>
      <c r="P994" s="38" t="str">
        <f aca="true">IF($E994="","",IF($L994="Cancelada","Cancelada",IF(OR($K994&lt;&gt;"",$L994="Concluída"),IF(OR($J994="",$K994="",$K994&lt;=$J994),"Concluída","Concluída com atraso"),IF($J994="","Na carteira",IF($J994&lt;TODAY(),"VENCIDA",IF($L994="Em execução","Em execução",IF($J994=TODAY(),"Hoje","Programada")))))))</f>
        <v/>
      </c>
      <c r="Q994" s="31" t="str">
        <f aca="false">IF($E994="","",IF(ISNUMBER(SEARCH("(externo)",$G994)),"Terceirizada","Interna"))</f>
        <v/>
      </c>
      <c r="R994" s="36" t="str">
        <f aca="false">IF($J994="","",IF($M994="",$J994,$M994))</f>
        <v/>
      </c>
      <c r="S994" s="31" t="str">
        <f aca="false">IF($E994="","",IF(OR($K994="",$J994=""),0,IF($K994&lt;=$J994,1,0)))</f>
        <v/>
      </c>
      <c r="T994" s="31" t="str">
        <f aca="false">IF($E994="","",IF(OR($K994="",$R994=""),0,IF($K994&lt;=$R994,1,0)))</f>
        <v/>
      </c>
      <c r="U994" s="38" t="str">
        <f aca="false">IF(OR($K994="",$J994=""),"",MAX(0,$K994-$J994))</f>
        <v/>
      </c>
      <c r="V994" s="31" t="str">
        <f aca="false">IF($E994="","",IF(AND($M994&lt;&gt;"",$J994&lt;&gt;"",$M994&lt;&gt;$J994),1,0))</f>
        <v/>
      </c>
      <c r="W994" s="39" t="str">
        <f aca="false">IF($E994="","",IF($L994="Cancelada",0,IF(OR($K994&lt;&gt;"",$L994="Concluída"),1,0)))</f>
        <v/>
      </c>
    </row>
    <row r="995" customFormat="false" ht="15" hidden="false" customHeight="true" outlineLevel="0" collapsed="false">
      <c r="A995" s="31" t="str">
        <f aca="false">IF($E995="","",COUNTA($E$5:$E995))</f>
        <v/>
      </c>
      <c r="B995" s="32"/>
      <c r="C995" s="32"/>
      <c r="D995" s="32"/>
      <c r="E995" s="32"/>
      <c r="F995" s="33"/>
      <c r="G995" s="32"/>
      <c r="H995" s="34"/>
      <c r="I995" s="35"/>
      <c r="J995" s="36" t="str">
        <f aca="false">IF(OR($H995="",$I995=""),"",$H995+MATCH($I995,Listas!$F$5:$F$11,0)-1)</f>
        <v/>
      </c>
      <c r="K995" s="37"/>
      <c r="L995" s="33"/>
      <c r="M995" s="37"/>
      <c r="N995" s="32"/>
      <c r="O995" s="32"/>
      <c r="P995" s="38" t="str">
        <f aca="true">IF($E995="","",IF($L995="Cancelada","Cancelada",IF(OR($K995&lt;&gt;"",$L995="Concluída"),IF(OR($J995="",$K995="",$K995&lt;=$J995),"Concluída","Concluída com atraso"),IF($J995="","Na carteira",IF($J995&lt;TODAY(),"VENCIDA",IF($L995="Em execução","Em execução",IF($J995=TODAY(),"Hoje","Programada")))))))</f>
        <v/>
      </c>
      <c r="Q995" s="31" t="str">
        <f aca="false">IF($E995="","",IF(ISNUMBER(SEARCH("(externo)",$G995)),"Terceirizada","Interna"))</f>
        <v/>
      </c>
      <c r="R995" s="36" t="str">
        <f aca="false">IF($J995="","",IF($M995="",$J995,$M995))</f>
        <v/>
      </c>
      <c r="S995" s="31" t="str">
        <f aca="false">IF($E995="","",IF(OR($K995="",$J995=""),0,IF($K995&lt;=$J995,1,0)))</f>
        <v/>
      </c>
      <c r="T995" s="31" t="str">
        <f aca="false">IF($E995="","",IF(OR($K995="",$R995=""),0,IF($K995&lt;=$R995,1,0)))</f>
        <v/>
      </c>
      <c r="U995" s="38" t="str">
        <f aca="false">IF(OR($K995="",$J995=""),"",MAX(0,$K995-$J995))</f>
        <v/>
      </c>
      <c r="V995" s="31" t="str">
        <f aca="false">IF($E995="","",IF(AND($M995&lt;&gt;"",$J995&lt;&gt;"",$M995&lt;&gt;$J995),1,0))</f>
        <v/>
      </c>
      <c r="W995" s="39" t="str">
        <f aca="false">IF($E995="","",IF($L995="Cancelada",0,IF(OR($K995&lt;&gt;"",$L995="Concluída"),1,0)))</f>
        <v/>
      </c>
    </row>
    <row r="996" customFormat="false" ht="15" hidden="false" customHeight="true" outlineLevel="0" collapsed="false">
      <c r="A996" s="31" t="str">
        <f aca="false">IF($E996="","",COUNTA($E$5:$E996))</f>
        <v/>
      </c>
      <c r="B996" s="32"/>
      <c r="C996" s="32"/>
      <c r="D996" s="32"/>
      <c r="E996" s="32"/>
      <c r="F996" s="33"/>
      <c r="G996" s="32"/>
      <c r="H996" s="34"/>
      <c r="I996" s="35"/>
      <c r="J996" s="36" t="str">
        <f aca="false">IF(OR($H996="",$I996=""),"",$H996+MATCH($I996,Listas!$F$5:$F$11,0)-1)</f>
        <v/>
      </c>
      <c r="K996" s="37"/>
      <c r="L996" s="33"/>
      <c r="M996" s="37"/>
      <c r="N996" s="32"/>
      <c r="O996" s="32"/>
      <c r="P996" s="38" t="str">
        <f aca="true">IF($E996="","",IF($L996="Cancelada","Cancelada",IF(OR($K996&lt;&gt;"",$L996="Concluída"),IF(OR($J996="",$K996="",$K996&lt;=$J996),"Concluída","Concluída com atraso"),IF($J996="","Na carteira",IF($J996&lt;TODAY(),"VENCIDA",IF($L996="Em execução","Em execução",IF($J996=TODAY(),"Hoje","Programada")))))))</f>
        <v/>
      </c>
      <c r="Q996" s="31" t="str">
        <f aca="false">IF($E996="","",IF(ISNUMBER(SEARCH("(externo)",$G996)),"Terceirizada","Interna"))</f>
        <v/>
      </c>
      <c r="R996" s="36" t="str">
        <f aca="false">IF($J996="","",IF($M996="",$J996,$M996))</f>
        <v/>
      </c>
      <c r="S996" s="31" t="str">
        <f aca="false">IF($E996="","",IF(OR($K996="",$J996=""),0,IF($K996&lt;=$J996,1,0)))</f>
        <v/>
      </c>
      <c r="T996" s="31" t="str">
        <f aca="false">IF($E996="","",IF(OR($K996="",$R996=""),0,IF($K996&lt;=$R996,1,0)))</f>
        <v/>
      </c>
      <c r="U996" s="38" t="str">
        <f aca="false">IF(OR($K996="",$J996=""),"",MAX(0,$K996-$J996))</f>
        <v/>
      </c>
      <c r="V996" s="31" t="str">
        <f aca="false">IF($E996="","",IF(AND($M996&lt;&gt;"",$J996&lt;&gt;"",$M996&lt;&gt;$J996),1,0))</f>
        <v/>
      </c>
      <c r="W996" s="39" t="str">
        <f aca="false">IF($E996="","",IF($L996="Cancelada",0,IF(OR($K996&lt;&gt;"",$L996="Concluída"),1,0)))</f>
        <v/>
      </c>
    </row>
    <row r="997" customFormat="false" ht="15" hidden="false" customHeight="true" outlineLevel="0" collapsed="false">
      <c r="A997" s="31" t="str">
        <f aca="false">IF($E997="","",COUNTA($E$5:$E997))</f>
        <v/>
      </c>
      <c r="B997" s="32"/>
      <c r="C997" s="32"/>
      <c r="D997" s="32"/>
      <c r="E997" s="32"/>
      <c r="F997" s="33"/>
      <c r="G997" s="32"/>
      <c r="H997" s="34"/>
      <c r="I997" s="35"/>
      <c r="J997" s="36" t="str">
        <f aca="false">IF(OR($H997="",$I997=""),"",$H997+MATCH($I997,Listas!$F$5:$F$11,0)-1)</f>
        <v/>
      </c>
      <c r="K997" s="37"/>
      <c r="L997" s="33"/>
      <c r="M997" s="37"/>
      <c r="N997" s="32"/>
      <c r="O997" s="32"/>
      <c r="P997" s="38" t="str">
        <f aca="true">IF($E997="","",IF($L997="Cancelada","Cancelada",IF(OR($K997&lt;&gt;"",$L997="Concluída"),IF(OR($J997="",$K997="",$K997&lt;=$J997),"Concluída","Concluída com atraso"),IF($J997="","Na carteira",IF($J997&lt;TODAY(),"VENCIDA",IF($L997="Em execução","Em execução",IF($J997=TODAY(),"Hoje","Programada")))))))</f>
        <v/>
      </c>
      <c r="Q997" s="31" t="str">
        <f aca="false">IF($E997="","",IF(ISNUMBER(SEARCH("(externo)",$G997)),"Terceirizada","Interna"))</f>
        <v/>
      </c>
      <c r="R997" s="36" t="str">
        <f aca="false">IF($J997="","",IF($M997="",$J997,$M997))</f>
        <v/>
      </c>
      <c r="S997" s="31" t="str">
        <f aca="false">IF($E997="","",IF(OR($K997="",$J997=""),0,IF($K997&lt;=$J997,1,0)))</f>
        <v/>
      </c>
      <c r="T997" s="31" t="str">
        <f aca="false">IF($E997="","",IF(OR($K997="",$R997=""),0,IF($K997&lt;=$R997,1,0)))</f>
        <v/>
      </c>
      <c r="U997" s="38" t="str">
        <f aca="false">IF(OR($K997="",$J997=""),"",MAX(0,$K997-$J997))</f>
        <v/>
      </c>
      <c r="V997" s="31" t="str">
        <f aca="false">IF($E997="","",IF(AND($M997&lt;&gt;"",$J997&lt;&gt;"",$M997&lt;&gt;$J997),1,0))</f>
        <v/>
      </c>
      <c r="W997" s="39" t="str">
        <f aca="false">IF($E997="","",IF($L997="Cancelada",0,IF(OR($K997&lt;&gt;"",$L997="Concluída"),1,0)))</f>
        <v/>
      </c>
    </row>
    <row r="998" customFormat="false" ht="15" hidden="false" customHeight="true" outlineLevel="0" collapsed="false">
      <c r="A998" s="31" t="str">
        <f aca="false">IF($E998="","",COUNTA($E$5:$E998))</f>
        <v/>
      </c>
      <c r="B998" s="32"/>
      <c r="C998" s="32"/>
      <c r="D998" s="32"/>
      <c r="E998" s="32"/>
      <c r="F998" s="33"/>
      <c r="G998" s="32"/>
      <c r="H998" s="34"/>
      <c r="I998" s="35"/>
      <c r="J998" s="36" t="str">
        <f aca="false">IF(OR($H998="",$I998=""),"",$H998+MATCH($I998,Listas!$F$5:$F$11,0)-1)</f>
        <v/>
      </c>
      <c r="K998" s="37"/>
      <c r="L998" s="33"/>
      <c r="M998" s="37"/>
      <c r="N998" s="32"/>
      <c r="O998" s="32"/>
      <c r="P998" s="38" t="str">
        <f aca="true">IF($E998="","",IF($L998="Cancelada","Cancelada",IF(OR($K998&lt;&gt;"",$L998="Concluída"),IF(OR($J998="",$K998="",$K998&lt;=$J998),"Concluída","Concluída com atraso"),IF($J998="","Na carteira",IF($J998&lt;TODAY(),"VENCIDA",IF($L998="Em execução","Em execução",IF($J998=TODAY(),"Hoje","Programada")))))))</f>
        <v/>
      </c>
      <c r="Q998" s="31" t="str">
        <f aca="false">IF($E998="","",IF(ISNUMBER(SEARCH("(externo)",$G998)),"Terceirizada","Interna"))</f>
        <v/>
      </c>
      <c r="R998" s="36" t="str">
        <f aca="false">IF($J998="","",IF($M998="",$J998,$M998))</f>
        <v/>
      </c>
      <c r="S998" s="31" t="str">
        <f aca="false">IF($E998="","",IF(OR($K998="",$J998=""),0,IF($K998&lt;=$J998,1,0)))</f>
        <v/>
      </c>
      <c r="T998" s="31" t="str">
        <f aca="false">IF($E998="","",IF(OR($K998="",$R998=""),0,IF($K998&lt;=$R998,1,0)))</f>
        <v/>
      </c>
      <c r="U998" s="38" t="str">
        <f aca="false">IF(OR($K998="",$J998=""),"",MAX(0,$K998-$J998))</f>
        <v/>
      </c>
      <c r="V998" s="31" t="str">
        <f aca="false">IF($E998="","",IF(AND($M998&lt;&gt;"",$J998&lt;&gt;"",$M998&lt;&gt;$J998),1,0))</f>
        <v/>
      </c>
      <c r="W998" s="39" t="str">
        <f aca="false">IF($E998="","",IF($L998="Cancelada",0,IF(OR($K998&lt;&gt;"",$L998="Concluída"),1,0)))</f>
        <v/>
      </c>
    </row>
    <row r="999" customFormat="false" ht="15" hidden="false" customHeight="true" outlineLevel="0" collapsed="false">
      <c r="A999" s="31" t="str">
        <f aca="false">IF($E999="","",COUNTA($E$5:$E999))</f>
        <v/>
      </c>
      <c r="B999" s="32"/>
      <c r="C999" s="32"/>
      <c r="D999" s="32"/>
      <c r="E999" s="32"/>
      <c r="F999" s="33"/>
      <c r="G999" s="32"/>
      <c r="H999" s="34"/>
      <c r="I999" s="35"/>
      <c r="J999" s="36" t="str">
        <f aca="false">IF(OR($H999="",$I999=""),"",$H999+MATCH($I999,Listas!$F$5:$F$11,0)-1)</f>
        <v/>
      </c>
      <c r="K999" s="37"/>
      <c r="L999" s="33"/>
      <c r="M999" s="37"/>
      <c r="N999" s="32"/>
      <c r="O999" s="32"/>
      <c r="P999" s="38" t="str">
        <f aca="true">IF($E999="","",IF($L999="Cancelada","Cancelada",IF(OR($K999&lt;&gt;"",$L999="Concluída"),IF(OR($J999="",$K999="",$K999&lt;=$J999),"Concluída","Concluída com atraso"),IF($J999="","Na carteira",IF($J999&lt;TODAY(),"VENCIDA",IF($L999="Em execução","Em execução",IF($J999=TODAY(),"Hoje","Programada")))))))</f>
        <v/>
      </c>
      <c r="Q999" s="31" t="str">
        <f aca="false">IF($E999="","",IF(ISNUMBER(SEARCH("(externo)",$G999)),"Terceirizada","Interna"))</f>
        <v/>
      </c>
      <c r="R999" s="36" t="str">
        <f aca="false">IF($J999="","",IF($M999="",$J999,$M999))</f>
        <v/>
      </c>
      <c r="S999" s="31" t="str">
        <f aca="false">IF($E999="","",IF(OR($K999="",$J999=""),0,IF($K999&lt;=$J999,1,0)))</f>
        <v/>
      </c>
      <c r="T999" s="31" t="str">
        <f aca="false">IF($E999="","",IF(OR($K999="",$R999=""),0,IF($K999&lt;=$R999,1,0)))</f>
        <v/>
      </c>
      <c r="U999" s="38" t="str">
        <f aca="false">IF(OR($K999="",$J999=""),"",MAX(0,$K999-$J999))</f>
        <v/>
      </c>
      <c r="V999" s="31" t="str">
        <f aca="false">IF($E999="","",IF(AND($M999&lt;&gt;"",$J999&lt;&gt;"",$M999&lt;&gt;$J999),1,0))</f>
        <v/>
      </c>
      <c r="W999" s="39" t="str">
        <f aca="false">IF($E999="","",IF($L999="Cancelada",0,IF(OR($K999&lt;&gt;"",$L999="Concluída"),1,0)))</f>
        <v/>
      </c>
    </row>
    <row r="1000" customFormat="false" ht="15" hidden="false" customHeight="true" outlineLevel="0" collapsed="false">
      <c r="A1000" s="31" t="str">
        <f aca="false">IF($E1000="","",COUNTA($E$5:$E1000))</f>
        <v/>
      </c>
      <c r="B1000" s="32"/>
      <c r="C1000" s="32"/>
      <c r="D1000" s="32"/>
      <c r="E1000" s="32"/>
      <c r="F1000" s="33"/>
      <c r="G1000" s="32"/>
      <c r="H1000" s="34"/>
      <c r="I1000" s="35"/>
      <c r="J1000" s="36" t="str">
        <f aca="false">IF(OR($H1000="",$I1000=""),"",$H1000+MATCH($I1000,Listas!$F$5:$F$11,0)-1)</f>
        <v/>
      </c>
      <c r="K1000" s="37"/>
      <c r="L1000" s="33"/>
      <c r="M1000" s="37"/>
      <c r="N1000" s="32"/>
      <c r="O1000" s="32"/>
      <c r="P1000" s="38" t="str">
        <f aca="true">IF($E1000="","",IF($L1000="Cancelada","Cancelada",IF(OR($K1000&lt;&gt;"",$L1000="Concluída"),IF(OR($J1000="",$K1000="",$K1000&lt;=$J1000),"Concluída","Concluída com atraso"),IF($J1000="","Na carteira",IF($J1000&lt;TODAY(),"VENCIDA",IF($L1000="Em execução","Em execução",IF($J1000=TODAY(),"Hoje","Programada")))))))</f>
        <v/>
      </c>
      <c r="Q1000" s="31" t="str">
        <f aca="false">IF($E1000="","",IF(ISNUMBER(SEARCH("(externo)",$G1000)),"Terceirizada","Interna"))</f>
        <v/>
      </c>
      <c r="R1000" s="36" t="str">
        <f aca="false">IF($J1000="","",IF($M1000="",$J1000,$M1000))</f>
        <v/>
      </c>
      <c r="S1000" s="31" t="str">
        <f aca="false">IF($E1000="","",IF(OR($K1000="",$J1000=""),0,IF($K1000&lt;=$J1000,1,0)))</f>
        <v/>
      </c>
      <c r="T1000" s="31" t="str">
        <f aca="false">IF($E1000="","",IF(OR($K1000="",$R1000=""),0,IF($K1000&lt;=$R1000,1,0)))</f>
        <v/>
      </c>
      <c r="U1000" s="38" t="str">
        <f aca="false">IF(OR($K1000="",$J1000=""),"",MAX(0,$K1000-$J1000))</f>
        <v/>
      </c>
      <c r="V1000" s="31" t="str">
        <f aca="false">IF($E1000="","",IF(AND($M1000&lt;&gt;"",$J1000&lt;&gt;"",$M1000&lt;&gt;$J1000),1,0))</f>
        <v/>
      </c>
      <c r="W1000" s="39" t="str">
        <f aca="false">IF($E1000="","",IF($L1000="Cancelada",0,IF(OR($K1000&lt;&gt;"",$L1000="Concluída"),1,0)))</f>
        <v/>
      </c>
    </row>
    <row r="1001" customFormat="false" ht="15" hidden="false" customHeight="true" outlineLevel="0" collapsed="false">
      <c r="A1001" s="31" t="str">
        <f aca="false">IF($E1001="","",COUNTA($E$5:$E1001))</f>
        <v/>
      </c>
      <c r="B1001" s="32"/>
      <c r="C1001" s="32"/>
      <c r="D1001" s="32"/>
      <c r="E1001" s="32"/>
      <c r="F1001" s="33"/>
      <c r="G1001" s="32"/>
      <c r="H1001" s="34"/>
      <c r="I1001" s="35"/>
      <c r="J1001" s="36" t="str">
        <f aca="false">IF(OR($H1001="",$I1001=""),"",$H1001+MATCH($I1001,Listas!$F$5:$F$11,0)-1)</f>
        <v/>
      </c>
      <c r="K1001" s="37"/>
      <c r="L1001" s="33"/>
      <c r="M1001" s="37"/>
      <c r="N1001" s="32"/>
      <c r="O1001" s="32"/>
      <c r="P1001" s="38" t="str">
        <f aca="true">IF($E1001="","",IF($L1001="Cancelada","Cancelada",IF(OR($K1001&lt;&gt;"",$L1001="Concluída"),IF(OR($J1001="",$K1001="",$K1001&lt;=$J1001),"Concluída","Concluída com atraso"),IF($J1001="","Na carteira",IF($J1001&lt;TODAY(),"VENCIDA",IF($L1001="Em execução","Em execução",IF($J1001=TODAY(),"Hoje","Programada")))))))</f>
        <v/>
      </c>
      <c r="Q1001" s="31" t="str">
        <f aca="false">IF($E1001="","",IF(ISNUMBER(SEARCH("(externo)",$G1001)),"Terceirizada","Interna"))</f>
        <v/>
      </c>
      <c r="R1001" s="36" t="str">
        <f aca="false">IF($J1001="","",IF($M1001="",$J1001,$M1001))</f>
        <v/>
      </c>
      <c r="S1001" s="31" t="str">
        <f aca="false">IF($E1001="","",IF(OR($K1001="",$J1001=""),0,IF($K1001&lt;=$J1001,1,0)))</f>
        <v/>
      </c>
      <c r="T1001" s="31" t="str">
        <f aca="false">IF($E1001="","",IF(OR($K1001="",$R1001=""),0,IF($K1001&lt;=$R1001,1,0)))</f>
        <v/>
      </c>
      <c r="U1001" s="38" t="str">
        <f aca="false">IF(OR($K1001="",$J1001=""),"",MAX(0,$K1001-$J1001))</f>
        <v/>
      </c>
      <c r="V1001" s="31" t="str">
        <f aca="false">IF($E1001="","",IF(AND($M1001&lt;&gt;"",$J1001&lt;&gt;"",$M1001&lt;&gt;$J1001),1,0))</f>
        <v/>
      </c>
      <c r="W1001" s="39" t="str">
        <f aca="false">IF($E1001="","",IF($L1001="Cancelada",0,IF(OR($K1001&lt;&gt;"",$L1001="Concluída"),1,0)))</f>
        <v/>
      </c>
    </row>
    <row r="1002" customFormat="false" ht="15" hidden="false" customHeight="true" outlineLevel="0" collapsed="false">
      <c r="A1002" s="31" t="str">
        <f aca="false">IF($E1002="","",COUNTA($E$5:$E1002))</f>
        <v/>
      </c>
      <c r="B1002" s="32"/>
      <c r="C1002" s="32"/>
      <c r="D1002" s="32"/>
      <c r="E1002" s="32"/>
      <c r="F1002" s="33"/>
      <c r="G1002" s="32"/>
      <c r="H1002" s="34"/>
      <c r="I1002" s="35"/>
      <c r="J1002" s="36" t="str">
        <f aca="false">IF(OR($H1002="",$I1002=""),"",$H1002+MATCH($I1002,Listas!$F$5:$F$11,0)-1)</f>
        <v/>
      </c>
      <c r="K1002" s="37"/>
      <c r="L1002" s="33"/>
      <c r="M1002" s="37"/>
      <c r="N1002" s="32"/>
      <c r="O1002" s="32"/>
      <c r="P1002" s="38" t="str">
        <f aca="true">IF($E1002="","",IF($L1002="Cancelada","Cancelada",IF(OR($K1002&lt;&gt;"",$L1002="Concluída"),IF(OR($J1002="",$K1002="",$K1002&lt;=$J1002),"Concluída","Concluída com atraso"),IF($J1002="","Na carteira",IF($J1002&lt;TODAY(),"VENCIDA",IF($L1002="Em execução","Em execução",IF($J1002=TODAY(),"Hoje","Programada")))))))</f>
        <v/>
      </c>
      <c r="Q1002" s="31" t="str">
        <f aca="false">IF($E1002="","",IF(ISNUMBER(SEARCH("(externo)",$G1002)),"Terceirizada","Interna"))</f>
        <v/>
      </c>
      <c r="R1002" s="36" t="str">
        <f aca="false">IF($J1002="","",IF($M1002="",$J1002,$M1002))</f>
        <v/>
      </c>
      <c r="S1002" s="31" t="str">
        <f aca="false">IF($E1002="","",IF(OR($K1002="",$J1002=""),0,IF($K1002&lt;=$J1002,1,0)))</f>
        <v/>
      </c>
      <c r="T1002" s="31" t="str">
        <f aca="false">IF($E1002="","",IF(OR($K1002="",$R1002=""),0,IF($K1002&lt;=$R1002,1,0)))</f>
        <v/>
      </c>
      <c r="U1002" s="38" t="str">
        <f aca="false">IF(OR($K1002="",$J1002=""),"",MAX(0,$K1002-$J1002))</f>
        <v/>
      </c>
      <c r="V1002" s="31" t="str">
        <f aca="false">IF($E1002="","",IF(AND($M1002&lt;&gt;"",$J1002&lt;&gt;"",$M1002&lt;&gt;$J1002),1,0))</f>
        <v/>
      </c>
      <c r="W1002" s="39" t="str">
        <f aca="false">IF($E1002="","",IF($L1002="Cancelada",0,IF(OR($K1002&lt;&gt;"",$L1002="Concluída"),1,0)))</f>
        <v/>
      </c>
    </row>
    <row r="1003" customFormat="false" ht="15" hidden="false" customHeight="true" outlineLevel="0" collapsed="false">
      <c r="A1003" s="31" t="str">
        <f aca="false">IF($E1003="","",COUNTA($E$5:$E1003))</f>
        <v/>
      </c>
      <c r="B1003" s="32"/>
      <c r="C1003" s="32"/>
      <c r="D1003" s="32"/>
      <c r="E1003" s="32"/>
      <c r="F1003" s="33"/>
      <c r="G1003" s="32"/>
      <c r="H1003" s="34"/>
      <c r="I1003" s="35"/>
      <c r="J1003" s="36" t="str">
        <f aca="false">IF(OR($H1003="",$I1003=""),"",$H1003+MATCH($I1003,Listas!$F$5:$F$11,0)-1)</f>
        <v/>
      </c>
      <c r="K1003" s="37"/>
      <c r="L1003" s="33"/>
      <c r="M1003" s="37"/>
      <c r="N1003" s="32"/>
      <c r="O1003" s="32"/>
      <c r="P1003" s="38" t="str">
        <f aca="true">IF($E1003="","",IF($L1003="Cancelada","Cancelada",IF(OR($K1003&lt;&gt;"",$L1003="Concluída"),IF(OR($J1003="",$K1003="",$K1003&lt;=$J1003),"Concluída","Concluída com atraso"),IF($J1003="","Na carteira",IF($J1003&lt;TODAY(),"VENCIDA",IF($L1003="Em execução","Em execução",IF($J1003=TODAY(),"Hoje","Programada")))))))</f>
        <v/>
      </c>
      <c r="Q1003" s="31" t="str">
        <f aca="false">IF($E1003="","",IF(ISNUMBER(SEARCH("(externo)",$G1003)),"Terceirizada","Interna"))</f>
        <v/>
      </c>
      <c r="R1003" s="36" t="str">
        <f aca="false">IF($J1003="","",IF($M1003="",$J1003,$M1003))</f>
        <v/>
      </c>
      <c r="S1003" s="31" t="str">
        <f aca="false">IF($E1003="","",IF(OR($K1003="",$J1003=""),0,IF($K1003&lt;=$J1003,1,0)))</f>
        <v/>
      </c>
      <c r="T1003" s="31" t="str">
        <f aca="false">IF($E1003="","",IF(OR($K1003="",$R1003=""),0,IF($K1003&lt;=$R1003,1,0)))</f>
        <v/>
      </c>
      <c r="U1003" s="38" t="str">
        <f aca="false">IF(OR($K1003="",$J1003=""),"",MAX(0,$K1003-$J1003))</f>
        <v/>
      </c>
      <c r="V1003" s="31" t="str">
        <f aca="false">IF($E1003="","",IF(AND($M1003&lt;&gt;"",$J1003&lt;&gt;"",$M1003&lt;&gt;$J1003),1,0))</f>
        <v/>
      </c>
      <c r="W1003" s="39" t="str">
        <f aca="false">IF($E1003="","",IF($L1003="Cancelada",0,IF(OR($K1003&lt;&gt;"",$L1003="Concluída"),1,0)))</f>
        <v/>
      </c>
    </row>
    <row r="1004" customFormat="false" ht="15" hidden="false" customHeight="true" outlineLevel="0" collapsed="false">
      <c r="A1004" s="31" t="str">
        <f aca="false">IF($E1004="","",COUNTA($E$5:$E1004))</f>
        <v/>
      </c>
      <c r="B1004" s="32"/>
      <c r="C1004" s="32"/>
      <c r="D1004" s="32"/>
      <c r="E1004" s="32"/>
      <c r="F1004" s="33"/>
      <c r="G1004" s="32"/>
      <c r="H1004" s="34"/>
      <c r="I1004" s="35"/>
      <c r="J1004" s="36" t="str">
        <f aca="false">IF(OR($H1004="",$I1004=""),"",$H1004+MATCH($I1004,Listas!$F$5:$F$11,0)-1)</f>
        <v/>
      </c>
      <c r="K1004" s="37"/>
      <c r="L1004" s="33"/>
      <c r="M1004" s="37"/>
      <c r="N1004" s="32"/>
      <c r="O1004" s="32"/>
      <c r="P1004" s="38" t="str">
        <f aca="true">IF($E1004="","",IF($L1004="Cancelada","Cancelada",IF(OR($K1004&lt;&gt;"",$L1004="Concluída"),IF(OR($J1004="",$K1004="",$K1004&lt;=$J1004),"Concluída","Concluída com atraso"),IF($J1004="","Na carteira",IF($J1004&lt;TODAY(),"VENCIDA",IF($L1004="Em execução","Em execução",IF($J1004=TODAY(),"Hoje","Programada")))))))</f>
        <v/>
      </c>
      <c r="Q1004" s="31" t="str">
        <f aca="false">IF($E1004="","",IF(ISNUMBER(SEARCH("(externo)",$G1004)),"Terceirizada","Interna"))</f>
        <v/>
      </c>
      <c r="R1004" s="36" t="str">
        <f aca="false">IF($J1004="","",IF($M1004="",$J1004,$M1004))</f>
        <v/>
      </c>
      <c r="S1004" s="31" t="str">
        <f aca="false">IF($E1004="","",IF(OR($K1004="",$J1004=""),0,IF($K1004&lt;=$J1004,1,0)))</f>
        <v/>
      </c>
      <c r="T1004" s="31" t="str">
        <f aca="false">IF($E1004="","",IF(OR($K1004="",$R1004=""),0,IF($K1004&lt;=$R1004,1,0)))</f>
        <v/>
      </c>
      <c r="U1004" s="38" t="str">
        <f aca="false">IF(OR($K1004="",$J1004=""),"",MAX(0,$K1004-$J1004))</f>
        <v/>
      </c>
      <c r="V1004" s="31" t="str">
        <f aca="false">IF($E1004="","",IF(AND($M1004&lt;&gt;"",$J1004&lt;&gt;"",$M1004&lt;&gt;$J1004),1,0))</f>
        <v/>
      </c>
      <c r="W1004" s="39" t="str">
        <f aca="false">IF($E1004="","",IF($L1004="Cancelada",0,IF(OR($K1004&lt;&gt;"",$L1004="Concluída"),1,0)))</f>
        <v/>
      </c>
    </row>
  </sheetData>
  <autoFilter ref="A3:W1004"/>
  <mergeCells count="5">
    <mergeCell ref="A1:W1"/>
    <mergeCell ref="B2:G2"/>
    <mergeCell ref="H2:J2"/>
    <mergeCell ref="K2:O2"/>
    <mergeCell ref="P2:W2"/>
  </mergeCells>
  <conditionalFormatting sqref="P5:P1004">
    <cfRule type="cellIs" priority="2" operator="equal" aboveAverage="0" equalAverage="0" bottom="0" percent="0" rank="0" text="" dxfId="16">
      <formula>"VENCIDA"</formula>
    </cfRule>
    <cfRule type="cellIs" priority="3" operator="equal" aboveAverage="0" equalAverage="0" bottom="0" percent="0" rank="0" text="" dxfId="17">
      <formula>"Concluída"</formula>
    </cfRule>
    <cfRule type="cellIs" priority="4" operator="equal" aboveAverage="0" equalAverage="0" bottom="0" percent="0" rank="0" text="" dxfId="18">
      <formula>"Concluída com atraso"</formula>
    </cfRule>
    <cfRule type="cellIs" priority="5" operator="equal" aboveAverage="0" equalAverage="0" bottom="0" percent="0" rank="0" text="" dxfId="19">
      <formula>"Hoje"</formula>
    </cfRule>
    <cfRule type="cellIs" priority="6" operator="equal" aboveAverage="0" equalAverage="0" bottom="0" percent="0" rank="0" text="" dxfId="19">
      <formula>"Em execução"</formula>
    </cfRule>
    <cfRule type="cellIs" priority="7" operator="equal" aboveAverage="0" equalAverage="0" bottom="0" percent="0" rank="0" text="" dxfId="20">
      <formula>"Na carteira"</formula>
    </cfRule>
  </conditionalFormatting>
  <conditionalFormatting sqref="U5:U1004">
    <cfRule type="cellIs" priority="8" operator="greaterThan" aboveAverage="0" equalAverage="0" bottom="0" percent="0" rank="0" text="" dxfId="21">
      <formula>0</formula>
    </cfRule>
  </conditionalFormatting>
  <dataValidations count="6">
    <dataValidation allowBlank="true" error="Escolha uma frota da aba Listas." errorStyle="stop" errorTitle="Frota" operator="between" showDropDown="false" showErrorMessage="true" showInputMessage="false" sqref="C5:C1004" type="list">
      <formula1>Listas!$B$5:$B$64</formula1>
      <formula2>0</formula2>
    </dataValidation>
    <dataValidation allowBlank="true" error="Escolha um tipo da aba Listas." errorStyle="stop" errorTitle="Tipo" operator="between" showDropDown="false" showErrorMessage="true" showInputMessage="false" sqref="F5:F1004" type="list">
      <formula1>Listas!$C$5:$C$64</formula1>
      <formula2>0</formula2>
    </dataValidation>
    <dataValidation allowBlank="true" error="Escolha um executante da aba Listas." errorStyle="stop" errorTitle="Executante" operator="between" showDropDown="false" showErrorMessage="true" showInputMessage="false" sqref="G5:G1004" type="list">
      <formula1>Listas!$A$5:$A$64</formula1>
      <formula2>0</formula2>
    </dataValidation>
    <dataValidation allowBlank="true" error="Seg, Ter, Qua, Qui, Sex, Sáb ou Dom." errorStyle="stop" errorTitle="Dia" operator="between" showDropDown="false" showErrorMessage="true" showInputMessage="false" sqref="I5:I1004" type="list">
      <formula1>Listas!$F$5:$F$11</formula1>
      <formula2>0</formula2>
    </dataValidation>
    <dataValidation allowBlank="true" error="Deixe vazio, ou use Concluída / Em execução / Cancelada." errorStyle="stop" errorTitle="Marcar" operator="between" showDropDown="false" showErrorMessage="true" showInputMessage="false" sqref="L5:L1004" type="list">
      <formula1>Listas!$D$5:$D$7</formula1>
      <formula2>0</formula2>
    </dataValidation>
    <dataValidation allowBlank="true" error="Escolha da aba Listas ou escreva o seu." errorStyle="stop" errorTitle="Motivo" operator="between" showDropDown="false" showErrorMessage="true" showInputMessage="false" sqref="N5:N1004" type="list">
      <formula1>Listas!$E$5:$E$64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L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1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0"/>
  </cols>
  <sheetData>
    <row r="1" customFormat="false" ht="30" hidden="false" customHeight="true" outlineLevel="0" collapsed="false">
      <c r="A1" s="23" t="s">
        <v>482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3" customFormat="false" ht="15" hidden="false" customHeight="false" outlineLevel="0" collapsed="false">
      <c r="A3" s="40" t="s">
        <v>483</v>
      </c>
      <c r="B3" s="40"/>
      <c r="C3" s="41" t="n">
        <f aca="true">TODAY()-WEEKDAY(TODAY(),3)</f>
        <v>46258</v>
      </c>
      <c r="D3" s="20" t="s">
        <v>484</v>
      </c>
      <c r="E3" s="20"/>
      <c r="F3" s="20"/>
      <c r="G3" s="40" t="s">
        <v>485</v>
      </c>
      <c r="H3" s="40"/>
      <c r="I3" s="42" t="n">
        <v>4</v>
      </c>
      <c r="J3" s="20" t="s">
        <v>486</v>
      </c>
      <c r="K3" s="20"/>
      <c r="L3" s="20"/>
    </row>
    <row r="5" customFormat="false" ht="30" hidden="false" customHeight="true" outlineLevel="0" collapsed="false">
      <c r="A5" s="29" t="s">
        <v>162</v>
      </c>
      <c r="B5" s="43" t="n">
        <f aca="false">$C$3</f>
        <v>46258</v>
      </c>
      <c r="C5" s="43" t="n">
        <f aca="false">$C$3+1</f>
        <v>46259</v>
      </c>
      <c r="D5" s="43" t="n">
        <f aca="false">$C$3+2</f>
        <v>46260</v>
      </c>
      <c r="E5" s="43" t="n">
        <f aca="false">$C$3+3</f>
        <v>46261</v>
      </c>
      <c r="F5" s="43" t="n">
        <f aca="false">$C$3+4</f>
        <v>46262</v>
      </c>
      <c r="G5" s="43" t="n">
        <f aca="false">$C$3+5</f>
        <v>46263</v>
      </c>
      <c r="H5" s="43" t="n">
        <f aca="false">$C$3+6</f>
        <v>46264</v>
      </c>
      <c r="I5" s="29" t="s">
        <v>487</v>
      </c>
      <c r="J5" s="29" t="s">
        <v>488</v>
      </c>
      <c r="K5" s="29" t="s">
        <v>38</v>
      </c>
      <c r="L5" s="29" t="s">
        <v>489</v>
      </c>
    </row>
    <row r="6" customFormat="false" ht="16.5" hidden="false" customHeight="true" outlineLevel="0" collapsed="false">
      <c r="A6" s="22" t="str">
        <f aca="false">IF(Listas!A5="","",Listas!A5)</f>
        <v>Adilton</v>
      </c>
      <c r="B6" s="44" t="n">
        <f aca="false">IF($A6="","",COUNTIFS(Programação!$G$5:$G$1004,"*"&amp;$A6&amp;"*",Programação!$J$5:$J$1004,B$5,Programação!$L$5:$L$1004,"&lt;&gt;Cancelada"))</f>
        <v>8</v>
      </c>
      <c r="C6" s="44" t="n">
        <f aca="false">IF($A6="","",COUNTIFS(Programação!$G$5:$G$1004,"*"&amp;$A6&amp;"*",Programação!$J$5:$J$1004,C$5,Programação!$L$5:$L$1004,"&lt;&gt;Cancelada"))</f>
        <v>18</v>
      </c>
      <c r="D6" s="44" t="n">
        <f aca="false">IF($A6="","",COUNTIFS(Programação!$G$5:$G$1004,"*"&amp;$A6&amp;"*",Programação!$J$5:$J$1004,D$5,Programação!$L$5:$L$1004,"&lt;&gt;Cancelada"))</f>
        <v>17</v>
      </c>
      <c r="E6" s="44" t="n">
        <f aca="false">IF($A6="","",COUNTIFS(Programação!$G$5:$G$1004,"*"&amp;$A6&amp;"*",Programação!$J$5:$J$1004,E$5,Programação!$L$5:$L$1004,"&lt;&gt;Cancelada"))</f>
        <v>18</v>
      </c>
      <c r="F6" s="44" t="n">
        <f aca="false">IF($A6="","",COUNTIFS(Programação!$G$5:$G$1004,"*"&amp;$A6&amp;"*",Programação!$J$5:$J$1004,F$5,Programação!$L$5:$L$1004,"&lt;&gt;Cancelada"))</f>
        <v>0</v>
      </c>
      <c r="G6" s="44" t="n">
        <f aca="false">IF($A6="","",COUNTIFS(Programação!$G$5:$G$1004,"*"&amp;$A6&amp;"*",Programação!$J$5:$J$1004,G$5,Programação!$L$5:$L$1004,"&lt;&gt;Cancelada"))</f>
        <v>0</v>
      </c>
      <c r="H6" s="44" t="n">
        <f aca="false">IF($A6="","",COUNTIFS(Programação!$G$5:$G$1004,"*"&amp;$A6&amp;"*",Programação!$J$5:$J$1004,H$5,Programação!$L$5:$L$1004,"&lt;&gt;Cancelada"))</f>
        <v>0</v>
      </c>
      <c r="I6" s="45" t="n">
        <f aca="false">IF($A6="","",SUM($B6:$H6))</f>
        <v>61</v>
      </c>
      <c r="J6" s="45" t="n">
        <f aca="false">IF($A6="","",SUMIFS(Programação!$W$5:$W$1004,Programação!$G$5:$G$1004,"*"&amp;$A6&amp;"*",Programação!$J$5:$J$1004,"&gt;="&amp;$C$3,Programação!$J$5:$J$1004,"&lt;="&amp;$C$3+6))</f>
        <v>48</v>
      </c>
      <c r="K6" s="46" t="n">
        <f aca="false">IF(OR($A6="",$I6=0),"",$J6/$I6)</f>
        <v>0.786885245901639</v>
      </c>
      <c r="L6" s="45" t="n">
        <f aca="true">IF($A6="","",COUNTIFS(Programação!$G$5:$G$1004,"*"&amp;$A6&amp;"*",Programação!$J$5:$J$1004,"&gt;="&amp;$C$3,Programação!$J$5:$J$1004,"&lt;="&amp;$C$3+6,Programação!$J$5:$J$1004,"&lt;"&amp;TODAY(),Programação!$W$5:$W$1004,0,Programação!$L$5:$L$1004,"&lt;&gt;Cancelada"))</f>
        <v>0</v>
      </c>
    </row>
    <row r="7" customFormat="false" ht="16.5" hidden="false" customHeight="true" outlineLevel="0" collapsed="false">
      <c r="A7" s="22" t="str">
        <f aca="false">IF(Listas!A6="","",Listas!A6)</f>
        <v>Airton</v>
      </c>
      <c r="B7" s="44" t="n">
        <f aca="false">IF($A7="","",COUNTIFS(Programação!$G$5:$G$1004,"*"&amp;$A7&amp;"*",Programação!$J$5:$J$1004,B$5,Programação!$L$5:$L$1004,"&lt;&gt;Cancelada"))</f>
        <v>0</v>
      </c>
      <c r="C7" s="44" t="n">
        <f aca="false">IF($A7="","",COUNTIFS(Programação!$G$5:$G$1004,"*"&amp;$A7&amp;"*",Programação!$J$5:$J$1004,C$5,Programação!$L$5:$L$1004,"&lt;&gt;Cancelada"))</f>
        <v>0</v>
      </c>
      <c r="D7" s="44" t="n">
        <f aca="false">IF($A7="","",COUNTIFS(Programação!$G$5:$G$1004,"*"&amp;$A7&amp;"*",Programação!$J$5:$J$1004,D$5,Programação!$L$5:$L$1004,"&lt;&gt;Cancelada"))</f>
        <v>17</v>
      </c>
      <c r="E7" s="44" t="n">
        <f aca="false">IF($A7="","",COUNTIFS(Programação!$G$5:$G$1004,"*"&amp;$A7&amp;"*",Programação!$J$5:$J$1004,E$5,Programação!$L$5:$L$1004,"&lt;&gt;Cancelada"))</f>
        <v>40</v>
      </c>
      <c r="F7" s="44" t="n">
        <f aca="false">IF($A7="","",COUNTIFS(Programação!$G$5:$G$1004,"*"&amp;$A7&amp;"*",Programação!$J$5:$J$1004,F$5,Programação!$L$5:$L$1004,"&lt;&gt;Cancelada"))</f>
        <v>0</v>
      </c>
      <c r="G7" s="44" t="n">
        <f aca="false">IF($A7="","",COUNTIFS(Programação!$G$5:$G$1004,"*"&amp;$A7&amp;"*",Programação!$J$5:$J$1004,G$5,Programação!$L$5:$L$1004,"&lt;&gt;Cancelada"))</f>
        <v>0</v>
      </c>
      <c r="H7" s="44" t="n">
        <f aca="false">IF($A7="","",COUNTIFS(Programação!$G$5:$G$1004,"*"&amp;$A7&amp;"*",Programação!$J$5:$J$1004,H$5,Programação!$L$5:$L$1004,"&lt;&gt;Cancelada"))</f>
        <v>0</v>
      </c>
      <c r="I7" s="45" t="n">
        <f aca="false">IF($A7="","",SUM($B7:$H7))</f>
        <v>57</v>
      </c>
      <c r="J7" s="45" t="n">
        <f aca="false">IF($A7="","",SUMIFS(Programação!$W$5:$W$1004,Programação!$G$5:$G$1004,"*"&amp;$A7&amp;"*",Programação!$J$5:$J$1004,"&gt;="&amp;$C$3,Programação!$J$5:$J$1004,"&lt;="&amp;$C$3+6))</f>
        <v>15</v>
      </c>
      <c r="K7" s="46" t="n">
        <f aca="false">IF(OR($A7="",$I7=0),"",$J7/$I7)</f>
        <v>0.263157894736842</v>
      </c>
      <c r="L7" s="45" t="n">
        <f aca="true">IF($A7="","",COUNTIFS(Programação!$G$5:$G$1004,"*"&amp;$A7&amp;"*",Programação!$J$5:$J$1004,"&gt;="&amp;$C$3,Programação!$J$5:$J$1004,"&lt;="&amp;$C$3+6,Programação!$J$5:$J$1004,"&lt;"&amp;TODAY(),Programação!$W$5:$W$1004,0,Programação!$L$5:$L$1004,"&lt;&gt;Cancelada"))</f>
        <v>0</v>
      </c>
    </row>
    <row r="8" customFormat="false" ht="16.5" hidden="false" customHeight="true" outlineLevel="0" collapsed="false">
      <c r="A8" s="22" t="str">
        <f aca="false">IF(Listas!A7="","",Listas!A7)</f>
        <v>Alexandre</v>
      </c>
      <c r="B8" s="44" t="n">
        <f aca="false">IF($A8="","",COUNTIFS(Programação!$G$5:$G$1004,"*"&amp;$A8&amp;"*",Programação!$J$5:$J$1004,B$5,Programação!$L$5:$L$1004,"&lt;&gt;Cancelada"))</f>
        <v>11</v>
      </c>
      <c r="C8" s="44" t="n">
        <f aca="false">IF($A8="","",COUNTIFS(Programação!$G$5:$G$1004,"*"&amp;$A8&amp;"*",Programação!$J$5:$J$1004,C$5,Programação!$L$5:$L$1004,"&lt;&gt;Cancelada"))</f>
        <v>11</v>
      </c>
      <c r="D8" s="44" t="n">
        <f aca="false">IF($A8="","",COUNTIFS(Programação!$G$5:$G$1004,"*"&amp;$A8&amp;"*",Programação!$J$5:$J$1004,D$5,Programação!$L$5:$L$1004,"&lt;&gt;Cancelada"))</f>
        <v>9</v>
      </c>
      <c r="E8" s="44" t="n">
        <f aca="false">IF($A8="","",COUNTIFS(Programação!$G$5:$G$1004,"*"&amp;$A8&amp;"*",Programação!$J$5:$J$1004,E$5,Programação!$L$5:$L$1004,"&lt;&gt;Cancelada"))</f>
        <v>5</v>
      </c>
      <c r="F8" s="44" t="n">
        <f aca="false">IF($A8="","",COUNTIFS(Programação!$G$5:$G$1004,"*"&amp;$A8&amp;"*",Programação!$J$5:$J$1004,F$5,Programação!$L$5:$L$1004,"&lt;&gt;Cancelada"))</f>
        <v>0</v>
      </c>
      <c r="G8" s="44" t="n">
        <f aca="false">IF($A8="","",COUNTIFS(Programação!$G$5:$G$1004,"*"&amp;$A8&amp;"*",Programação!$J$5:$J$1004,G$5,Programação!$L$5:$L$1004,"&lt;&gt;Cancelada"))</f>
        <v>0</v>
      </c>
      <c r="H8" s="44" t="n">
        <f aca="false">IF($A8="","",COUNTIFS(Programação!$G$5:$G$1004,"*"&amp;$A8&amp;"*",Programação!$J$5:$J$1004,H$5,Programação!$L$5:$L$1004,"&lt;&gt;Cancelada"))</f>
        <v>0</v>
      </c>
      <c r="I8" s="45" t="n">
        <f aca="false">IF($A8="","",SUM($B8:$H8))</f>
        <v>36</v>
      </c>
      <c r="J8" s="45" t="n">
        <f aca="false">IF($A8="","",SUMIFS(Programação!$W$5:$W$1004,Programação!$G$5:$G$1004,"*"&amp;$A8&amp;"*",Programação!$J$5:$J$1004,"&gt;="&amp;$C$3,Programação!$J$5:$J$1004,"&lt;="&amp;$C$3+6))</f>
        <v>36</v>
      </c>
      <c r="K8" s="46" t="n">
        <f aca="false">IF(OR($A8="",$I8=0),"",$J8/$I8)</f>
        <v>1</v>
      </c>
      <c r="L8" s="45" t="n">
        <f aca="true">IF($A8="","",COUNTIFS(Programação!$G$5:$G$1004,"*"&amp;$A8&amp;"*",Programação!$J$5:$J$1004,"&gt;="&amp;$C$3,Programação!$J$5:$J$1004,"&lt;="&amp;$C$3+6,Programação!$J$5:$J$1004,"&lt;"&amp;TODAY(),Programação!$W$5:$W$1004,0,Programação!$L$5:$L$1004,"&lt;&gt;Cancelada"))</f>
        <v>0</v>
      </c>
    </row>
    <row r="9" customFormat="false" ht="16.5" hidden="false" customHeight="true" outlineLevel="0" collapsed="false">
      <c r="A9" s="22" t="str">
        <f aca="false">IF(Listas!A8="","",Listas!A8)</f>
        <v>Gabriel</v>
      </c>
      <c r="B9" s="44" t="n">
        <f aca="false">IF($A9="","",COUNTIFS(Programação!$G$5:$G$1004,"*"&amp;$A9&amp;"*",Programação!$J$5:$J$1004,B$5,Programação!$L$5:$L$1004,"&lt;&gt;Cancelada"))</f>
        <v>0</v>
      </c>
      <c r="C9" s="44" t="n">
        <f aca="false">IF($A9="","",COUNTIFS(Programação!$G$5:$G$1004,"*"&amp;$A9&amp;"*",Programação!$J$5:$J$1004,C$5,Programação!$L$5:$L$1004,"&lt;&gt;Cancelada"))</f>
        <v>10</v>
      </c>
      <c r="D9" s="44" t="n">
        <f aca="false">IF($A9="","",COUNTIFS(Programação!$G$5:$G$1004,"*"&amp;$A9&amp;"*",Programação!$J$5:$J$1004,D$5,Programação!$L$5:$L$1004,"&lt;&gt;Cancelada"))</f>
        <v>10</v>
      </c>
      <c r="E9" s="44" t="n">
        <f aca="false">IF($A9="","",COUNTIFS(Programação!$G$5:$G$1004,"*"&amp;$A9&amp;"*",Programação!$J$5:$J$1004,E$5,Programação!$L$5:$L$1004,"&lt;&gt;Cancelada"))</f>
        <v>16</v>
      </c>
      <c r="F9" s="44" t="n">
        <f aca="false">IF($A9="","",COUNTIFS(Programação!$G$5:$G$1004,"*"&amp;$A9&amp;"*",Programação!$J$5:$J$1004,F$5,Programação!$L$5:$L$1004,"&lt;&gt;Cancelada"))</f>
        <v>0</v>
      </c>
      <c r="G9" s="44" t="n">
        <f aca="false">IF($A9="","",COUNTIFS(Programação!$G$5:$G$1004,"*"&amp;$A9&amp;"*",Programação!$J$5:$J$1004,G$5,Programação!$L$5:$L$1004,"&lt;&gt;Cancelada"))</f>
        <v>0</v>
      </c>
      <c r="H9" s="44" t="n">
        <f aca="false">IF($A9="","",COUNTIFS(Programação!$G$5:$G$1004,"*"&amp;$A9&amp;"*",Programação!$J$5:$J$1004,H$5,Programação!$L$5:$L$1004,"&lt;&gt;Cancelada"))</f>
        <v>0</v>
      </c>
      <c r="I9" s="45" t="n">
        <f aca="false">IF($A9="","",SUM($B9:$H9))</f>
        <v>36</v>
      </c>
      <c r="J9" s="45" t="n">
        <f aca="false">IF($A9="","",SUMIFS(Programação!$W$5:$W$1004,Programação!$G$5:$G$1004,"*"&amp;$A9&amp;"*",Programação!$J$5:$J$1004,"&gt;="&amp;$C$3,Programação!$J$5:$J$1004,"&lt;="&amp;$C$3+6))</f>
        <v>20</v>
      </c>
      <c r="K9" s="46" t="n">
        <f aca="false">IF(OR($A9="",$I9=0),"",$J9/$I9)</f>
        <v>0.555555555555556</v>
      </c>
      <c r="L9" s="45" t="n">
        <f aca="true">IF($A9="","",COUNTIFS(Programação!$G$5:$G$1004,"*"&amp;$A9&amp;"*",Programação!$J$5:$J$1004,"&gt;="&amp;$C$3,Programação!$J$5:$J$1004,"&lt;="&amp;$C$3+6,Programação!$J$5:$J$1004,"&lt;"&amp;TODAY(),Programação!$W$5:$W$1004,0,Programação!$L$5:$L$1004,"&lt;&gt;Cancelada"))</f>
        <v>0</v>
      </c>
    </row>
    <row r="10" customFormat="false" ht="16.5" hidden="false" customHeight="true" outlineLevel="0" collapsed="false">
      <c r="A10" s="22" t="str">
        <f aca="false">IF(Listas!A9="","",Listas!A9)</f>
        <v>Heliton</v>
      </c>
      <c r="B10" s="44" t="n">
        <f aca="false">IF($A10="","",COUNTIFS(Programação!$G$5:$G$1004,"*"&amp;$A10&amp;"*",Programação!$J$5:$J$1004,B$5,Programação!$L$5:$L$1004,"&lt;&gt;Cancelada"))</f>
        <v>3</v>
      </c>
      <c r="C10" s="44" t="n">
        <f aca="false">IF($A10="","",COUNTIFS(Programação!$G$5:$G$1004,"*"&amp;$A10&amp;"*",Programação!$J$5:$J$1004,C$5,Programação!$L$5:$L$1004,"&lt;&gt;Cancelada"))</f>
        <v>3</v>
      </c>
      <c r="D10" s="44" t="n">
        <f aca="false">IF($A10="","",COUNTIFS(Programação!$G$5:$G$1004,"*"&amp;$A10&amp;"*",Programação!$J$5:$J$1004,D$5,Programação!$L$5:$L$1004,"&lt;&gt;Cancelada"))</f>
        <v>2</v>
      </c>
      <c r="E10" s="44" t="n">
        <f aca="false">IF($A10="","",COUNTIFS(Programação!$G$5:$G$1004,"*"&amp;$A10&amp;"*",Programação!$J$5:$J$1004,E$5,Programação!$L$5:$L$1004,"&lt;&gt;Cancelada"))</f>
        <v>34</v>
      </c>
      <c r="F10" s="44" t="n">
        <f aca="false">IF($A10="","",COUNTIFS(Programação!$G$5:$G$1004,"*"&amp;$A10&amp;"*",Programação!$J$5:$J$1004,F$5,Programação!$L$5:$L$1004,"&lt;&gt;Cancelada"))</f>
        <v>0</v>
      </c>
      <c r="G10" s="44" t="n">
        <f aca="false">IF($A10="","",COUNTIFS(Programação!$G$5:$G$1004,"*"&amp;$A10&amp;"*",Programação!$J$5:$J$1004,G$5,Programação!$L$5:$L$1004,"&lt;&gt;Cancelada"))</f>
        <v>0</v>
      </c>
      <c r="H10" s="44" t="n">
        <f aca="false">IF($A10="","",COUNTIFS(Programação!$G$5:$G$1004,"*"&amp;$A10&amp;"*",Programação!$J$5:$J$1004,H$5,Programação!$L$5:$L$1004,"&lt;&gt;Cancelada"))</f>
        <v>0</v>
      </c>
      <c r="I10" s="45" t="n">
        <f aca="false">IF($A10="","",SUM($B10:$H10))</f>
        <v>42</v>
      </c>
      <c r="J10" s="45" t="n">
        <f aca="false">IF($A10="","",SUMIFS(Programação!$W$5:$W$1004,Programação!$G$5:$G$1004,"*"&amp;$A10&amp;"*",Programação!$J$5:$J$1004,"&gt;="&amp;$C$3,Programação!$J$5:$J$1004,"&lt;="&amp;$C$3+6))</f>
        <v>8</v>
      </c>
      <c r="K10" s="46" t="n">
        <f aca="false">IF(OR($A10="",$I10=0),"",$J10/$I10)</f>
        <v>0.19047619047619</v>
      </c>
      <c r="L10" s="45" t="n">
        <f aca="true">IF($A10="","",COUNTIFS(Programação!$G$5:$G$1004,"*"&amp;$A10&amp;"*",Programação!$J$5:$J$1004,"&gt;="&amp;$C$3,Programação!$J$5:$J$1004,"&lt;="&amp;$C$3+6,Programação!$J$5:$J$1004,"&lt;"&amp;TODAY(),Programação!$W$5:$W$1004,0,Programação!$L$5:$L$1004,"&lt;&gt;Cancelada"))</f>
        <v>0</v>
      </c>
    </row>
    <row r="11" customFormat="false" ht="16.5" hidden="false" customHeight="true" outlineLevel="0" collapsed="false">
      <c r="A11" s="22" t="str">
        <f aca="false">IF(Listas!A10="","",Listas!A10)</f>
        <v>Júnior</v>
      </c>
      <c r="B11" s="44" t="n">
        <f aca="false">IF($A11="","",COUNTIFS(Programação!$G$5:$G$1004,"*"&amp;$A11&amp;"*",Programação!$J$5:$J$1004,B$5,Programação!$L$5:$L$1004,"&lt;&gt;Cancelada"))</f>
        <v>0</v>
      </c>
      <c r="C11" s="44" t="n">
        <f aca="false">IF($A11="","",COUNTIFS(Programação!$G$5:$G$1004,"*"&amp;$A11&amp;"*",Programação!$J$5:$J$1004,C$5,Programação!$L$5:$L$1004,"&lt;&gt;Cancelada"))</f>
        <v>10</v>
      </c>
      <c r="D11" s="44" t="n">
        <f aca="false">IF($A11="","",COUNTIFS(Programação!$G$5:$G$1004,"*"&amp;$A11&amp;"*",Programação!$J$5:$J$1004,D$5,Programação!$L$5:$L$1004,"&lt;&gt;Cancelada"))</f>
        <v>23</v>
      </c>
      <c r="E11" s="44" t="n">
        <f aca="false">IF($A11="","",COUNTIFS(Programação!$G$5:$G$1004,"*"&amp;$A11&amp;"*",Programação!$J$5:$J$1004,E$5,Programação!$L$5:$L$1004,"&lt;&gt;Cancelada"))</f>
        <v>8</v>
      </c>
      <c r="F11" s="44" t="n">
        <f aca="false">IF($A11="","",COUNTIFS(Programação!$G$5:$G$1004,"*"&amp;$A11&amp;"*",Programação!$J$5:$J$1004,F$5,Programação!$L$5:$L$1004,"&lt;&gt;Cancelada"))</f>
        <v>0</v>
      </c>
      <c r="G11" s="44" t="n">
        <f aca="false">IF($A11="","",COUNTIFS(Programação!$G$5:$G$1004,"*"&amp;$A11&amp;"*",Programação!$J$5:$J$1004,G$5,Programação!$L$5:$L$1004,"&lt;&gt;Cancelada"))</f>
        <v>0</v>
      </c>
      <c r="H11" s="44" t="n">
        <f aca="false">IF($A11="","",COUNTIFS(Programação!$G$5:$G$1004,"*"&amp;$A11&amp;"*",Programação!$J$5:$J$1004,H$5,Programação!$L$5:$L$1004,"&lt;&gt;Cancelada"))</f>
        <v>0</v>
      </c>
      <c r="I11" s="45" t="n">
        <f aca="false">IF($A11="","",SUM($B11:$H11))</f>
        <v>41</v>
      </c>
      <c r="J11" s="45" t="n">
        <f aca="false">IF($A11="","",SUMIFS(Programação!$W$5:$W$1004,Programação!$G$5:$G$1004,"*"&amp;$A11&amp;"*",Programação!$J$5:$J$1004,"&gt;="&amp;$C$3,Programação!$J$5:$J$1004,"&lt;="&amp;$C$3+6))</f>
        <v>32</v>
      </c>
      <c r="K11" s="46" t="n">
        <f aca="false">IF(OR($A11="",$I11=0),"",$J11/$I11)</f>
        <v>0.780487804878049</v>
      </c>
      <c r="L11" s="45" t="n">
        <f aca="true">IF($A11="","",COUNTIFS(Programação!$G$5:$G$1004,"*"&amp;$A11&amp;"*",Programação!$J$5:$J$1004,"&gt;="&amp;$C$3,Programação!$J$5:$J$1004,"&lt;="&amp;$C$3+6,Programação!$J$5:$J$1004,"&lt;"&amp;TODAY(),Programação!$W$5:$W$1004,0,Programação!$L$5:$L$1004,"&lt;&gt;Cancelada"))</f>
        <v>0</v>
      </c>
    </row>
    <row r="12" customFormat="false" ht="16.5" hidden="false" customHeight="true" outlineLevel="0" collapsed="false">
      <c r="A12" s="22" t="str">
        <f aca="false">IF(Listas!A11="","",Listas!A11)</f>
        <v>Luiz Paulo</v>
      </c>
      <c r="B12" s="44" t="n">
        <f aca="false">IF($A12="","",COUNTIFS(Programação!$G$5:$G$1004,"*"&amp;$A12&amp;"*",Programação!$J$5:$J$1004,B$5,Programação!$L$5:$L$1004,"&lt;&gt;Cancelada"))</f>
        <v>0</v>
      </c>
      <c r="C12" s="44" t="n">
        <f aca="false">IF($A12="","",COUNTIFS(Programação!$G$5:$G$1004,"*"&amp;$A12&amp;"*",Programação!$J$5:$J$1004,C$5,Programação!$L$5:$L$1004,"&lt;&gt;Cancelada"))</f>
        <v>0</v>
      </c>
      <c r="D12" s="44" t="n">
        <f aca="false">IF($A12="","",COUNTIFS(Programação!$G$5:$G$1004,"*"&amp;$A12&amp;"*",Programação!$J$5:$J$1004,D$5,Programação!$L$5:$L$1004,"&lt;&gt;Cancelada"))</f>
        <v>17</v>
      </c>
      <c r="E12" s="44" t="n">
        <f aca="false">IF($A12="","",COUNTIFS(Programação!$G$5:$G$1004,"*"&amp;$A12&amp;"*",Programação!$J$5:$J$1004,E$5,Programação!$L$5:$L$1004,"&lt;&gt;Cancelada"))</f>
        <v>40</v>
      </c>
      <c r="F12" s="44" t="n">
        <f aca="false">IF($A12="","",COUNTIFS(Programação!$G$5:$G$1004,"*"&amp;$A12&amp;"*",Programação!$J$5:$J$1004,F$5,Programação!$L$5:$L$1004,"&lt;&gt;Cancelada"))</f>
        <v>0</v>
      </c>
      <c r="G12" s="44" t="n">
        <f aca="false">IF($A12="","",COUNTIFS(Programação!$G$5:$G$1004,"*"&amp;$A12&amp;"*",Programação!$J$5:$J$1004,G$5,Programação!$L$5:$L$1004,"&lt;&gt;Cancelada"))</f>
        <v>0</v>
      </c>
      <c r="H12" s="44" t="n">
        <f aca="false">IF($A12="","",COUNTIFS(Programação!$G$5:$G$1004,"*"&amp;$A12&amp;"*",Programação!$J$5:$J$1004,H$5,Programação!$L$5:$L$1004,"&lt;&gt;Cancelada"))</f>
        <v>0</v>
      </c>
      <c r="I12" s="45" t="n">
        <f aca="false">IF($A12="","",SUM($B12:$H12))</f>
        <v>57</v>
      </c>
      <c r="J12" s="45" t="n">
        <f aca="false">IF($A12="","",SUMIFS(Programação!$W$5:$W$1004,Programação!$G$5:$G$1004,"*"&amp;$A12&amp;"*",Programação!$J$5:$J$1004,"&gt;="&amp;$C$3,Programação!$J$5:$J$1004,"&lt;="&amp;$C$3+6))</f>
        <v>15</v>
      </c>
      <c r="K12" s="46" t="n">
        <f aca="false">IF(OR($A12="",$I12=0),"",$J12/$I12)</f>
        <v>0.263157894736842</v>
      </c>
      <c r="L12" s="45" t="n">
        <f aca="true">IF($A12="","",COUNTIFS(Programação!$G$5:$G$1004,"*"&amp;$A12&amp;"*",Programação!$J$5:$J$1004,"&gt;="&amp;$C$3,Programação!$J$5:$J$1004,"&lt;="&amp;$C$3+6,Programação!$J$5:$J$1004,"&lt;"&amp;TODAY(),Programação!$W$5:$W$1004,0,Programação!$L$5:$L$1004,"&lt;&gt;Cancelada"))</f>
        <v>0</v>
      </c>
    </row>
    <row r="13" customFormat="false" ht="16.5" hidden="false" customHeight="true" outlineLevel="0" collapsed="false">
      <c r="A13" s="22" t="str">
        <f aca="false">IF(Listas!A12="","",Listas!A12)</f>
        <v>Thawan</v>
      </c>
      <c r="B13" s="44" t="n">
        <f aca="false">IF($A13="","",COUNTIFS(Programação!$G$5:$G$1004,"*"&amp;$A13&amp;"*",Programação!$J$5:$J$1004,B$5,Programação!$L$5:$L$1004,"&lt;&gt;Cancelada"))</f>
        <v>6</v>
      </c>
      <c r="C13" s="44" t="n">
        <f aca="false">IF($A13="","",COUNTIFS(Programação!$G$5:$G$1004,"*"&amp;$A13&amp;"*",Programação!$J$5:$J$1004,C$5,Programação!$L$5:$L$1004,"&lt;&gt;Cancelada"))</f>
        <v>0</v>
      </c>
      <c r="D13" s="44" t="n">
        <f aca="false">IF($A13="","",COUNTIFS(Programação!$G$5:$G$1004,"*"&amp;$A13&amp;"*",Programação!$J$5:$J$1004,D$5,Programação!$L$5:$L$1004,"&lt;&gt;Cancelada"))</f>
        <v>0</v>
      </c>
      <c r="E13" s="44" t="n">
        <f aca="false">IF($A13="","",COUNTIFS(Programação!$G$5:$G$1004,"*"&amp;$A13&amp;"*",Programação!$J$5:$J$1004,E$5,Programação!$L$5:$L$1004,"&lt;&gt;Cancelada"))</f>
        <v>0</v>
      </c>
      <c r="F13" s="44" t="n">
        <f aca="false">IF($A13="","",COUNTIFS(Programação!$G$5:$G$1004,"*"&amp;$A13&amp;"*",Programação!$J$5:$J$1004,F$5,Programação!$L$5:$L$1004,"&lt;&gt;Cancelada"))</f>
        <v>0</v>
      </c>
      <c r="G13" s="44" t="n">
        <f aca="false">IF($A13="","",COUNTIFS(Programação!$G$5:$G$1004,"*"&amp;$A13&amp;"*",Programação!$J$5:$J$1004,G$5,Programação!$L$5:$L$1004,"&lt;&gt;Cancelada"))</f>
        <v>0</v>
      </c>
      <c r="H13" s="44" t="n">
        <f aca="false">IF($A13="","",COUNTIFS(Programação!$G$5:$G$1004,"*"&amp;$A13&amp;"*",Programação!$J$5:$J$1004,H$5,Programação!$L$5:$L$1004,"&lt;&gt;Cancelada"))</f>
        <v>0</v>
      </c>
      <c r="I13" s="45" t="n">
        <f aca="false">IF($A13="","",SUM($B13:$H13))</f>
        <v>6</v>
      </c>
      <c r="J13" s="45" t="n">
        <f aca="false">IF($A13="","",SUMIFS(Programação!$W$5:$W$1004,Programação!$G$5:$G$1004,"*"&amp;$A13&amp;"*",Programação!$J$5:$J$1004,"&gt;="&amp;$C$3,Programação!$J$5:$J$1004,"&lt;="&amp;$C$3+6))</f>
        <v>6</v>
      </c>
      <c r="K13" s="46" t="n">
        <f aca="false">IF(OR($A13="",$I13=0),"",$J13/$I13)</f>
        <v>1</v>
      </c>
      <c r="L13" s="45" t="n">
        <f aca="true">IF($A13="","",COUNTIFS(Programação!$G$5:$G$1004,"*"&amp;$A13&amp;"*",Programação!$J$5:$J$1004,"&gt;="&amp;$C$3,Programação!$J$5:$J$1004,"&lt;="&amp;$C$3+6,Programação!$J$5:$J$1004,"&lt;"&amp;TODAY(),Programação!$W$5:$W$1004,0,Programação!$L$5:$L$1004,"&lt;&gt;Cancelada"))</f>
        <v>0</v>
      </c>
    </row>
    <row r="14" customFormat="false" ht="16.5" hidden="false" customHeight="true" outlineLevel="0" collapsed="false">
      <c r="A14" s="22" t="str">
        <f aca="false">IF(Listas!A13="","",Listas!A13)</f>
        <v>ASX (externo)</v>
      </c>
      <c r="B14" s="44" t="n">
        <f aca="false">IF($A14="","",COUNTIFS(Programação!$G$5:$G$1004,"*"&amp;$A14&amp;"*",Programação!$J$5:$J$1004,B$5,Programação!$L$5:$L$1004,"&lt;&gt;Cancelada"))</f>
        <v>0</v>
      </c>
      <c r="C14" s="44" t="n">
        <f aca="false">IF($A14="","",COUNTIFS(Programação!$G$5:$G$1004,"*"&amp;$A14&amp;"*",Programação!$J$5:$J$1004,C$5,Programação!$L$5:$L$1004,"&lt;&gt;Cancelada"))</f>
        <v>0</v>
      </c>
      <c r="D14" s="44" t="n">
        <f aca="false">IF($A14="","",COUNTIFS(Programação!$G$5:$G$1004,"*"&amp;$A14&amp;"*",Programação!$J$5:$J$1004,D$5,Programação!$L$5:$L$1004,"&lt;&gt;Cancelada"))</f>
        <v>12</v>
      </c>
      <c r="E14" s="44" t="n">
        <f aca="false">IF($A14="","",COUNTIFS(Programação!$G$5:$G$1004,"*"&amp;$A14&amp;"*",Programação!$J$5:$J$1004,E$5,Programação!$L$5:$L$1004,"&lt;&gt;Cancelada"))</f>
        <v>11</v>
      </c>
      <c r="F14" s="44" t="n">
        <f aca="false">IF($A14="","",COUNTIFS(Programação!$G$5:$G$1004,"*"&amp;$A14&amp;"*",Programação!$J$5:$J$1004,F$5,Programação!$L$5:$L$1004,"&lt;&gt;Cancelada"))</f>
        <v>11</v>
      </c>
      <c r="G14" s="44" t="n">
        <f aca="false">IF($A14="","",COUNTIFS(Programação!$G$5:$G$1004,"*"&amp;$A14&amp;"*",Programação!$J$5:$J$1004,G$5,Programação!$L$5:$L$1004,"&lt;&gt;Cancelada"))</f>
        <v>0</v>
      </c>
      <c r="H14" s="44" t="n">
        <f aca="false">IF($A14="","",COUNTIFS(Programação!$G$5:$G$1004,"*"&amp;$A14&amp;"*",Programação!$J$5:$J$1004,H$5,Programação!$L$5:$L$1004,"&lt;&gt;Cancelada"))</f>
        <v>0</v>
      </c>
      <c r="I14" s="45" t="n">
        <f aca="false">IF($A14="","",SUM($B14:$H14))</f>
        <v>34</v>
      </c>
      <c r="J14" s="45" t="n">
        <f aca="false">IF($A14="","",SUMIFS(Programação!$W$5:$W$1004,Programação!$G$5:$G$1004,"*"&amp;$A14&amp;"*",Programação!$J$5:$J$1004,"&gt;="&amp;$C$3,Programação!$J$5:$J$1004,"&lt;="&amp;$C$3+6))</f>
        <v>0</v>
      </c>
      <c r="K14" s="46" t="n">
        <f aca="false">IF(OR($A14="",$I14=0),"",$J14/$I14)</f>
        <v>0</v>
      </c>
      <c r="L14" s="45" t="n">
        <f aca="true">IF($A14="","",COUNTIFS(Programação!$G$5:$G$1004,"*"&amp;$A14&amp;"*",Programação!$J$5:$J$1004,"&gt;="&amp;$C$3,Programação!$J$5:$J$1004,"&lt;="&amp;$C$3+6,Programação!$J$5:$J$1004,"&lt;"&amp;TODAY(),Programação!$W$5:$W$1004,0,Programação!$L$5:$L$1004,"&lt;&gt;Cancelada"))</f>
        <v>0</v>
      </c>
    </row>
    <row r="15" customFormat="false" ht="16.5" hidden="false" customHeight="true" outlineLevel="0" collapsed="false">
      <c r="A15" s="22" t="str">
        <f aca="false">IF(Listas!A14="","",Listas!A14)</f>
        <v>Eduardo da sticker (externo)</v>
      </c>
      <c r="B15" s="44" t="n">
        <f aca="false">IF($A15="","",COUNTIFS(Programação!$G$5:$G$1004,"*"&amp;$A15&amp;"*",Programação!$J$5:$J$1004,B$5,Programação!$L$5:$L$1004,"&lt;&gt;Cancelada"))</f>
        <v>0</v>
      </c>
      <c r="C15" s="44" t="n">
        <f aca="false">IF($A15="","",COUNTIFS(Programação!$G$5:$G$1004,"*"&amp;$A15&amp;"*",Programação!$J$5:$J$1004,C$5,Programação!$L$5:$L$1004,"&lt;&gt;Cancelada"))</f>
        <v>1</v>
      </c>
      <c r="D15" s="44" t="n">
        <f aca="false">IF($A15="","",COUNTIFS(Programação!$G$5:$G$1004,"*"&amp;$A15&amp;"*",Programação!$J$5:$J$1004,D$5,Programação!$L$5:$L$1004,"&lt;&gt;Cancelada"))</f>
        <v>9</v>
      </c>
      <c r="E15" s="44" t="n">
        <f aca="false">IF($A15="","",COUNTIFS(Programação!$G$5:$G$1004,"*"&amp;$A15&amp;"*",Programação!$J$5:$J$1004,E$5,Programação!$L$5:$L$1004,"&lt;&gt;Cancelada"))</f>
        <v>0</v>
      </c>
      <c r="F15" s="44" t="n">
        <f aca="false">IF($A15="","",COUNTIFS(Programação!$G$5:$G$1004,"*"&amp;$A15&amp;"*",Programação!$J$5:$J$1004,F$5,Programação!$L$5:$L$1004,"&lt;&gt;Cancelada"))</f>
        <v>0</v>
      </c>
      <c r="G15" s="44" t="n">
        <f aca="false">IF($A15="","",COUNTIFS(Programação!$G$5:$G$1004,"*"&amp;$A15&amp;"*",Programação!$J$5:$J$1004,G$5,Programação!$L$5:$L$1004,"&lt;&gt;Cancelada"))</f>
        <v>0</v>
      </c>
      <c r="H15" s="44" t="n">
        <f aca="false">IF($A15="","",COUNTIFS(Programação!$G$5:$G$1004,"*"&amp;$A15&amp;"*",Programação!$J$5:$J$1004,H$5,Programação!$L$5:$L$1004,"&lt;&gt;Cancelada"))</f>
        <v>0</v>
      </c>
      <c r="I15" s="45" t="n">
        <f aca="false">IF($A15="","",SUM($B15:$H15))</f>
        <v>10</v>
      </c>
      <c r="J15" s="45" t="n">
        <f aca="false">IF($A15="","",SUMIFS(Programação!$W$5:$W$1004,Programação!$G$5:$G$1004,"*"&amp;$A15&amp;"*",Programação!$J$5:$J$1004,"&gt;="&amp;$C$3,Programação!$J$5:$J$1004,"&lt;="&amp;$C$3+6))</f>
        <v>10</v>
      </c>
      <c r="K15" s="46" t="n">
        <f aca="false">IF(OR($A15="",$I15=0),"",$J15/$I15)</f>
        <v>1</v>
      </c>
      <c r="L15" s="45" t="n">
        <f aca="true">IF($A15="","",COUNTIFS(Programação!$G$5:$G$1004,"*"&amp;$A15&amp;"*",Programação!$J$5:$J$1004,"&gt;="&amp;$C$3,Programação!$J$5:$J$1004,"&lt;="&amp;$C$3+6,Programação!$J$5:$J$1004,"&lt;"&amp;TODAY(),Programação!$W$5:$W$1004,0,Programação!$L$5:$L$1004,"&lt;&gt;Cancelada"))</f>
        <v>0</v>
      </c>
    </row>
    <row r="16" customFormat="false" ht="16.5" hidden="false" customHeight="true" outlineLevel="0" collapsed="false">
      <c r="A16" s="22" t="str">
        <f aca="false">IF(Listas!A15="","",Listas!A15)</f>
        <v>Molas Pinheiro (externo)</v>
      </c>
      <c r="B16" s="44" t="n">
        <f aca="false">IF($A16="","",COUNTIFS(Programação!$G$5:$G$1004,"*"&amp;$A16&amp;"*",Programação!$J$5:$J$1004,B$5,Programação!$L$5:$L$1004,"&lt;&gt;Cancelada"))</f>
        <v>0</v>
      </c>
      <c r="C16" s="44" t="n">
        <f aca="false">IF($A16="","",COUNTIFS(Programação!$G$5:$G$1004,"*"&amp;$A16&amp;"*",Programação!$J$5:$J$1004,C$5,Programação!$L$5:$L$1004,"&lt;&gt;Cancelada"))</f>
        <v>0</v>
      </c>
      <c r="D16" s="44" t="n">
        <f aca="false">IF($A16="","",COUNTIFS(Programação!$G$5:$G$1004,"*"&amp;$A16&amp;"*",Programação!$J$5:$J$1004,D$5,Programação!$L$5:$L$1004,"&lt;&gt;Cancelada"))</f>
        <v>1</v>
      </c>
      <c r="E16" s="44" t="n">
        <f aca="false">IF($A16="","",COUNTIFS(Programação!$G$5:$G$1004,"*"&amp;$A16&amp;"*",Programação!$J$5:$J$1004,E$5,Programação!$L$5:$L$1004,"&lt;&gt;Cancelada"))</f>
        <v>1</v>
      </c>
      <c r="F16" s="44" t="n">
        <f aca="false">IF($A16="","",COUNTIFS(Programação!$G$5:$G$1004,"*"&amp;$A16&amp;"*",Programação!$J$5:$J$1004,F$5,Programação!$L$5:$L$1004,"&lt;&gt;Cancelada"))</f>
        <v>0</v>
      </c>
      <c r="G16" s="44" t="n">
        <f aca="false">IF($A16="","",COUNTIFS(Programação!$G$5:$G$1004,"*"&amp;$A16&amp;"*",Programação!$J$5:$J$1004,G$5,Programação!$L$5:$L$1004,"&lt;&gt;Cancelada"))</f>
        <v>0</v>
      </c>
      <c r="H16" s="44" t="n">
        <f aca="false">IF($A16="","",COUNTIFS(Programação!$G$5:$G$1004,"*"&amp;$A16&amp;"*",Programação!$J$5:$J$1004,H$5,Programação!$L$5:$L$1004,"&lt;&gt;Cancelada"))</f>
        <v>0</v>
      </c>
      <c r="I16" s="45" t="n">
        <f aca="false">IF($A16="","",SUM($B16:$H16))</f>
        <v>2</v>
      </c>
      <c r="J16" s="45" t="n">
        <f aca="false">IF($A16="","",SUMIFS(Programação!$W$5:$W$1004,Programação!$G$5:$G$1004,"*"&amp;$A16&amp;"*",Programação!$J$5:$J$1004,"&gt;="&amp;$C$3,Programação!$J$5:$J$1004,"&lt;="&amp;$C$3+6))</f>
        <v>0</v>
      </c>
      <c r="K16" s="46" t="n">
        <f aca="false">IF(OR($A16="",$I16=0),"",$J16/$I16)</f>
        <v>0</v>
      </c>
      <c r="L16" s="45" t="n">
        <f aca="true">IF($A16="","",COUNTIFS(Programação!$G$5:$G$1004,"*"&amp;$A16&amp;"*",Programação!$J$5:$J$1004,"&gt;="&amp;$C$3,Programação!$J$5:$J$1004,"&lt;="&amp;$C$3+6,Programação!$J$5:$J$1004,"&lt;"&amp;TODAY(),Programação!$W$5:$W$1004,0,Programação!$L$5:$L$1004,"&lt;&gt;Cancelada"))</f>
        <v>0</v>
      </c>
    </row>
    <row r="17" customFormat="false" ht="16.5" hidden="false" customHeight="true" outlineLevel="0" collapsed="false">
      <c r="A17" s="22" t="str">
        <f aca="false">IF(Listas!A16="","",Listas!A16)</f>
        <v>Rodo Ceará (externo)</v>
      </c>
      <c r="B17" s="44" t="n">
        <f aca="false">IF($A17="","",COUNTIFS(Programação!$G$5:$G$1004,"*"&amp;$A17&amp;"*",Programação!$J$5:$J$1004,B$5,Programação!$L$5:$L$1004,"&lt;&gt;Cancelada"))</f>
        <v>0</v>
      </c>
      <c r="C17" s="44" t="n">
        <f aca="false">IF($A17="","",COUNTIFS(Programação!$G$5:$G$1004,"*"&amp;$A17&amp;"*",Programação!$J$5:$J$1004,C$5,Programação!$L$5:$L$1004,"&lt;&gt;Cancelada"))</f>
        <v>0</v>
      </c>
      <c r="D17" s="44" t="n">
        <f aca="false">IF($A17="","",COUNTIFS(Programação!$G$5:$G$1004,"*"&amp;$A17&amp;"*",Programação!$J$5:$J$1004,D$5,Programação!$L$5:$L$1004,"&lt;&gt;Cancelada"))</f>
        <v>0</v>
      </c>
      <c r="E17" s="44" t="n">
        <f aca="false">IF($A17="","",COUNTIFS(Programação!$G$5:$G$1004,"*"&amp;$A17&amp;"*",Programação!$J$5:$J$1004,E$5,Programação!$L$5:$L$1004,"&lt;&gt;Cancelada"))</f>
        <v>1</v>
      </c>
      <c r="F17" s="44" t="n">
        <f aca="false">IF($A17="","",COUNTIFS(Programação!$G$5:$G$1004,"*"&amp;$A17&amp;"*",Programação!$J$5:$J$1004,F$5,Programação!$L$5:$L$1004,"&lt;&gt;Cancelada"))</f>
        <v>0</v>
      </c>
      <c r="G17" s="44" t="n">
        <f aca="false">IF($A17="","",COUNTIFS(Programação!$G$5:$G$1004,"*"&amp;$A17&amp;"*",Programação!$J$5:$J$1004,G$5,Programação!$L$5:$L$1004,"&lt;&gt;Cancelada"))</f>
        <v>0</v>
      </c>
      <c r="H17" s="44" t="n">
        <f aca="false">IF($A17="","",COUNTIFS(Programação!$G$5:$G$1004,"*"&amp;$A17&amp;"*",Programação!$J$5:$J$1004,H$5,Programação!$L$5:$L$1004,"&lt;&gt;Cancelada"))</f>
        <v>0</v>
      </c>
      <c r="I17" s="45" t="n">
        <f aca="false">IF($A17="","",SUM($B17:$H17))</f>
        <v>1</v>
      </c>
      <c r="J17" s="45" t="n">
        <f aca="false">IF($A17="","",SUMIFS(Programação!$W$5:$W$1004,Programação!$G$5:$G$1004,"*"&amp;$A17&amp;"*",Programação!$J$5:$J$1004,"&gt;="&amp;$C$3,Programação!$J$5:$J$1004,"&lt;="&amp;$C$3+6))</f>
        <v>0</v>
      </c>
      <c r="K17" s="46" t="n">
        <f aca="false">IF(OR($A17="",$I17=0),"",$J17/$I17)</f>
        <v>0</v>
      </c>
      <c r="L17" s="45" t="n">
        <f aca="true">IF($A17="","",COUNTIFS(Programação!$G$5:$G$1004,"*"&amp;$A17&amp;"*",Programação!$J$5:$J$1004,"&gt;="&amp;$C$3,Programação!$J$5:$J$1004,"&lt;="&amp;$C$3+6,Programação!$J$5:$J$1004,"&lt;"&amp;TODAY(),Programação!$W$5:$W$1004,0,Programação!$L$5:$L$1004,"&lt;&gt;Cancelada"))</f>
        <v>0</v>
      </c>
    </row>
    <row r="18" customFormat="false" ht="16.5" hidden="false" customHeight="true" outlineLevel="0" collapsed="false">
      <c r="A18" s="22" t="str">
        <f aca="false">IF(Listas!A17="","",Listas!A17)</f>
        <v/>
      </c>
      <c r="B18" s="44" t="str">
        <f aca="false">IF($A18="","",COUNTIFS(Programação!$G$5:$G$1004,"*"&amp;$A18&amp;"*",Programação!$J$5:$J$1004,B$5,Programação!$L$5:$L$1004,"&lt;&gt;Cancelada"))</f>
        <v/>
      </c>
      <c r="C18" s="44" t="str">
        <f aca="false">IF($A18="","",COUNTIFS(Programação!$G$5:$G$1004,"*"&amp;$A18&amp;"*",Programação!$J$5:$J$1004,C$5,Programação!$L$5:$L$1004,"&lt;&gt;Cancelada"))</f>
        <v/>
      </c>
      <c r="D18" s="44" t="str">
        <f aca="false">IF($A18="","",COUNTIFS(Programação!$G$5:$G$1004,"*"&amp;$A18&amp;"*",Programação!$J$5:$J$1004,D$5,Programação!$L$5:$L$1004,"&lt;&gt;Cancelada"))</f>
        <v/>
      </c>
      <c r="E18" s="44" t="str">
        <f aca="false">IF($A18="","",COUNTIFS(Programação!$G$5:$G$1004,"*"&amp;$A18&amp;"*",Programação!$J$5:$J$1004,E$5,Programação!$L$5:$L$1004,"&lt;&gt;Cancelada"))</f>
        <v/>
      </c>
      <c r="F18" s="44" t="str">
        <f aca="false">IF($A18="","",COUNTIFS(Programação!$G$5:$G$1004,"*"&amp;$A18&amp;"*",Programação!$J$5:$J$1004,F$5,Programação!$L$5:$L$1004,"&lt;&gt;Cancelada"))</f>
        <v/>
      </c>
      <c r="G18" s="44" t="str">
        <f aca="false">IF($A18="","",COUNTIFS(Programação!$G$5:$G$1004,"*"&amp;$A18&amp;"*",Programação!$J$5:$J$1004,G$5,Programação!$L$5:$L$1004,"&lt;&gt;Cancelada"))</f>
        <v/>
      </c>
      <c r="H18" s="44" t="str">
        <f aca="false">IF($A18="","",COUNTIFS(Programação!$G$5:$G$1004,"*"&amp;$A18&amp;"*",Programação!$J$5:$J$1004,H$5,Programação!$L$5:$L$1004,"&lt;&gt;Cancelada"))</f>
        <v/>
      </c>
      <c r="I18" s="45" t="str">
        <f aca="false">IF($A18="","",SUM($B18:$H18))</f>
        <v/>
      </c>
      <c r="J18" s="45" t="str">
        <f aca="false">IF($A18="","",SUMIFS(Programação!$W$5:$W$1004,Programação!$G$5:$G$1004,"*"&amp;$A18&amp;"*",Programação!$J$5:$J$1004,"&gt;="&amp;$C$3,Programação!$J$5:$J$1004,"&lt;="&amp;$C$3+6))</f>
        <v/>
      </c>
      <c r="K18" s="46" t="str">
        <f aca="false">IF(OR($A18="",$I18=0),"",$J18/$I18)</f>
        <v/>
      </c>
      <c r="L18" s="45" t="str">
        <f aca="true">IF($A18="","",COUNTIFS(Programação!$G$5:$G$1004,"*"&amp;$A18&amp;"*",Programação!$J$5:$J$1004,"&gt;="&amp;$C$3,Programação!$J$5:$J$1004,"&lt;="&amp;$C$3+6,Programação!$J$5:$J$1004,"&lt;"&amp;TODAY(),Programação!$W$5:$W$1004,0,Programação!$L$5:$L$1004,"&lt;&gt;Cancelada"))</f>
        <v/>
      </c>
    </row>
    <row r="19" customFormat="false" ht="16.5" hidden="false" customHeight="true" outlineLevel="0" collapsed="false">
      <c r="A19" s="22" t="str">
        <f aca="false">IF(Listas!A18="","",Listas!A18)</f>
        <v/>
      </c>
      <c r="B19" s="44" t="str">
        <f aca="false">IF($A19="","",COUNTIFS(Programação!$G$5:$G$1004,"*"&amp;$A19&amp;"*",Programação!$J$5:$J$1004,B$5,Programação!$L$5:$L$1004,"&lt;&gt;Cancelada"))</f>
        <v/>
      </c>
      <c r="C19" s="44" t="str">
        <f aca="false">IF($A19="","",COUNTIFS(Programação!$G$5:$G$1004,"*"&amp;$A19&amp;"*",Programação!$J$5:$J$1004,C$5,Programação!$L$5:$L$1004,"&lt;&gt;Cancelada"))</f>
        <v/>
      </c>
      <c r="D19" s="44" t="str">
        <f aca="false">IF($A19="","",COUNTIFS(Programação!$G$5:$G$1004,"*"&amp;$A19&amp;"*",Programação!$J$5:$J$1004,D$5,Programação!$L$5:$L$1004,"&lt;&gt;Cancelada"))</f>
        <v/>
      </c>
      <c r="E19" s="44" t="str">
        <f aca="false">IF($A19="","",COUNTIFS(Programação!$G$5:$G$1004,"*"&amp;$A19&amp;"*",Programação!$J$5:$J$1004,E$5,Programação!$L$5:$L$1004,"&lt;&gt;Cancelada"))</f>
        <v/>
      </c>
      <c r="F19" s="44" t="str">
        <f aca="false">IF($A19="","",COUNTIFS(Programação!$G$5:$G$1004,"*"&amp;$A19&amp;"*",Programação!$J$5:$J$1004,F$5,Programação!$L$5:$L$1004,"&lt;&gt;Cancelada"))</f>
        <v/>
      </c>
      <c r="G19" s="44" t="str">
        <f aca="false">IF($A19="","",COUNTIFS(Programação!$G$5:$G$1004,"*"&amp;$A19&amp;"*",Programação!$J$5:$J$1004,G$5,Programação!$L$5:$L$1004,"&lt;&gt;Cancelada"))</f>
        <v/>
      </c>
      <c r="H19" s="44" t="str">
        <f aca="false">IF($A19="","",COUNTIFS(Programação!$G$5:$G$1004,"*"&amp;$A19&amp;"*",Programação!$J$5:$J$1004,H$5,Programação!$L$5:$L$1004,"&lt;&gt;Cancelada"))</f>
        <v/>
      </c>
      <c r="I19" s="45" t="str">
        <f aca="false">IF($A19="","",SUM($B19:$H19))</f>
        <v/>
      </c>
      <c r="J19" s="45" t="str">
        <f aca="false">IF($A19="","",SUMIFS(Programação!$W$5:$W$1004,Programação!$G$5:$G$1004,"*"&amp;$A19&amp;"*",Programação!$J$5:$J$1004,"&gt;="&amp;$C$3,Programação!$J$5:$J$1004,"&lt;="&amp;$C$3+6))</f>
        <v/>
      </c>
      <c r="K19" s="46" t="str">
        <f aca="false">IF(OR($A19="",$I19=0),"",$J19/$I19)</f>
        <v/>
      </c>
      <c r="L19" s="45" t="str">
        <f aca="true">IF($A19="","",COUNTIFS(Programação!$G$5:$G$1004,"*"&amp;$A19&amp;"*",Programação!$J$5:$J$1004,"&gt;="&amp;$C$3,Programação!$J$5:$J$1004,"&lt;="&amp;$C$3+6,Programação!$J$5:$J$1004,"&lt;"&amp;TODAY(),Programação!$W$5:$W$1004,0,Programação!$L$5:$L$1004,"&lt;&gt;Cancelada"))</f>
        <v/>
      </c>
    </row>
    <row r="20" customFormat="false" ht="16.5" hidden="false" customHeight="true" outlineLevel="0" collapsed="false">
      <c r="A20" s="22" t="str">
        <f aca="false">IF(Listas!A19="","",Listas!A19)</f>
        <v/>
      </c>
      <c r="B20" s="44" t="str">
        <f aca="false">IF($A20="","",COUNTIFS(Programação!$G$5:$G$1004,"*"&amp;$A20&amp;"*",Programação!$J$5:$J$1004,B$5,Programação!$L$5:$L$1004,"&lt;&gt;Cancelada"))</f>
        <v/>
      </c>
      <c r="C20" s="44" t="str">
        <f aca="false">IF($A20="","",COUNTIFS(Programação!$G$5:$G$1004,"*"&amp;$A20&amp;"*",Programação!$J$5:$J$1004,C$5,Programação!$L$5:$L$1004,"&lt;&gt;Cancelada"))</f>
        <v/>
      </c>
      <c r="D20" s="44" t="str">
        <f aca="false">IF($A20="","",COUNTIFS(Programação!$G$5:$G$1004,"*"&amp;$A20&amp;"*",Programação!$J$5:$J$1004,D$5,Programação!$L$5:$L$1004,"&lt;&gt;Cancelada"))</f>
        <v/>
      </c>
      <c r="E20" s="44" t="str">
        <f aca="false">IF($A20="","",COUNTIFS(Programação!$G$5:$G$1004,"*"&amp;$A20&amp;"*",Programação!$J$5:$J$1004,E$5,Programação!$L$5:$L$1004,"&lt;&gt;Cancelada"))</f>
        <v/>
      </c>
      <c r="F20" s="44" t="str">
        <f aca="false">IF($A20="","",COUNTIFS(Programação!$G$5:$G$1004,"*"&amp;$A20&amp;"*",Programação!$J$5:$J$1004,F$5,Programação!$L$5:$L$1004,"&lt;&gt;Cancelada"))</f>
        <v/>
      </c>
      <c r="G20" s="44" t="str">
        <f aca="false">IF($A20="","",COUNTIFS(Programação!$G$5:$G$1004,"*"&amp;$A20&amp;"*",Programação!$J$5:$J$1004,G$5,Programação!$L$5:$L$1004,"&lt;&gt;Cancelada"))</f>
        <v/>
      </c>
      <c r="H20" s="44" t="str">
        <f aca="false">IF($A20="","",COUNTIFS(Programação!$G$5:$G$1004,"*"&amp;$A20&amp;"*",Programação!$J$5:$J$1004,H$5,Programação!$L$5:$L$1004,"&lt;&gt;Cancelada"))</f>
        <v/>
      </c>
      <c r="I20" s="45" t="str">
        <f aca="false">IF($A20="","",SUM($B20:$H20))</f>
        <v/>
      </c>
      <c r="J20" s="45" t="str">
        <f aca="false">IF($A20="","",SUMIFS(Programação!$W$5:$W$1004,Programação!$G$5:$G$1004,"*"&amp;$A20&amp;"*",Programação!$J$5:$J$1004,"&gt;="&amp;$C$3,Programação!$J$5:$J$1004,"&lt;="&amp;$C$3+6))</f>
        <v/>
      </c>
      <c r="K20" s="46" t="str">
        <f aca="false">IF(OR($A20="",$I20=0),"",$J20/$I20)</f>
        <v/>
      </c>
      <c r="L20" s="45" t="str">
        <f aca="true">IF($A20="","",COUNTIFS(Programação!$G$5:$G$1004,"*"&amp;$A20&amp;"*",Programação!$J$5:$J$1004,"&gt;="&amp;$C$3,Programação!$J$5:$J$1004,"&lt;="&amp;$C$3+6,Programação!$J$5:$J$1004,"&lt;"&amp;TODAY(),Programação!$W$5:$W$1004,0,Programação!$L$5:$L$1004,"&lt;&gt;Cancelada"))</f>
        <v/>
      </c>
    </row>
    <row r="21" customFormat="false" ht="16.5" hidden="false" customHeight="true" outlineLevel="0" collapsed="false">
      <c r="A21" s="22" t="str">
        <f aca="false">IF(Listas!A20="","",Listas!A20)</f>
        <v/>
      </c>
      <c r="B21" s="44" t="str">
        <f aca="false">IF($A21="","",COUNTIFS(Programação!$G$5:$G$1004,"*"&amp;$A21&amp;"*",Programação!$J$5:$J$1004,B$5,Programação!$L$5:$L$1004,"&lt;&gt;Cancelada"))</f>
        <v/>
      </c>
      <c r="C21" s="44" t="str">
        <f aca="false">IF($A21="","",COUNTIFS(Programação!$G$5:$G$1004,"*"&amp;$A21&amp;"*",Programação!$J$5:$J$1004,C$5,Programação!$L$5:$L$1004,"&lt;&gt;Cancelada"))</f>
        <v/>
      </c>
      <c r="D21" s="44" t="str">
        <f aca="false">IF($A21="","",COUNTIFS(Programação!$G$5:$G$1004,"*"&amp;$A21&amp;"*",Programação!$J$5:$J$1004,D$5,Programação!$L$5:$L$1004,"&lt;&gt;Cancelada"))</f>
        <v/>
      </c>
      <c r="E21" s="44" t="str">
        <f aca="false">IF($A21="","",COUNTIFS(Programação!$G$5:$G$1004,"*"&amp;$A21&amp;"*",Programação!$J$5:$J$1004,E$5,Programação!$L$5:$L$1004,"&lt;&gt;Cancelada"))</f>
        <v/>
      </c>
      <c r="F21" s="44" t="str">
        <f aca="false">IF($A21="","",COUNTIFS(Programação!$G$5:$G$1004,"*"&amp;$A21&amp;"*",Programação!$J$5:$J$1004,F$5,Programação!$L$5:$L$1004,"&lt;&gt;Cancelada"))</f>
        <v/>
      </c>
      <c r="G21" s="44" t="str">
        <f aca="false">IF($A21="","",COUNTIFS(Programação!$G$5:$G$1004,"*"&amp;$A21&amp;"*",Programação!$J$5:$J$1004,G$5,Programação!$L$5:$L$1004,"&lt;&gt;Cancelada"))</f>
        <v/>
      </c>
      <c r="H21" s="44" t="str">
        <f aca="false">IF($A21="","",COUNTIFS(Programação!$G$5:$G$1004,"*"&amp;$A21&amp;"*",Programação!$J$5:$J$1004,H$5,Programação!$L$5:$L$1004,"&lt;&gt;Cancelada"))</f>
        <v/>
      </c>
      <c r="I21" s="45" t="str">
        <f aca="false">IF($A21="","",SUM($B21:$H21))</f>
        <v/>
      </c>
      <c r="J21" s="45" t="str">
        <f aca="false">IF($A21="","",SUMIFS(Programação!$W$5:$W$1004,Programação!$G$5:$G$1004,"*"&amp;$A21&amp;"*",Programação!$J$5:$J$1004,"&gt;="&amp;$C$3,Programação!$J$5:$J$1004,"&lt;="&amp;$C$3+6))</f>
        <v/>
      </c>
      <c r="K21" s="46" t="str">
        <f aca="false">IF(OR($A21="",$I21=0),"",$J21/$I21)</f>
        <v/>
      </c>
      <c r="L21" s="45" t="str">
        <f aca="true">IF($A21="","",COUNTIFS(Programação!$G$5:$G$1004,"*"&amp;$A21&amp;"*",Programação!$J$5:$J$1004,"&gt;="&amp;$C$3,Programação!$J$5:$J$1004,"&lt;="&amp;$C$3+6,Programação!$J$5:$J$1004,"&lt;"&amp;TODAY(),Programação!$W$5:$W$1004,0,Programação!$L$5:$L$1004,"&lt;&gt;Cancelada"))</f>
        <v/>
      </c>
    </row>
    <row r="22" customFormat="false" ht="16.5" hidden="false" customHeight="true" outlineLevel="0" collapsed="false">
      <c r="A22" s="22" t="str">
        <f aca="false">IF(Listas!A21="","",Listas!A21)</f>
        <v/>
      </c>
      <c r="B22" s="44" t="str">
        <f aca="false">IF($A22="","",COUNTIFS(Programação!$G$5:$G$1004,"*"&amp;$A22&amp;"*",Programação!$J$5:$J$1004,B$5,Programação!$L$5:$L$1004,"&lt;&gt;Cancelada"))</f>
        <v/>
      </c>
      <c r="C22" s="44" t="str">
        <f aca="false">IF($A22="","",COUNTIFS(Programação!$G$5:$G$1004,"*"&amp;$A22&amp;"*",Programação!$J$5:$J$1004,C$5,Programação!$L$5:$L$1004,"&lt;&gt;Cancelada"))</f>
        <v/>
      </c>
      <c r="D22" s="44" t="str">
        <f aca="false">IF($A22="","",COUNTIFS(Programação!$G$5:$G$1004,"*"&amp;$A22&amp;"*",Programação!$J$5:$J$1004,D$5,Programação!$L$5:$L$1004,"&lt;&gt;Cancelada"))</f>
        <v/>
      </c>
      <c r="E22" s="44" t="str">
        <f aca="false">IF($A22="","",COUNTIFS(Programação!$G$5:$G$1004,"*"&amp;$A22&amp;"*",Programação!$J$5:$J$1004,E$5,Programação!$L$5:$L$1004,"&lt;&gt;Cancelada"))</f>
        <v/>
      </c>
      <c r="F22" s="44" t="str">
        <f aca="false">IF($A22="","",COUNTIFS(Programação!$G$5:$G$1004,"*"&amp;$A22&amp;"*",Programação!$J$5:$J$1004,F$5,Programação!$L$5:$L$1004,"&lt;&gt;Cancelada"))</f>
        <v/>
      </c>
      <c r="G22" s="44" t="str">
        <f aca="false">IF($A22="","",COUNTIFS(Programação!$G$5:$G$1004,"*"&amp;$A22&amp;"*",Programação!$J$5:$J$1004,G$5,Programação!$L$5:$L$1004,"&lt;&gt;Cancelada"))</f>
        <v/>
      </c>
      <c r="H22" s="44" t="str">
        <f aca="false">IF($A22="","",COUNTIFS(Programação!$G$5:$G$1004,"*"&amp;$A22&amp;"*",Programação!$J$5:$J$1004,H$5,Programação!$L$5:$L$1004,"&lt;&gt;Cancelada"))</f>
        <v/>
      </c>
      <c r="I22" s="45" t="str">
        <f aca="false">IF($A22="","",SUM($B22:$H22))</f>
        <v/>
      </c>
      <c r="J22" s="45" t="str">
        <f aca="false">IF($A22="","",SUMIFS(Programação!$W$5:$W$1004,Programação!$G$5:$G$1004,"*"&amp;$A22&amp;"*",Programação!$J$5:$J$1004,"&gt;="&amp;$C$3,Programação!$J$5:$J$1004,"&lt;="&amp;$C$3+6))</f>
        <v/>
      </c>
      <c r="K22" s="46" t="str">
        <f aca="false">IF(OR($A22="",$I22=0),"",$J22/$I22)</f>
        <v/>
      </c>
      <c r="L22" s="45" t="str">
        <f aca="true">IF($A22="","",COUNTIFS(Programação!$G$5:$G$1004,"*"&amp;$A22&amp;"*",Programação!$J$5:$J$1004,"&gt;="&amp;$C$3,Programação!$J$5:$J$1004,"&lt;="&amp;$C$3+6,Programação!$J$5:$J$1004,"&lt;"&amp;TODAY(),Programação!$W$5:$W$1004,0,Programação!$L$5:$L$1004,"&lt;&gt;Cancelada"))</f>
        <v/>
      </c>
    </row>
    <row r="23" customFormat="false" ht="16.5" hidden="false" customHeight="true" outlineLevel="0" collapsed="false">
      <c r="A23" s="22" t="str">
        <f aca="false">IF(Listas!A22="","",Listas!A22)</f>
        <v/>
      </c>
      <c r="B23" s="44" t="str">
        <f aca="false">IF($A23="","",COUNTIFS(Programação!$G$5:$G$1004,"*"&amp;$A23&amp;"*",Programação!$J$5:$J$1004,B$5,Programação!$L$5:$L$1004,"&lt;&gt;Cancelada"))</f>
        <v/>
      </c>
      <c r="C23" s="44" t="str">
        <f aca="false">IF($A23="","",COUNTIFS(Programação!$G$5:$G$1004,"*"&amp;$A23&amp;"*",Programação!$J$5:$J$1004,C$5,Programação!$L$5:$L$1004,"&lt;&gt;Cancelada"))</f>
        <v/>
      </c>
      <c r="D23" s="44" t="str">
        <f aca="false">IF($A23="","",COUNTIFS(Programação!$G$5:$G$1004,"*"&amp;$A23&amp;"*",Programação!$J$5:$J$1004,D$5,Programação!$L$5:$L$1004,"&lt;&gt;Cancelada"))</f>
        <v/>
      </c>
      <c r="E23" s="44" t="str">
        <f aca="false">IF($A23="","",COUNTIFS(Programação!$G$5:$G$1004,"*"&amp;$A23&amp;"*",Programação!$J$5:$J$1004,E$5,Programação!$L$5:$L$1004,"&lt;&gt;Cancelada"))</f>
        <v/>
      </c>
      <c r="F23" s="44" t="str">
        <f aca="false">IF($A23="","",COUNTIFS(Programação!$G$5:$G$1004,"*"&amp;$A23&amp;"*",Programação!$J$5:$J$1004,F$5,Programação!$L$5:$L$1004,"&lt;&gt;Cancelada"))</f>
        <v/>
      </c>
      <c r="G23" s="44" t="str">
        <f aca="false">IF($A23="","",COUNTIFS(Programação!$G$5:$G$1004,"*"&amp;$A23&amp;"*",Programação!$J$5:$J$1004,G$5,Programação!$L$5:$L$1004,"&lt;&gt;Cancelada"))</f>
        <v/>
      </c>
      <c r="H23" s="44" t="str">
        <f aca="false">IF($A23="","",COUNTIFS(Programação!$G$5:$G$1004,"*"&amp;$A23&amp;"*",Programação!$J$5:$J$1004,H$5,Programação!$L$5:$L$1004,"&lt;&gt;Cancelada"))</f>
        <v/>
      </c>
      <c r="I23" s="45" t="str">
        <f aca="false">IF($A23="","",SUM($B23:$H23))</f>
        <v/>
      </c>
      <c r="J23" s="45" t="str">
        <f aca="false">IF($A23="","",SUMIFS(Programação!$W$5:$W$1004,Programação!$G$5:$G$1004,"*"&amp;$A23&amp;"*",Programação!$J$5:$J$1004,"&gt;="&amp;$C$3,Programação!$J$5:$J$1004,"&lt;="&amp;$C$3+6))</f>
        <v/>
      </c>
      <c r="K23" s="46" t="str">
        <f aca="false">IF(OR($A23="",$I23=0),"",$J23/$I23)</f>
        <v/>
      </c>
      <c r="L23" s="45" t="str">
        <f aca="true">IF($A23="","",COUNTIFS(Programação!$G$5:$G$1004,"*"&amp;$A23&amp;"*",Programação!$J$5:$J$1004,"&gt;="&amp;$C$3,Programação!$J$5:$J$1004,"&lt;="&amp;$C$3+6,Programação!$J$5:$J$1004,"&lt;"&amp;TODAY(),Programação!$W$5:$W$1004,0,Programação!$L$5:$L$1004,"&lt;&gt;Cancelada"))</f>
        <v/>
      </c>
    </row>
    <row r="24" customFormat="false" ht="16.5" hidden="false" customHeight="true" outlineLevel="0" collapsed="false">
      <c r="A24" s="22" t="str">
        <f aca="false">IF(Listas!A23="","",Listas!A23)</f>
        <v/>
      </c>
      <c r="B24" s="44" t="str">
        <f aca="false">IF($A24="","",COUNTIFS(Programação!$G$5:$G$1004,"*"&amp;$A24&amp;"*",Programação!$J$5:$J$1004,B$5,Programação!$L$5:$L$1004,"&lt;&gt;Cancelada"))</f>
        <v/>
      </c>
      <c r="C24" s="44" t="str">
        <f aca="false">IF($A24="","",COUNTIFS(Programação!$G$5:$G$1004,"*"&amp;$A24&amp;"*",Programação!$J$5:$J$1004,C$5,Programação!$L$5:$L$1004,"&lt;&gt;Cancelada"))</f>
        <v/>
      </c>
      <c r="D24" s="44" t="str">
        <f aca="false">IF($A24="","",COUNTIFS(Programação!$G$5:$G$1004,"*"&amp;$A24&amp;"*",Programação!$J$5:$J$1004,D$5,Programação!$L$5:$L$1004,"&lt;&gt;Cancelada"))</f>
        <v/>
      </c>
      <c r="E24" s="44" t="str">
        <f aca="false">IF($A24="","",COUNTIFS(Programação!$G$5:$G$1004,"*"&amp;$A24&amp;"*",Programação!$J$5:$J$1004,E$5,Programação!$L$5:$L$1004,"&lt;&gt;Cancelada"))</f>
        <v/>
      </c>
      <c r="F24" s="44" t="str">
        <f aca="false">IF($A24="","",COUNTIFS(Programação!$G$5:$G$1004,"*"&amp;$A24&amp;"*",Programação!$J$5:$J$1004,F$5,Programação!$L$5:$L$1004,"&lt;&gt;Cancelada"))</f>
        <v/>
      </c>
      <c r="G24" s="44" t="str">
        <f aca="false">IF($A24="","",COUNTIFS(Programação!$G$5:$G$1004,"*"&amp;$A24&amp;"*",Programação!$J$5:$J$1004,G$5,Programação!$L$5:$L$1004,"&lt;&gt;Cancelada"))</f>
        <v/>
      </c>
      <c r="H24" s="44" t="str">
        <f aca="false">IF($A24="","",COUNTIFS(Programação!$G$5:$G$1004,"*"&amp;$A24&amp;"*",Programação!$J$5:$J$1004,H$5,Programação!$L$5:$L$1004,"&lt;&gt;Cancelada"))</f>
        <v/>
      </c>
      <c r="I24" s="45" t="str">
        <f aca="false">IF($A24="","",SUM($B24:$H24))</f>
        <v/>
      </c>
      <c r="J24" s="45" t="str">
        <f aca="false">IF($A24="","",SUMIFS(Programação!$W$5:$W$1004,Programação!$G$5:$G$1004,"*"&amp;$A24&amp;"*",Programação!$J$5:$J$1004,"&gt;="&amp;$C$3,Programação!$J$5:$J$1004,"&lt;="&amp;$C$3+6))</f>
        <v/>
      </c>
      <c r="K24" s="46" t="str">
        <f aca="false">IF(OR($A24="",$I24=0),"",$J24/$I24)</f>
        <v/>
      </c>
      <c r="L24" s="45" t="str">
        <f aca="true">IF($A24="","",COUNTIFS(Programação!$G$5:$G$1004,"*"&amp;$A24&amp;"*",Programação!$J$5:$J$1004,"&gt;="&amp;$C$3,Programação!$J$5:$J$1004,"&lt;="&amp;$C$3+6,Programação!$J$5:$J$1004,"&lt;"&amp;TODAY(),Programação!$W$5:$W$1004,0,Programação!$L$5:$L$1004,"&lt;&gt;Cancelada"))</f>
        <v/>
      </c>
    </row>
    <row r="25" customFormat="false" ht="16.5" hidden="false" customHeight="true" outlineLevel="0" collapsed="false">
      <c r="A25" s="22" t="str">
        <f aca="false">IF(Listas!A24="","",Listas!A24)</f>
        <v/>
      </c>
      <c r="B25" s="44" t="str">
        <f aca="false">IF($A25="","",COUNTIFS(Programação!$G$5:$G$1004,"*"&amp;$A25&amp;"*",Programação!$J$5:$J$1004,B$5,Programação!$L$5:$L$1004,"&lt;&gt;Cancelada"))</f>
        <v/>
      </c>
      <c r="C25" s="44" t="str">
        <f aca="false">IF($A25="","",COUNTIFS(Programação!$G$5:$G$1004,"*"&amp;$A25&amp;"*",Programação!$J$5:$J$1004,C$5,Programação!$L$5:$L$1004,"&lt;&gt;Cancelada"))</f>
        <v/>
      </c>
      <c r="D25" s="44" t="str">
        <f aca="false">IF($A25="","",COUNTIFS(Programação!$G$5:$G$1004,"*"&amp;$A25&amp;"*",Programação!$J$5:$J$1004,D$5,Programação!$L$5:$L$1004,"&lt;&gt;Cancelada"))</f>
        <v/>
      </c>
      <c r="E25" s="44" t="str">
        <f aca="false">IF($A25="","",COUNTIFS(Programação!$G$5:$G$1004,"*"&amp;$A25&amp;"*",Programação!$J$5:$J$1004,E$5,Programação!$L$5:$L$1004,"&lt;&gt;Cancelada"))</f>
        <v/>
      </c>
      <c r="F25" s="44" t="str">
        <f aca="false">IF($A25="","",COUNTIFS(Programação!$G$5:$G$1004,"*"&amp;$A25&amp;"*",Programação!$J$5:$J$1004,F$5,Programação!$L$5:$L$1004,"&lt;&gt;Cancelada"))</f>
        <v/>
      </c>
      <c r="G25" s="44" t="str">
        <f aca="false">IF($A25="","",COUNTIFS(Programação!$G$5:$G$1004,"*"&amp;$A25&amp;"*",Programação!$J$5:$J$1004,G$5,Programação!$L$5:$L$1004,"&lt;&gt;Cancelada"))</f>
        <v/>
      </c>
      <c r="H25" s="44" t="str">
        <f aca="false">IF($A25="","",COUNTIFS(Programação!$G$5:$G$1004,"*"&amp;$A25&amp;"*",Programação!$J$5:$J$1004,H$5,Programação!$L$5:$L$1004,"&lt;&gt;Cancelada"))</f>
        <v/>
      </c>
      <c r="I25" s="45" t="str">
        <f aca="false">IF($A25="","",SUM($B25:$H25))</f>
        <v/>
      </c>
      <c r="J25" s="45" t="str">
        <f aca="false">IF($A25="","",SUMIFS(Programação!$W$5:$W$1004,Programação!$G$5:$G$1004,"*"&amp;$A25&amp;"*",Programação!$J$5:$J$1004,"&gt;="&amp;$C$3,Programação!$J$5:$J$1004,"&lt;="&amp;$C$3+6))</f>
        <v/>
      </c>
      <c r="K25" s="46" t="str">
        <f aca="false">IF(OR($A25="",$I25=0),"",$J25/$I25)</f>
        <v/>
      </c>
      <c r="L25" s="45" t="str">
        <f aca="true">IF($A25="","",COUNTIFS(Programação!$G$5:$G$1004,"*"&amp;$A25&amp;"*",Programação!$J$5:$J$1004,"&gt;="&amp;$C$3,Programação!$J$5:$J$1004,"&lt;="&amp;$C$3+6,Programação!$J$5:$J$1004,"&lt;"&amp;TODAY(),Programação!$W$5:$W$1004,0,Programação!$L$5:$L$1004,"&lt;&gt;Cancelada"))</f>
        <v/>
      </c>
    </row>
    <row r="26" customFormat="false" ht="16.5" hidden="false" customHeight="true" outlineLevel="0" collapsed="false">
      <c r="A26" s="22" t="str">
        <f aca="false">IF(Listas!A25="","",Listas!A25)</f>
        <v/>
      </c>
      <c r="B26" s="44" t="str">
        <f aca="false">IF($A26="","",COUNTIFS(Programação!$G$5:$G$1004,"*"&amp;$A26&amp;"*",Programação!$J$5:$J$1004,B$5,Programação!$L$5:$L$1004,"&lt;&gt;Cancelada"))</f>
        <v/>
      </c>
      <c r="C26" s="44" t="str">
        <f aca="false">IF($A26="","",COUNTIFS(Programação!$G$5:$G$1004,"*"&amp;$A26&amp;"*",Programação!$J$5:$J$1004,C$5,Programação!$L$5:$L$1004,"&lt;&gt;Cancelada"))</f>
        <v/>
      </c>
      <c r="D26" s="44" t="str">
        <f aca="false">IF($A26="","",COUNTIFS(Programação!$G$5:$G$1004,"*"&amp;$A26&amp;"*",Programação!$J$5:$J$1004,D$5,Programação!$L$5:$L$1004,"&lt;&gt;Cancelada"))</f>
        <v/>
      </c>
      <c r="E26" s="44" t="str">
        <f aca="false">IF($A26="","",COUNTIFS(Programação!$G$5:$G$1004,"*"&amp;$A26&amp;"*",Programação!$J$5:$J$1004,E$5,Programação!$L$5:$L$1004,"&lt;&gt;Cancelada"))</f>
        <v/>
      </c>
      <c r="F26" s="44" t="str">
        <f aca="false">IF($A26="","",COUNTIFS(Programação!$G$5:$G$1004,"*"&amp;$A26&amp;"*",Programação!$J$5:$J$1004,F$5,Programação!$L$5:$L$1004,"&lt;&gt;Cancelada"))</f>
        <v/>
      </c>
      <c r="G26" s="44" t="str">
        <f aca="false">IF($A26="","",COUNTIFS(Programação!$G$5:$G$1004,"*"&amp;$A26&amp;"*",Programação!$J$5:$J$1004,G$5,Programação!$L$5:$L$1004,"&lt;&gt;Cancelada"))</f>
        <v/>
      </c>
      <c r="H26" s="44" t="str">
        <f aca="false">IF($A26="","",COUNTIFS(Programação!$G$5:$G$1004,"*"&amp;$A26&amp;"*",Programação!$J$5:$J$1004,H$5,Programação!$L$5:$L$1004,"&lt;&gt;Cancelada"))</f>
        <v/>
      </c>
      <c r="I26" s="45" t="str">
        <f aca="false">IF($A26="","",SUM($B26:$H26))</f>
        <v/>
      </c>
      <c r="J26" s="45" t="str">
        <f aca="false">IF($A26="","",SUMIFS(Programação!$W$5:$W$1004,Programação!$G$5:$G$1004,"*"&amp;$A26&amp;"*",Programação!$J$5:$J$1004,"&gt;="&amp;$C$3,Programação!$J$5:$J$1004,"&lt;="&amp;$C$3+6))</f>
        <v/>
      </c>
      <c r="K26" s="46" t="str">
        <f aca="false">IF(OR($A26="",$I26=0),"",$J26/$I26)</f>
        <v/>
      </c>
      <c r="L26" s="45" t="str">
        <f aca="true">IF($A26="","",COUNTIFS(Programação!$G$5:$G$1004,"*"&amp;$A26&amp;"*",Programação!$J$5:$J$1004,"&gt;="&amp;$C$3,Programação!$J$5:$J$1004,"&lt;="&amp;$C$3+6,Programação!$J$5:$J$1004,"&lt;"&amp;TODAY(),Programação!$W$5:$W$1004,0,Programação!$L$5:$L$1004,"&lt;&gt;Cancelada"))</f>
        <v/>
      </c>
    </row>
    <row r="27" customFormat="false" ht="16.5" hidden="false" customHeight="true" outlineLevel="0" collapsed="false">
      <c r="A27" s="22" t="str">
        <f aca="false">IF(Listas!A26="","",Listas!A26)</f>
        <v/>
      </c>
      <c r="B27" s="44" t="str">
        <f aca="false">IF($A27="","",COUNTIFS(Programação!$G$5:$G$1004,"*"&amp;$A27&amp;"*",Programação!$J$5:$J$1004,B$5,Programação!$L$5:$L$1004,"&lt;&gt;Cancelada"))</f>
        <v/>
      </c>
      <c r="C27" s="44" t="str">
        <f aca="false">IF($A27="","",COUNTIFS(Programação!$G$5:$G$1004,"*"&amp;$A27&amp;"*",Programação!$J$5:$J$1004,C$5,Programação!$L$5:$L$1004,"&lt;&gt;Cancelada"))</f>
        <v/>
      </c>
      <c r="D27" s="44" t="str">
        <f aca="false">IF($A27="","",COUNTIFS(Programação!$G$5:$G$1004,"*"&amp;$A27&amp;"*",Programação!$J$5:$J$1004,D$5,Programação!$L$5:$L$1004,"&lt;&gt;Cancelada"))</f>
        <v/>
      </c>
      <c r="E27" s="44" t="str">
        <f aca="false">IF($A27="","",COUNTIFS(Programação!$G$5:$G$1004,"*"&amp;$A27&amp;"*",Programação!$J$5:$J$1004,E$5,Programação!$L$5:$L$1004,"&lt;&gt;Cancelada"))</f>
        <v/>
      </c>
      <c r="F27" s="44" t="str">
        <f aca="false">IF($A27="","",COUNTIFS(Programação!$G$5:$G$1004,"*"&amp;$A27&amp;"*",Programação!$J$5:$J$1004,F$5,Programação!$L$5:$L$1004,"&lt;&gt;Cancelada"))</f>
        <v/>
      </c>
      <c r="G27" s="44" t="str">
        <f aca="false">IF($A27="","",COUNTIFS(Programação!$G$5:$G$1004,"*"&amp;$A27&amp;"*",Programação!$J$5:$J$1004,G$5,Programação!$L$5:$L$1004,"&lt;&gt;Cancelada"))</f>
        <v/>
      </c>
      <c r="H27" s="44" t="str">
        <f aca="false">IF($A27="","",COUNTIFS(Programação!$G$5:$G$1004,"*"&amp;$A27&amp;"*",Programação!$J$5:$J$1004,H$5,Programação!$L$5:$L$1004,"&lt;&gt;Cancelada"))</f>
        <v/>
      </c>
      <c r="I27" s="45" t="str">
        <f aca="false">IF($A27="","",SUM($B27:$H27))</f>
        <v/>
      </c>
      <c r="J27" s="45" t="str">
        <f aca="false">IF($A27="","",SUMIFS(Programação!$W$5:$W$1004,Programação!$G$5:$G$1004,"*"&amp;$A27&amp;"*",Programação!$J$5:$J$1004,"&gt;="&amp;$C$3,Programação!$J$5:$J$1004,"&lt;="&amp;$C$3+6))</f>
        <v/>
      </c>
      <c r="K27" s="46" t="str">
        <f aca="false">IF(OR($A27="",$I27=0),"",$J27/$I27)</f>
        <v/>
      </c>
      <c r="L27" s="45" t="str">
        <f aca="true">IF($A27="","",COUNTIFS(Programação!$G$5:$G$1004,"*"&amp;$A27&amp;"*",Programação!$J$5:$J$1004,"&gt;="&amp;$C$3,Programação!$J$5:$J$1004,"&lt;="&amp;$C$3+6,Programação!$J$5:$J$1004,"&lt;"&amp;TODAY(),Programação!$W$5:$W$1004,0,Programação!$L$5:$L$1004,"&lt;&gt;Cancelada"))</f>
        <v/>
      </c>
    </row>
    <row r="28" customFormat="false" ht="16.5" hidden="false" customHeight="true" outlineLevel="0" collapsed="false">
      <c r="A28" s="22" t="str">
        <f aca="false">IF(Listas!A27="","",Listas!A27)</f>
        <v/>
      </c>
      <c r="B28" s="44" t="str">
        <f aca="false">IF($A28="","",COUNTIFS(Programação!$G$5:$G$1004,"*"&amp;$A28&amp;"*",Programação!$J$5:$J$1004,B$5,Programação!$L$5:$L$1004,"&lt;&gt;Cancelada"))</f>
        <v/>
      </c>
      <c r="C28" s="44" t="str">
        <f aca="false">IF($A28="","",COUNTIFS(Programação!$G$5:$G$1004,"*"&amp;$A28&amp;"*",Programação!$J$5:$J$1004,C$5,Programação!$L$5:$L$1004,"&lt;&gt;Cancelada"))</f>
        <v/>
      </c>
      <c r="D28" s="44" t="str">
        <f aca="false">IF($A28="","",COUNTIFS(Programação!$G$5:$G$1004,"*"&amp;$A28&amp;"*",Programação!$J$5:$J$1004,D$5,Programação!$L$5:$L$1004,"&lt;&gt;Cancelada"))</f>
        <v/>
      </c>
      <c r="E28" s="44" t="str">
        <f aca="false">IF($A28="","",COUNTIFS(Programação!$G$5:$G$1004,"*"&amp;$A28&amp;"*",Programação!$J$5:$J$1004,E$5,Programação!$L$5:$L$1004,"&lt;&gt;Cancelada"))</f>
        <v/>
      </c>
      <c r="F28" s="44" t="str">
        <f aca="false">IF($A28="","",COUNTIFS(Programação!$G$5:$G$1004,"*"&amp;$A28&amp;"*",Programação!$J$5:$J$1004,F$5,Programação!$L$5:$L$1004,"&lt;&gt;Cancelada"))</f>
        <v/>
      </c>
      <c r="G28" s="44" t="str">
        <f aca="false">IF($A28="","",COUNTIFS(Programação!$G$5:$G$1004,"*"&amp;$A28&amp;"*",Programação!$J$5:$J$1004,G$5,Programação!$L$5:$L$1004,"&lt;&gt;Cancelada"))</f>
        <v/>
      </c>
      <c r="H28" s="44" t="str">
        <f aca="false">IF($A28="","",COUNTIFS(Programação!$G$5:$G$1004,"*"&amp;$A28&amp;"*",Programação!$J$5:$J$1004,H$5,Programação!$L$5:$L$1004,"&lt;&gt;Cancelada"))</f>
        <v/>
      </c>
      <c r="I28" s="45" t="str">
        <f aca="false">IF($A28="","",SUM($B28:$H28))</f>
        <v/>
      </c>
      <c r="J28" s="45" t="str">
        <f aca="false">IF($A28="","",SUMIFS(Programação!$W$5:$W$1004,Programação!$G$5:$G$1004,"*"&amp;$A28&amp;"*",Programação!$J$5:$J$1004,"&gt;="&amp;$C$3,Programação!$J$5:$J$1004,"&lt;="&amp;$C$3+6))</f>
        <v/>
      </c>
      <c r="K28" s="46" t="str">
        <f aca="false">IF(OR($A28="",$I28=0),"",$J28/$I28)</f>
        <v/>
      </c>
      <c r="L28" s="45" t="str">
        <f aca="true">IF($A28="","",COUNTIFS(Programação!$G$5:$G$1004,"*"&amp;$A28&amp;"*",Programação!$J$5:$J$1004,"&gt;="&amp;$C$3,Programação!$J$5:$J$1004,"&lt;="&amp;$C$3+6,Programação!$J$5:$J$1004,"&lt;"&amp;TODAY(),Programação!$W$5:$W$1004,0,Programação!$L$5:$L$1004,"&lt;&gt;Cancelada"))</f>
        <v/>
      </c>
    </row>
    <row r="29" customFormat="false" ht="16.5" hidden="false" customHeight="true" outlineLevel="0" collapsed="false">
      <c r="A29" s="22" t="str">
        <f aca="false">IF(Listas!A28="","",Listas!A28)</f>
        <v/>
      </c>
      <c r="B29" s="44" t="str">
        <f aca="false">IF($A29="","",COUNTIFS(Programação!$G$5:$G$1004,"*"&amp;$A29&amp;"*",Programação!$J$5:$J$1004,B$5,Programação!$L$5:$L$1004,"&lt;&gt;Cancelada"))</f>
        <v/>
      </c>
      <c r="C29" s="44" t="str">
        <f aca="false">IF($A29="","",COUNTIFS(Programação!$G$5:$G$1004,"*"&amp;$A29&amp;"*",Programação!$J$5:$J$1004,C$5,Programação!$L$5:$L$1004,"&lt;&gt;Cancelada"))</f>
        <v/>
      </c>
      <c r="D29" s="44" t="str">
        <f aca="false">IF($A29="","",COUNTIFS(Programação!$G$5:$G$1004,"*"&amp;$A29&amp;"*",Programação!$J$5:$J$1004,D$5,Programação!$L$5:$L$1004,"&lt;&gt;Cancelada"))</f>
        <v/>
      </c>
      <c r="E29" s="44" t="str">
        <f aca="false">IF($A29="","",COUNTIFS(Programação!$G$5:$G$1004,"*"&amp;$A29&amp;"*",Programação!$J$5:$J$1004,E$5,Programação!$L$5:$L$1004,"&lt;&gt;Cancelada"))</f>
        <v/>
      </c>
      <c r="F29" s="44" t="str">
        <f aca="false">IF($A29="","",COUNTIFS(Programação!$G$5:$G$1004,"*"&amp;$A29&amp;"*",Programação!$J$5:$J$1004,F$5,Programação!$L$5:$L$1004,"&lt;&gt;Cancelada"))</f>
        <v/>
      </c>
      <c r="G29" s="44" t="str">
        <f aca="false">IF($A29="","",COUNTIFS(Programação!$G$5:$G$1004,"*"&amp;$A29&amp;"*",Programação!$J$5:$J$1004,G$5,Programação!$L$5:$L$1004,"&lt;&gt;Cancelada"))</f>
        <v/>
      </c>
      <c r="H29" s="44" t="str">
        <f aca="false">IF($A29="","",COUNTIFS(Programação!$G$5:$G$1004,"*"&amp;$A29&amp;"*",Programação!$J$5:$J$1004,H$5,Programação!$L$5:$L$1004,"&lt;&gt;Cancelada"))</f>
        <v/>
      </c>
      <c r="I29" s="45" t="str">
        <f aca="false">IF($A29="","",SUM($B29:$H29))</f>
        <v/>
      </c>
      <c r="J29" s="45" t="str">
        <f aca="false">IF($A29="","",SUMIFS(Programação!$W$5:$W$1004,Programação!$G$5:$G$1004,"*"&amp;$A29&amp;"*",Programação!$J$5:$J$1004,"&gt;="&amp;$C$3,Programação!$J$5:$J$1004,"&lt;="&amp;$C$3+6))</f>
        <v/>
      </c>
      <c r="K29" s="46" t="str">
        <f aca="false">IF(OR($A29="",$I29=0),"",$J29/$I29)</f>
        <v/>
      </c>
      <c r="L29" s="45" t="str">
        <f aca="true">IF($A29="","",COUNTIFS(Programação!$G$5:$G$1004,"*"&amp;$A29&amp;"*",Programação!$J$5:$J$1004,"&gt;="&amp;$C$3,Programação!$J$5:$J$1004,"&lt;="&amp;$C$3+6,Programação!$J$5:$J$1004,"&lt;"&amp;TODAY(),Programação!$W$5:$W$1004,0,Programação!$L$5:$L$1004,"&lt;&gt;Cancelada"))</f>
        <v/>
      </c>
    </row>
    <row r="30" customFormat="false" ht="16.5" hidden="false" customHeight="true" outlineLevel="0" collapsed="false">
      <c r="A30" s="47" t="s">
        <v>490</v>
      </c>
      <c r="B30" s="45" t="n">
        <f aca="false">COUNTIFS(Programação!$G$5:$G$1004,"",Programação!$J$5:$J$1004,B$5,Programação!$L$5:$L$1004,"&lt;&gt;Cancelada")</f>
        <v>0</v>
      </c>
      <c r="C30" s="45" t="n">
        <f aca="false">COUNTIFS(Programação!$G$5:$G$1004,"",Programação!$J$5:$J$1004,C$5,Programação!$L$5:$L$1004,"&lt;&gt;Cancelada")</f>
        <v>0</v>
      </c>
      <c r="D30" s="45" t="n">
        <f aca="false">COUNTIFS(Programação!$G$5:$G$1004,"",Programação!$J$5:$J$1004,D$5,Programação!$L$5:$L$1004,"&lt;&gt;Cancelada")</f>
        <v>0</v>
      </c>
      <c r="E30" s="45" t="n">
        <f aca="false">COUNTIFS(Programação!$G$5:$G$1004,"",Programação!$J$5:$J$1004,E$5,Programação!$L$5:$L$1004,"&lt;&gt;Cancelada")</f>
        <v>0</v>
      </c>
      <c r="F30" s="45" t="n">
        <f aca="false">COUNTIFS(Programação!$G$5:$G$1004,"",Programação!$J$5:$J$1004,F$5,Programação!$L$5:$L$1004,"&lt;&gt;Cancelada")</f>
        <v>0</v>
      </c>
      <c r="G30" s="45" t="n">
        <f aca="false">COUNTIFS(Programação!$G$5:$G$1004,"",Programação!$J$5:$J$1004,G$5,Programação!$L$5:$L$1004,"&lt;&gt;Cancelada")</f>
        <v>0</v>
      </c>
      <c r="H30" s="45" t="n">
        <f aca="false">COUNTIFS(Programação!$G$5:$G$1004,"",Programação!$J$5:$J$1004,H$5,Programação!$L$5:$L$1004,"&lt;&gt;Cancelada")</f>
        <v>0</v>
      </c>
      <c r="I30" s="45" t="n">
        <f aca="false">SUM($B30:$H30)</f>
        <v>0</v>
      </c>
      <c r="J30" s="45" t="n">
        <f aca="false">SUMIFS(Programação!$W$5:$W$1004,Programação!$G$5:$G$1004,"",Programação!$J$5:$J$1004,"&gt;="&amp;$C$3,Programação!$J$5:$J$1004,"&lt;="&amp;$C$3+6)</f>
        <v>0</v>
      </c>
      <c r="K30" s="46" t="str">
        <f aca="false">IF($I30=0,"",$J30/$I30)</f>
        <v/>
      </c>
      <c r="L30" s="45" t="n">
        <f aca="true">COUNTIFS(Programação!$G$5:$G$1004,"",Programação!$J$5:$J$1004,"&gt;="&amp;$C$3,Programação!$J$5:$J$1004,"&lt;="&amp;$C$3+6,Programação!$J$5:$J$1004,"&lt;"&amp;TODAY(),Programação!$W$5:$W$1004,0,Programação!$L$5:$L$1004,"&lt;&gt;Cancelada")</f>
        <v>0</v>
      </c>
    </row>
    <row r="31" customFormat="false" ht="16.5" hidden="false" customHeight="true" outlineLevel="0" collapsed="false">
      <c r="A31" s="48" t="s">
        <v>491</v>
      </c>
      <c r="B31" s="49" t="n">
        <f aca="false">COUNTIFS(Programação!$J$5:$J$1004,B$5,Programação!$L$5:$L$1004,"&lt;&gt;Cancelada")</f>
        <v>17</v>
      </c>
      <c r="C31" s="49" t="n">
        <f aca="false">COUNTIFS(Programação!$J$5:$J$1004,C$5,Programação!$L$5:$L$1004,"&lt;&gt;Cancelada")</f>
        <v>22</v>
      </c>
      <c r="D31" s="49" t="n">
        <f aca="false">COUNTIFS(Programação!$J$5:$J$1004,D$5,Programação!$L$5:$L$1004,"&lt;&gt;Cancelada")</f>
        <v>71</v>
      </c>
      <c r="E31" s="49" t="n">
        <f aca="false">COUNTIFS(Programação!$J$5:$J$1004,E$5,Programação!$L$5:$L$1004,"&lt;&gt;Cancelada")</f>
        <v>79</v>
      </c>
      <c r="F31" s="49" t="n">
        <f aca="false">COUNTIFS(Programação!$J$5:$J$1004,F$5,Programação!$L$5:$L$1004,"&lt;&gt;Cancelada")</f>
        <v>11</v>
      </c>
      <c r="G31" s="49" t="n">
        <f aca="false">COUNTIFS(Programação!$J$5:$J$1004,G$5,Programação!$L$5:$L$1004,"&lt;&gt;Cancelada")</f>
        <v>0</v>
      </c>
      <c r="H31" s="49" t="n">
        <f aca="false">COUNTIFS(Programação!$J$5:$J$1004,H$5,Programação!$L$5:$L$1004,"&lt;&gt;Cancelada")</f>
        <v>0</v>
      </c>
      <c r="I31" s="49" t="n">
        <f aca="false">COUNTIFS(Programação!$J$5:$J$1004,"&gt;="&amp;$C$3,Programação!$J$5:$J$1004,"&lt;="&amp;$C$3+6,Programação!$L$5:$L$1004,"&lt;&gt;Cancelada")</f>
        <v>200</v>
      </c>
      <c r="J31" s="49" t="n">
        <f aca="false">SUMIFS(Programação!$W$5:$W$1004,Programação!$J$5:$J$1004,"&gt;="&amp;$C$3,Programação!$J$5:$J$1004,"&lt;="&amp;$C$3+6)</f>
        <v>99</v>
      </c>
      <c r="K31" s="50" t="n">
        <f aca="false">IF($I31=0,"",$J31/$I31)</f>
        <v>0.495</v>
      </c>
      <c r="L31" s="49" t="n">
        <f aca="true">COUNTIFS(Programação!$J$5:$J$1004,"&gt;="&amp;$C$3,Programação!$J$5:$J$1004,"&lt;="&amp;$C$3+6,Programação!$J$5:$J$1004,"&lt;"&amp;TODAY(),Programação!$W$5:$W$1004,0,Programação!$L$5:$L$1004,"&lt;&gt;Cancelada")</f>
        <v>0</v>
      </c>
    </row>
    <row r="33" customFormat="false" ht="15" hidden="false" customHeight="false" outlineLevel="0" collapsed="false">
      <c r="A33" s="40" t="s">
        <v>492</v>
      </c>
      <c r="B33" s="40"/>
      <c r="C33" s="51" t="n">
        <f aca="false">COUNTIFS(Programação!$J$5:$J$1004,"",Programação!$E$5:$E$1004,"&lt;&gt;",Programação!$L$5:$L$1004,"&lt;&gt;Cancelada")</f>
        <v>39</v>
      </c>
      <c r="D33" s="20" t="s">
        <v>493</v>
      </c>
      <c r="E33" s="20"/>
      <c r="F33" s="20"/>
      <c r="G33" s="20"/>
      <c r="H33" s="20"/>
      <c r="I33" s="20"/>
      <c r="J33" s="20"/>
      <c r="K33" s="20"/>
      <c r="L33" s="20"/>
    </row>
  </sheetData>
  <mergeCells count="7">
    <mergeCell ref="A1:L1"/>
    <mergeCell ref="A3:B3"/>
    <mergeCell ref="D3:F3"/>
    <mergeCell ref="G3:H3"/>
    <mergeCell ref="J3:L3"/>
    <mergeCell ref="A33:B33"/>
    <mergeCell ref="D33:L33"/>
  </mergeCells>
  <conditionalFormatting sqref="B6:H29">
    <cfRule type="dataBar" priority="2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{6DAB48FF-3DDD-449A-BDA0-C4DAD9BC80A6}</x14:id>
        </ext>
      </extLst>
    </cfRule>
    <cfRule type="cellIs" priority="3" operator="greaterThan" aboveAverage="0" equalAverage="0" bottom="0" percent="0" rank="0" text="" dxfId="16">
      <formula>$I$3</formula>
    </cfRule>
  </conditionalFormatting>
  <conditionalFormatting sqref="K6:K29">
    <cfRule type="cellIs" priority="4" operator="greaterThanOrEqual" aboveAverage="0" equalAverage="0" bottom="0" percent="0" rank="0" text="" dxfId="17">
      <formula>0.85</formula>
    </cfRule>
    <cfRule type="cellIs" priority="5" operator="lessThan" aboveAverage="0" equalAverage="0" bottom="0" percent="0" rank="0" text="" dxfId="16">
      <formula>0.6</formula>
    </cfRule>
  </conditionalFormatting>
  <conditionalFormatting sqref="L6:L30">
    <cfRule type="cellIs" priority="6" operator="greaterThan" aboveAverage="0" equalAverage="0" bottom="0" percent="0" rank="0" text="" dxfId="16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AB48FF-3DDD-449A-BDA0-C4DAD9BC80A6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B6:H29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K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3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0"/>
  </cols>
  <sheetData>
    <row r="1" customFormat="false" ht="30" hidden="false" customHeight="true" outlineLevel="0" collapsed="false">
      <c r="A1" s="23" t="s">
        <v>494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3" customFormat="false" ht="15" hidden="false" customHeight="false" outlineLevel="0" collapsed="false">
      <c r="A3" s="52" t="s">
        <v>495</v>
      </c>
      <c r="B3" s="41" t="n">
        <f aca="true">TODAY()-WEEKDAY(TODAY(),3)</f>
        <v>46258</v>
      </c>
      <c r="C3" s="20" t="s">
        <v>496</v>
      </c>
      <c r="D3" s="20"/>
      <c r="E3" s="20"/>
      <c r="F3" s="20"/>
      <c r="G3" s="20"/>
      <c r="H3" s="20"/>
    </row>
    <row r="4" customFormat="false" ht="15" hidden="false" customHeight="false" outlineLevel="0" collapsed="false">
      <c r="A4" s="52" t="s">
        <v>497</v>
      </c>
      <c r="B4" s="41" t="n">
        <f aca="false">B3+6</f>
        <v>46264</v>
      </c>
      <c r="C4" s="20" t="s">
        <v>498</v>
      </c>
      <c r="D4" s="20"/>
      <c r="E4" s="20"/>
      <c r="F4" s="20"/>
      <c r="G4" s="20"/>
      <c r="H4" s="20"/>
    </row>
    <row r="6" customFormat="false" ht="21.75" hidden="false" customHeight="true" outlineLevel="0" collapsed="false">
      <c r="A6" s="53" t="n">
        <f aca="false">IFERROR(B14,"—")</f>
        <v>0.495</v>
      </c>
      <c r="B6" s="53"/>
      <c r="C6" s="54" t="str">
        <f aca="false">"ADERÊNCIA POR ATIVIDADE"&amp;CHAR(10)&amp;B13&amp;" de "&amp;B12&amp;" atividades programadas no período foram concluídas."&amp;CHAR(10)&amp;"Cada linha da aba Programação é uma atividade — é ela que conta, não o serviço inteiro."</f>
        <v>ADERÊNCIA POR ATIVIDADE
99 de 200 atividades programadas no período foram concluídas.
Cada linha da aba Programação é uma atividade — é ela que conta, não o serviço inteiro.</v>
      </c>
      <c r="D6" s="54"/>
      <c r="E6" s="54"/>
      <c r="F6" s="54"/>
      <c r="G6" s="54"/>
      <c r="H6" s="54"/>
      <c r="I6" s="54"/>
      <c r="J6" s="54"/>
      <c r="K6" s="54"/>
    </row>
    <row r="7" customFormat="false" ht="21.75" hidden="false" customHeight="true" outlineLevel="0" collapsed="false">
      <c r="A7" s="53"/>
      <c r="B7" s="53"/>
      <c r="C7" s="54"/>
      <c r="D7" s="54"/>
      <c r="E7" s="54"/>
      <c r="F7" s="54"/>
      <c r="G7" s="54"/>
      <c r="H7" s="54"/>
      <c r="I7" s="54"/>
      <c r="J7" s="54"/>
      <c r="K7" s="54"/>
    </row>
    <row r="8" customFormat="false" ht="21.75" hidden="false" customHeight="true" outlineLevel="0" collapsed="false">
      <c r="A8" s="53"/>
      <c r="B8" s="53"/>
      <c r="C8" s="54"/>
      <c r="D8" s="54"/>
      <c r="E8" s="54"/>
      <c r="F8" s="54"/>
      <c r="G8" s="54"/>
      <c r="H8" s="54"/>
      <c r="I8" s="54"/>
      <c r="J8" s="54"/>
      <c r="K8" s="54"/>
    </row>
    <row r="9" customFormat="false" ht="21.75" hidden="false" customHeight="true" outlineLevel="0" collapsed="false">
      <c r="A9" s="53"/>
      <c r="B9" s="53"/>
      <c r="C9" s="54"/>
      <c r="D9" s="54"/>
      <c r="E9" s="54"/>
      <c r="F9" s="54"/>
      <c r="G9" s="54"/>
      <c r="H9" s="54"/>
      <c r="I9" s="54"/>
      <c r="J9" s="54"/>
      <c r="K9" s="54"/>
    </row>
    <row r="11" customFormat="false" ht="15" hidden="false" customHeight="false" outlineLevel="0" collapsed="false">
      <c r="A11" s="30" t="s">
        <v>499</v>
      </c>
      <c r="B11" s="30" t="s">
        <v>500</v>
      </c>
      <c r="C11" s="55" t="s">
        <v>501</v>
      </c>
      <c r="D11" s="55"/>
      <c r="E11" s="55"/>
      <c r="F11" s="55"/>
      <c r="G11" s="55"/>
      <c r="H11" s="55"/>
      <c r="I11" s="55"/>
      <c r="J11" s="55"/>
      <c r="K11" s="55"/>
    </row>
    <row r="12" customFormat="false" ht="16.5" hidden="false" customHeight="true" outlineLevel="0" collapsed="false">
      <c r="A12" s="22" t="s">
        <v>502</v>
      </c>
      <c r="B12" s="56" t="n">
        <f aca="false">COUNTIFS(Programação!$J$5:$J$1004,"&gt;="&amp;$B$3,Programação!$J$5:$J$1004,"&lt;="&amp;$B$4,Programação!$L$5:$L$1004,"&lt;&gt;Cancelada")</f>
        <v>200</v>
      </c>
      <c r="C12" s="57" t="s">
        <v>503</v>
      </c>
      <c r="D12" s="57"/>
      <c r="E12" s="57"/>
      <c r="F12" s="57"/>
      <c r="G12" s="57"/>
      <c r="H12" s="57"/>
      <c r="I12" s="57"/>
      <c r="J12" s="57"/>
      <c r="K12" s="57"/>
    </row>
    <row r="13" customFormat="false" ht="16.5" hidden="false" customHeight="true" outlineLevel="0" collapsed="false">
      <c r="A13" s="22" t="s">
        <v>488</v>
      </c>
      <c r="B13" s="56" t="n">
        <f aca="false">SUMIFS(Programação!$W$5:$W$1004,Programação!$J$5:$J$1004,"&gt;="&amp;$B$3,Programação!$J$5:$J$1004,"&lt;="&amp;$B$4)</f>
        <v>99</v>
      </c>
      <c r="C13" s="57" t="s">
        <v>504</v>
      </c>
      <c r="D13" s="57"/>
      <c r="E13" s="57"/>
      <c r="F13" s="57"/>
      <c r="G13" s="57"/>
      <c r="H13" s="57"/>
      <c r="I13" s="57"/>
      <c r="J13" s="57"/>
      <c r="K13" s="57"/>
    </row>
    <row r="14" customFormat="false" ht="16.5" hidden="false" customHeight="true" outlineLevel="0" collapsed="false">
      <c r="A14" s="58" t="s">
        <v>505</v>
      </c>
      <c r="B14" s="59" t="n">
        <f aca="false">IFERROR(B13/B12,"")</f>
        <v>0.495</v>
      </c>
      <c r="C14" s="60" t="s">
        <v>506</v>
      </c>
      <c r="D14" s="60"/>
      <c r="E14" s="60"/>
      <c r="F14" s="60"/>
      <c r="G14" s="60"/>
      <c r="H14" s="60"/>
      <c r="I14" s="60"/>
      <c r="J14" s="60"/>
      <c r="K14" s="60"/>
    </row>
    <row r="15" customFormat="false" ht="16.5" hidden="false" customHeight="true" outlineLevel="0" collapsed="false">
      <c r="A15" s="22" t="s">
        <v>507</v>
      </c>
      <c r="B15" s="56" t="str">
        <f aca="false">IF(COUNTIFS(Programação!$J$5:$J$1004,"&gt;="&amp;$B$3,Programação!$J$5:$J$1004,"&lt;="&amp;$B$4,Programação!$K$5:$K$1004,"&lt;&gt;")=0,"",SUMIFS(Programação!$S$5:$S$1004,Programação!$J$5:$J$1004,"&gt;="&amp;$B$3,Programação!$J$5:$J$1004,"&lt;="&amp;$B$4))</f>
        <v/>
      </c>
      <c r="C15" s="57" t="s">
        <v>508</v>
      </c>
      <c r="D15" s="57"/>
      <c r="E15" s="57"/>
      <c r="F15" s="57"/>
      <c r="G15" s="57"/>
      <c r="H15" s="57"/>
      <c r="I15" s="57"/>
      <c r="J15" s="57"/>
      <c r="K15" s="57"/>
    </row>
    <row r="16" customFormat="false" ht="16.5" hidden="false" customHeight="true" outlineLevel="0" collapsed="false">
      <c r="A16" s="22" t="s">
        <v>509</v>
      </c>
      <c r="B16" s="61" t="str">
        <f aca="false">IFERROR(B15/COUNTIFS(Programação!$J$5:$J$1004,"&gt;="&amp;$B$3,Programação!$J$5:$J$1004,"&lt;="&amp;$B$4,Programação!$K$5:$K$1004,"&lt;&gt;",Programação!$L$5:$L$1004,"&lt;&gt;Cancelada"),"")</f>
        <v/>
      </c>
      <c r="C16" s="57" t="s">
        <v>510</v>
      </c>
      <c r="D16" s="57"/>
      <c r="E16" s="57"/>
      <c r="F16" s="57"/>
      <c r="G16" s="57"/>
      <c r="H16" s="57"/>
      <c r="I16" s="57"/>
      <c r="J16" s="57"/>
      <c r="K16" s="57"/>
    </row>
    <row r="17" customFormat="false" ht="16.5" hidden="false" customHeight="true" outlineLevel="0" collapsed="false">
      <c r="A17" s="22" t="s">
        <v>511</v>
      </c>
      <c r="B17" s="56" t="n">
        <f aca="false">COUNTIFS(Programação!$R$5:$R$1004,"&gt;="&amp;$B$3,Programação!$R$5:$R$1004,"&lt;="&amp;$B$4,Programação!$L$5:$L$1004,"&lt;&gt;Cancelada")</f>
        <v>191</v>
      </c>
      <c r="C17" s="57" t="s">
        <v>512</v>
      </c>
      <c r="D17" s="57"/>
      <c r="E17" s="57"/>
      <c r="F17" s="57"/>
      <c r="G17" s="57"/>
      <c r="H17" s="57"/>
      <c r="I17" s="57"/>
      <c r="J17" s="57"/>
      <c r="K17" s="57"/>
    </row>
    <row r="18" customFormat="false" ht="16.5" hidden="false" customHeight="true" outlineLevel="0" collapsed="false">
      <c r="A18" s="22" t="s">
        <v>513</v>
      </c>
      <c r="B18" s="56" t="str">
        <f aca="false">IF(COUNTIFS(Programação!$R$5:$R$1004,"&gt;="&amp;$B$3,Programação!$R$5:$R$1004,"&lt;="&amp;$B$4,Programação!$K$5:$K$1004,"&lt;&gt;")=0,"",SUMIFS(Programação!$T$5:$T$1004,Programação!$R$5:$R$1004,"&gt;="&amp;$B$3,Programação!$R$5:$R$1004,"&lt;="&amp;$B$4))</f>
        <v/>
      </c>
      <c r="C18" s="57" t="s">
        <v>514</v>
      </c>
      <c r="D18" s="57"/>
      <c r="E18" s="57"/>
      <c r="F18" s="57"/>
      <c r="G18" s="57"/>
      <c r="H18" s="57"/>
      <c r="I18" s="57"/>
      <c r="J18" s="57"/>
      <c r="K18" s="57"/>
    </row>
    <row r="19" customFormat="false" ht="16.5" hidden="false" customHeight="true" outlineLevel="0" collapsed="false">
      <c r="A19" s="58" t="s">
        <v>515</v>
      </c>
      <c r="B19" s="59" t="str">
        <f aca="false">IF(COUNTIFS(Programação!$R$5:$R$1004,"&gt;="&amp;$B$3,Programação!$R$5:$R$1004,"&lt;="&amp;$B$4,Programação!$K$5:$K$1004,"&lt;&gt;")=0,"",IFERROR(B18/B17,""))</f>
        <v/>
      </c>
      <c r="C19" s="60" t="s">
        <v>516</v>
      </c>
      <c r="D19" s="60"/>
      <c r="E19" s="60"/>
      <c r="F19" s="60"/>
      <c r="G19" s="60"/>
      <c r="H19" s="60"/>
      <c r="I19" s="60"/>
      <c r="J19" s="60"/>
      <c r="K19" s="60"/>
    </row>
    <row r="20" customFormat="false" ht="16.5" hidden="false" customHeight="true" outlineLevel="0" collapsed="false">
      <c r="A20" s="22" t="s">
        <v>489</v>
      </c>
      <c r="B20" s="56" t="n">
        <f aca="true">COUNTIFS(Programação!$J$5:$J$1004,"&gt;="&amp;$B$3,Programação!$J$5:$J$1004,"&lt;="&amp;$B$4,Programação!$J$5:$J$1004,"&lt;"&amp;TODAY(),Programação!$W$5:$W$1004,0,Programação!$L$5:$L$1004,"&lt;&gt;Cancelada")</f>
        <v>0</v>
      </c>
      <c r="C20" s="57" t="s">
        <v>517</v>
      </c>
      <c r="D20" s="57"/>
      <c r="E20" s="57"/>
      <c r="F20" s="57"/>
      <c r="G20" s="57"/>
      <c r="H20" s="57"/>
      <c r="I20" s="57"/>
      <c r="J20" s="57"/>
      <c r="K20" s="57"/>
    </row>
    <row r="21" customFormat="false" ht="16.5" hidden="false" customHeight="true" outlineLevel="0" collapsed="false">
      <c r="A21" s="22" t="s">
        <v>518</v>
      </c>
      <c r="B21" s="56" t="n">
        <f aca="false">COUNTIFS(Programação!$J$5:$J$1004,"&gt;="&amp;$B$3,Programação!$J$5:$J$1004,"&lt;="&amp;$B$4,Programação!$L$5:$L$1004,"Cancelada")</f>
        <v>0</v>
      </c>
      <c r="C21" s="57" t="s">
        <v>519</v>
      </c>
      <c r="D21" s="57"/>
      <c r="E21" s="57"/>
      <c r="F21" s="57"/>
      <c r="G21" s="57"/>
      <c r="H21" s="57"/>
      <c r="I21" s="57"/>
      <c r="J21" s="57"/>
      <c r="K21" s="57"/>
    </row>
    <row r="22" customFormat="false" ht="16.5" hidden="false" customHeight="true" outlineLevel="0" collapsed="false">
      <c r="A22" s="22" t="s">
        <v>520</v>
      </c>
      <c r="B22" s="56" t="n">
        <f aca="false">SUMIFS(Programação!$V$5:$V$1004,Programação!$J$5:$J$1004,"&gt;="&amp;$B$3,Programação!$J$5:$J$1004,"&lt;="&amp;$B$4)</f>
        <v>72</v>
      </c>
      <c r="C22" s="57" t="s">
        <v>521</v>
      </c>
      <c r="D22" s="57"/>
      <c r="E22" s="57"/>
      <c r="F22" s="57"/>
      <c r="G22" s="57"/>
      <c r="H22" s="57"/>
      <c r="I22" s="57"/>
      <c r="J22" s="57"/>
      <c r="K22" s="57"/>
    </row>
    <row r="23" customFormat="false" ht="16.5" hidden="false" customHeight="true" outlineLevel="0" collapsed="false">
      <c r="A23" s="22" t="s">
        <v>522</v>
      </c>
      <c r="B23" s="62" t="n">
        <f aca="false">IFERROR(SUMIFS(Programação!$U$5:$U$1004,Programação!$J$5:$J$1004,"&gt;="&amp;$B$3,Programação!$J$5:$J$1004,"&lt;="&amp;$B$4)/COUNTIFS(Programação!$J$5:$J$1004,"&gt;="&amp;$B$3,Programação!$J$5:$J$1004,"&lt;="&amp;$B$4,Programação!$U$5:$U$1004,"&gt;0"),0)</f>
        <v>0</v>
      </c>
      <c r="C23" s="57" t="s">
        <v>523</v>
      </c>
      <c r="D23" s="57"/>
      <c r="E23" s="57"/>
      <c r="F23" s="57"/>
      <c r="G23" s="57"/>
      <c r="H23" s="57"/>
      <c r="I23" s="57"/>
      <c r="J23" s="57"/>
      <c r="K23" s="57"/>
    </row>
    <row r="24" customFormat="false" ht="16.5" hidden="false" customHeight="true" outlineLevel="0" collapsed="false">
      <c r="A24" s="22" t="s">
        <v>524</v>
      </c>
      <c r="B24" s="56" t="n">
        <f aca="false">COUNTIFS(Programação!$J$5:$J$1004,"",Programação!$E$5:$E$1004,"&lt;&gt;",Programação!$L$5:$L$1004,"&lt;&gt;Cancelada")</f>
        <v>39</v>
      </c>
      <c r="C24" s="57" t="s">
        <v>525</v>
      </c>
      <c r="D24" s="57"/>
      <c r="E24" s="57"/>
      <c r="F24" s="57"/>
      <c r="G24" s="57"/>
      <c r="H24" s="57"/>
      <c r="I24" s="57"/>
      <c r="J24" s="57"/>
      <c r="K24" s="57"/>
    </row>
    <row r="25" customFormat="false" ht="16.5" hidden="false" customHeight="true" outlineLevel="0" collapsed="false">
      <c r="A25" s="22" t="s">
        <v>526</v>
      </c>
      <c r="B25" s="56" t="n">
        <f aca="false">COUNTIFS(Programação!$J$5:$J$1004,"&gt;="&amp;$B$3,Programação!$J$5:$J$1004,"&lt;="&amp;$B$4,Programação!$Q$5:$Q$1004,"Terceirizada")</f>
        <v>47</v>
      </c>
      <c r="C25" s="57" t="s">
        <v>527</v>
      </c>
      <c r="D25" s="57"/>
      <c r="E25" s="57"/>
      <c r="F25" s="57"/>
      <c r="G25" s="57"/>
      <c r="H25" s="57"/>
      <c r="I25" s="57"/>
      <c r="J25" s="57"/>
      <c r="K25" s="57"/>
    </row>
    <row r="28" customFormat="false" ht="15" hidden="false" customHeight="false" outlineLevel="0" collapsed="false">
      <c r="A28" s="3" t="s">
        <v>528</v>
      </c>
      <c r="B28" s="3"/>
      <c r="C28" s="3"/>
      <c r="D28" s="3"/>
      <c r="E28" s="3"/>
      <c r="G28" s="3" t="s">
        <v>529</v>
      </c>
      <c r="H28" s="3"/>
      <c r="I28" s="3"/>
      <c r="J28" s="3"/>
      <c r="K28" s="3"/>
    </row>
    <row r="29" customFormat="false" ht="15" hidden="false" customHeight="false" outlineLevel="0" collapsed="false">
      <c r="A29" s="29" t="s">
        <v>530</v>
      </c>
      <c r="B29" s="29" t="s">
        <v>531</v>
      </c>
      <c r="C29" s="29" t="s">
        <v>175</v>
      </c>
      <c r="D29" s="29" t="s">
        <v>38</v>
      </c>
      <c r="E29" s="29" t="s">
        <v>489</v>
      </c>
      <c r="G29" s="29" t="s">
        <v>530</v>
      </c>
      <c r="H29" s="29" t="s">
        <v>531</v>
      </c>
      <c r="I29" s="29" t="s">
        <v>175</v>
      </c>
      <c r="J29" s="29" t="s">
        <v>38</v>
      </c>
      <c r="K29" s="29" t="s">
        <v>489</v>
      </c>
    </row>
    <row r="30" customFormat="false" ht="15.75" hidden="false" customHeight="true" outlineLevel="0" collapsed="false">
      <c r="A30" s="22" t="str">
        <f aca="false">IF(Listas!A5="","",Listas!A5)</f>
        <v>Adilton</v>
      </c>
      <c r="B30" s="45" t="n">
        <f aca="false">IF($A30="","",COUNTIFS(Programação!$G$5:$G$1004,"*"&amp;$A30&amp;"*",Programação!$J$5:$J$1004,"&gt;="&amp;$B$3,Programação!$J$5:$J$1004,"&lt;="&amp;$B$4,Programação!$L$5:$L$1004,"&lt;&gt;Cancelada"))</f>
        <v>61</v>
      </c>
      <c r="C30" s="45" t="n">
        <f aca="false">IF($A30="","",SUMIFS(Programação!$W$5:$W$1004,Programação!$G$5:$G$1004,"*"&amp;$A30&amp;"*",Programação!$J$5:$J$1004,"&gt;="&amp;$B$3,Programação!$J$5:$J$1004,"&lt;="&amp;$B$4))</f>
        <v>48</v>
      </c>
      <c r="D30" s="46" t="n">
        <f aca="false">IF(OR($A30="",$B30=0),"",$C30/$B30)</f>
        <v>0.786885245901639</v>
      </c>
      <c r="E30" s="45" t="n">
        <f aca="true">IF($A30="","",COUNTIFS(Programação!$G$5:$G$1004,"*"&amp;$A30&amp;"*",Programação!$J$5:$J$1004,"&gt;="&amp;$B$3,Programação!$J$5:$J$1004,"&lt;="&amp;$B$4,Programação!$J$5:$J$1004,"&lt;"&amp;TODAY(),Programação!$W$5:$W$1004,0,Programação!$L$5:$L$1004,"&lt;&gt;Cancelada"))</f>
        <v>0</v>
      </c>
      <c r="G30" s="22" t="str">
        <f aca="false">IF(Listas!B5="","",Listas!B5)</f>
        <v>F-1038</v>
      </c>
      <c r="H30" s="45" t="n">
        <f aca="false">IF($G30="","",COUNTIFS(Programação!$C$5:$C$1004,$G30,Programação!$J$5:$J$1004,"&gt;="&amp;$B$3,Programação!$J$5:$J$1004,"&lt;="&amp;$B$4,Programação!$L$5:$L$1004,"&lt;&gt;Cancelada"))</f>
        <v>0</v>
      </c>
      <c r="I30" s="45" t="n">
        <f aca="false">IF($G30="","",SUMIFS(Programação!$W$5:$W$1004,Programação!$C$5:$C$1004,$G30,Programação!$J$5:$J$1004,"&gt;="&amp;$B$3,Programação!$J$5:$J$1004,"&lt;="&amp;$B$4))</f>
        <v>0</v>
      </c>
      <c r="J30" s="46" t="str">
        <f aca="false">IF(OR($G30="",$H30=0),"",$I30/$H30)</f>
        <v/>
      </c>
      <c r="K30" s="45" t="n">
        <f aca="true">IF($G30="","",COUNTIFS(Programação!$C$5:$C$1004,$G30,Programação!$J$5:$J$1004,"&gt;="&amp;$B$3,Programação!$J$5:$J$1004,"&lt;="&amp;$B$4,Programação!$J$5:$J$1004,"&lt;"&amp;TODAY(),Programação!$W$5:$W$1004,0,Programação!$L$5:$L$1004,"&lt;&gt;Cancelada"))</f>
        <v>0</v>
      </c>
    </row>
    <row r="31" customFormat="false" ht="15.75" hidden="false" customHeight="true" outlineLevel="0" collapsed="false">
      <c r="A31" s="22" t="str">
        <f aca="false">IF(Listas!A6="","",Listas!A6)</f>
        <v>Airton</v>
      </c>
      <c r="B31" s="45" t="n">
        <f aca="false">IF($A31="","",COUNTIFS(Programação!$G$5:$G$1004,"*"&amp;$A31&amp;"*",Programação!$J$5:$J$1004,"&gt;="&amp;$B$3,Programação!$J$5:$J$1004,"&lt;="&amp;$B$4,Programação!$L$5:$L$1004,"&lt;&gt;Cancelada"))</f>
        <v>57</v>
      </c>
      <c r="C31" s="45" t="n">
        <f aca="false">IF($A31="","",SUMIFS(Programação!$W$5:$W$1004,Programação!$G$5:$G$1004,"*"&amp;$A31&amp;"*",Programação!$J$5:$J$1004,"&gt;="&amp;$B$3,Programação!$J$5:$J$1004,"&lt;="&amp;$B$4))</f>
        <v>15</v>
      </c>
      <c r="D31" s="46" t="n">
        <f aca="false">IF(OR($A31="",$B31=0),"",$C31/$B31)</f>
        <v>0.263157894736842</v>
      </c>
      <c r="E31" s="45" t="n">
        <f aca="true">IF($A31="","",COUNTIFS(Programação!$G$5:$G$1004,"*"&amp;$A31&amp;"*",Programação!$J$5:$J$1004,"&gt;="&amp;$B$3,Programação!$J$5:$J$1004,"&lt;="&amp;$B$4,Programação!$J$5:$J$1004,"&lt;"&amp;TODAY(),Programação!$W$5:$W$1004,0,Programação!$L$5:$L$1004,"&lt;&gt;Cancelada"))</f>
        <v>0</v>
      </c>
      <c r="G31" s="22" t="str">
        <f aca="false">IF(Listas!B6="","",Listas!B6)</f>
        <v>F-1039</v>
      </c>
      <c r="H31" s="45" t="n">
        <f aca="false">IF($G31="","",COUNTIFS(Programação!$C$5:$C$1004,$G31,Programação!$J$5:$J$1004,"&gt;="&amp;$B$3,Programação!$J$5:$J$1004,"&lt;="&amp;$B$4,Programação!$L$5:$L$1004,"&lt;&gt;Cancelada"))</f>
        <v>0</v>
      </c>
      <c r="I31" s="45" t="n">
        <f aca="false">IF($G31="","",SUMIFS(Programação!$W$5:$W$1004,Programação!$C$5:$C$1004,$G31,Programação!$J$5:$J$1004,"&gt;="&amp;$B$3,Programação!$J$5:$J$1004,"&lt;="&amp;$B$4))</f>
        <v>0</v>
      </c>
      <c r="J31" s="46" t="str">
        <f aca="false">IF(OR($G31="",$H31=0),"",$I31/$H31)</f>
        <v/>
      </c>
      <c r="K31" s="45" t="n">
        <f aca="true">IF($G31="","",COUNTIFS(Programação!$C$5:$C$1004,$G31,Programação!$J$5:$J$1004,"&gt;="&amp;$B$3,Programação!$J$5:$J$1004,"&lt;="&amp;$B$4,Programação!$J$5:$J$1004,"&lt;"&amp;TODAY(),Programação!$W$5:$W$1004,0,Programação!$L$5:$L$1004,"&lt;&gt;Cancelada"))</f>
        <v>0</v>
      </c>
    </row>
    <row r="32" customFormat="false" ht="15.75" hidden="false" customHeight="true" outlineLevel="0" collapsed="false">
      <c r="A32" s="22" t="str">
        <f aca="false">IF(Listas!A7="","",Listas!A7)</f>
        <v>Alexandre</v>
      </c>
      <c r="B32" s="45" t="n">
        <f aca="false">IF($A32="","",COUNTIFS(Programação!$G$5:$G$1004,"*"&amp;$A32&amp;"*",Programação!$J$5:$J$1004,"&gt;="&amp;$B$3,Programação!$J$5:$J$1004,"&lt;="&amp;$B$4,Programação!$L$5:$L$1004,"&lt;&gt;Cancelada"))</f>
        <v>36</v>
      </c>
      <c r="C32" s="45" t="n">
        <f aca="false">IF($A32="","",SUMIFS(Programação!$W$5:$W$1004,Programação!$G$5:$G$1004,"*"&amp;$A32&amp;"*",Programação!$J$5:$J$1004,"&gt;="&amp;$B$3,Programação!$J$5:$J$1004,"&lt;="&amp;$B$4))</f>
        <v>36</v>
      </c>
      <c r="D32" s="46" t="n">
        <f aca="false">IF(OR($A32="",$B32=0),"",$C32/$B32)</f>
        <v>1</v>
      </c>
      <c r="E32" s="45" t="n">
        <f aca="true">IF($A32="","",COUNTIFS(Programação!$G$5:$G$1004,"*"&amp;$A32&amp;"*",Programação!$J$5:$J$1004,"&gt;="&amp;$B$3,Programação!$J$5:$J$1004,"&lt;="&amp;$B$4,Programação!$J$5:$J$1004,"&lt;"&amp;TODAY(),Programação!$W$5:$W$1004,0,Programação!$L$5:$L$1004,"&lt;&gt;Cancelada"))</f>
        <v>0</v>
      </c>
      <c r="G32" s="22" t="str">
        <f aca="false">IF(Listas!B7="","",Listas!B7)</f>
        <v>F-1060</v>
      </c>
      <c r="H32" s="45" t="n">
        <f aca="false">IF($G32="","",COUNTIFS(Programação!$C$5:$C$1004,$G32,Programação!$J$5:$J$1004,"&gt;="&amp;$B$3,Programação!$J$5:$J$1004,"&lt;="&amp;$B$4,Programação!$L$5:$L$1004,"&lt;&gt;Cancelada"))</f>
        <v>0</v>
      </c>
      <c r="I32" s="45" t="n">
        <f aca="false">IF($G32="","",SUMIFS(Programação!$W$5:$W$1004,Programação!$C$5:$C$1004,$G32,Programação!$J$5:$J$1004,"&gt;="&amp;$B$3,Programação!$J$5:$J$1004,"&lt;="&amp;$B$4))</f>
        <v>0</v>
      </c>
      <c r="J32" s="46" t="str">
        <f aca="false">IF(OR($G32="",$H32=0),"",$I32/$H32)</f>
        <v/>
      </c>
      <c r="K32" s="45" t="n">
        <f aca="true">IF($G32="","",COUNTIFS(Programação!$C$5:$C$1004,$G32,Programação!$J$5:$J$1004,"&gt;="&amp;$B$3,Programação!$J$5:$J$1004,"&lt;="&amp;$B$4,Programação!$J$5:$J$1004,"&lt;"&amp;TODAY(),Programação!$W$5:$W$1004,0,Programação!$L$5:$L$1004,"&lt;&gt;Cancelada"))</f>
        <v>0</v>
      </c>
    </row>
    <row r="33" customFormat="false" ht="15.75" hidden="false" customHeight="true" outlineLevel="0" collapsed="false">
      <c r="A33" s="22" t="str">
        <f aca="false">IF(Listas!A8="","",Listas!A8)</f>
        <v>Gabriel</v>
      </c>
      <c r="B33" s="45" t="n">
        <f aca="false">IF($A33="","",COUNTIFS(Programação!$G$5:$G$1004,"*"&amp;$A33&amp;"*",Programação!$J$5:$J$1004,"&gt;="&amp;$B$3,Programação!$J$5:$J$1004,"&lt;="&amp;$B$4,Programação!$L$5:$L$1004,"&lt;&gt;Cancelada"))</f>
        <v>36</v>
      </c>
      <c r="C33" s="45" t="n">
        <f aca="false">IF($A33="","",SUMIFS(Programação!$W$5:$W$1004,Programação!$G$5:$G$1004,"*"&amp;$A33&amp;"*",Programação!$J$5:$J$1004,"&gt;="&amp;$B$3,Programação!$J$5:$J$1004,"&lt;="&amp;$B$4))</f>
        <v>20</v>
      </c>
      <c r="D33" s="46" t="n">
        <f aca="false">IF(OR($A33="",$B33=0),"",$C33/$B33)</f>
        <v>0.555555555555556</v>
      </c>
      <c r="E33" s="45" t="n">
        <f aca="true">IF($A33="","",COUNTIFS(Programação!$G$5:$G$1004,"*"&amp;$A33&amp;"*",Programação!$J$5:$J$1004,"&gt;="&amp;$B$3,Programação!$J$5:$J$1004,"&lt;="&amp;$B$4,Programação!$J$5:$J$1004,"&lt;"&amp;TODAY(),Programação!$W$5:$W$1004,0,Programação!$L$5:$L$1004,"&lt;&gt;Cancelada"))</f>
        <v>0</v>
      </c>
      <c r="G33" s="22" t="str">
        <f aca="false">IF(Listas!B8="","",Listas!B8)</f>
        <v>F-1061</v>
      </c>
      <c r="H33" s="45" t="n">
        <f aca="false">IF($G33="","",COUNTIFS(Programação!$C$5:$C$1004,$G33,Programação!$J$5:$J$1004,"&gt;="&amp;$B$3,Programação!$J$5:$J$1004,"&lt;="&amp;$B$4,Programação!$L$5:$L$1004,"&lt;&gt;Cancelada"))</f>
        <v>0</v>
      </c>
      <c r="I33" s="45" t="n">
        <f aca="false">IF($G33="","",SUMIFS(Programação!$W$5:$W$1004,Programação!$C$5:$C$1004,$G33,Programação!$J$5:$J$1004,"&gt;="&amp;$B$3,Programação!$J$5:$J$1004,"&lt;="&amp;$B$4))</f>
        <v>0</v>
      </c>
      <c r="J33" s="46" t="str">
        <f aca="false">IF(OR($G33="",$H33=0),"",$I33/$H33)</f>
        <v/>
      </c>
      <c r="K33" s="45" t="n">
        <f aca="true">IF($G33="","",COUNTIFS(Programação!$C$5:$C$1004,$G33,Programação!$J$5:$J$1004,"&gt;="&amp;$B$3,Programação!$J$5:$J$1004,"&lt;="&amp;$B$4,Programação!$J$5:$J$1004,"&lt;"&amp;TODAY(),Programação!$W$5:$W$1004,0,Programação!$L$5:$L$1004,"&lt;&gt;Cancelada"))</f>
        <v>0</v>
      </c>
    </row>
    <row r="34" customFormat="false" ht="15.75" hidden="false" customHeight="true" outlineLevel="0" collapsed="false">
      <c r="A34" s="22" t="str">
        <f aca="false">IF(Listas!A9="","",Listas!A9)</f>
        <v>Heliton</v>
      </c>
      <c r="B34" s="45" t="n">
        <f aca="false">IF($A34="","",COUNTIFS(Programação!$G$5:$G$1004,"*"&amp;$A34&amp;"*",Programação!$J$5:$J$1004,"&gt;="&amp;$B$3,Programação!$J$5:$J$1004,"&lt;="&amp;$B$4,Programação!$L$5:$L$1004,"&lt;&gt;Cancelada"))</f>
        <v>42</v>
      </c>
      <c r="C34" s="45" t="n">
        <f aca="false">IF($A34="","",SUMIFS(Programação!$W$5:$W$1004,Programação!$G$5:$G$1004,"*"&amp;$A34&amp;"*",Programação!$J$5:$J$1004,"&gt;="&amp;$B$3,Programação!$J$5:$J$1004,"&lt;="&amp;$B$4))</f>
        <v>8</v>
      </c>
      <c r="D34" s="46" t="n">
        <f aca="false">IF(OR($A34="",$B34=0),"",$C34/$B34)</f>
        <v>0.19047619047619</v>
      </c>
      <c r="E34" s="45" t="n">
        <f aca="true">IF($A34="","",COUNTIFS(Programação!$G$5:$G$1004,"*"&amp;$A34&amp;"*",Programação!$J$5:$J$1004,"&gt;="&amp;$B$3,Programação!$J$5:$J$1004,"&lt;="&amp;$B$4,Programação!$J$5:$J$1004,"&lt;"&amp;TODAY(),Programação!$W$5:$W$1004,0,Programação!$L$5:$L$1004,"&lt;&gt;Cancelada"))</f>
        <v>0</v>
      </c>
      <c r="G34" s="22" t="str">
        <f aca="false">IF(Listas!B9="","",Listas!B9)</f>
        <v>F-1064</v>
      </c>
      <c r="H34" s="45" t="n">
        <f aca="false">IF($G34="","",COUNTIFS(Programação!$C$5:$C$1004,$G34,Programação!$J$5:$J$1004,"&gt;="&amp;$B$3,Programação!$J$5:$J$1004,"&lt;="&amp;$B$4,Programação!$L$5:$L$1004,"&lt;&gt;Cancelada"))</f>
        <v>1</v>
      </c>
      <c r="I34" s="45" t="n">
        <f aca="false">IF($G34="","",SUMIFS(Programação!$W$5:$W$1004,Programação!$C$5:$C$1004,$G34,Programação!$J$5:$J$1004,"&gt;="&amp;$B$3,Programação!$J$5:$J$1004,"&lt;="&amp;$B$4))</f>
        <v>0</v>
      </c>
      <c r="J34" s="46" t="n">
        <f aca="false">IF(OR($G34="",$H34=0),"",$I34/$H34)</f>
        <v>0</v>
      </c>
      <c r="K34" s="45" t="n">
        <f aca="true">IF($G34="","",COUNTIFS(Programação!$C$5:$C$1004,$G34,Programação!$J$5:$J$1004,"&gt;="&amp;$B$3,Programação!$J$5:$J$1004,"&lt;="&amp;$B$4,Programação!$J$5:$J$1004,"&lt;"&amp;TODAY(),Programação!$W$5:$W$1004,0,Programação!$L$5:$L$1004,"&lt;&gt;Cancelada"))</f>
        <v>0</v>
      </c>
    </row>
    <row r="35" customFormat="false" ht="15.75" hidden="false" customHeight="true" outlineLevel="0" collapsed="false">
      <c r="A35" s="22" t="str">
        <f aca="false">IF(Listas!A10="","",Listas!A10)</f>
        <v>Júnior</v>
      </c>
      <c r="B35" s="45" t="n">
        <f aca="false">IF($A35="","",COUNTIFS(Programação!$G$5:$G$1004,"*"&amp;$A35&amp;"*",Programação!$J$5:$J$1004,"&gt;="&amp;$B$3,Programação!$J$5:$J$1004,"&lt;="&amp;$B$4,Programação!$L$5:$L$1004,"&lt;&gt;Cancelada"))</f>
        <v>41</v>
      </c>
      <c r="C35" s="45" t="n">
        <f aca="false">IF($A35="","",SUMIFS(Programação!$W$5:$W$1004,Programação!$G$5:$G$1004,"*"&amp;$A35&amp;"*",Programação!$J$5:$J$1004,"&gt;="&amp;$B$3,Programação!$J$5:$J$1004,"&lt;="&amp;$B$4))</f>
        <v>32</v>
      </c>
      <c r="D35" s="46" t="n">
        <f aca="false">IF(OR($A35="",$B35=0),"",$C35/$B35)</f>
        <v>0.780487804878049</v>
      </c>
      <c r="E35" s="45" t="n">
        <f aca="true">IF($A35="","",COUNTIFS(Programação!$G$5:$G$1004,"*"&amp;$A35&amp;"*",Programação!$J$5:$J$1004,"&gt;="&amp;$B$3,Programação!$J$5:$J$1004,"&lt;="&amp;$B$4,Programação!$J$5:$J$1004,"&lt;"&amp;TODAY(),Programação!$W$5:$W$1004,0,Programação!$L$5:$L$1004,"&lt;&gt;Cancelada"))</f>
        <v>0</v>
      </c>
      <c r="G35" s="22" t="str">
        <f aca="false">IF(Listas!B10="","",Listas!B10)</f>
        <v>F-1065</v>
      </c>
      <c r="H35" s="45" t="n">
        <f aca="false">IF($G35="","",COUNTIFS(Programação!$C$5:$C$1004,$G35,Programação!$J$5:$J$1004,"&gt;="&amp;$B$3,Programação!$J$5:$J$1004,"&lt;="&amp;$B$4,Programação!$L$5:$L$1004,"&lt;&gt;Cancelada"))</f>
        <v>1</v>
      </c>
      <c r="I35" s="45" t="n">
        <f aca="false">IF($G35="","",SUMIFS(Programação!$W$5:$W$1004,Programação!$C$5:$C$1004,$G35,Programação!$J$5:$J$1004,"&gt;="&amp;$B$3,Programação!$J$5:$J$1004,"&lt;="&amp;$B$4))</f>
        <v>0</v>
      </c>
      <c r="J35" s="46" t="n">
        <f aca="false">IF(OR($G35="",$H35=0),"",$I35/$H35)</f>
        <v>0</v>
      </c>
      <c r="K35" s="45" t="n">
        <f aca="true">IF($G35="","",COUNTIFS(Programação!$C$5:$C$1004,$G35,Programação!$J$5:$J$1004,"&gt;="&amp;$B$3,Programação!$J$5:$J$1004,"&lt;="&amp;$B$4,Programação!$J$5:$J$1004,"&lt;"&amp;TODAY(),Programação!$W$5:$W$1004,0,Programação!$L$5:$L$1004,"&lt;&gt;Cancelada"))</f>
        <v>0</v>
      </c>
    </row>
    <row r="36" customFormat="false" ht="15.75" hidden="false" customHeight="true" outlineLevel="0" collapsed="false">
      <c r="A36" s="22" t="str">
        <f aca="false">IF(Listas!A11="","",Listas!A11)</f>
        <v>Luiz Paulo</v>
      </c>
      <c r="B36" s="45" t="n">
        <f aca="false">IF($A36="","",COUNTIFS(Programação!$G$5:$G$1004,"*"&amp;$A36&amp;"*",Programação!$J$5:$J$1004,"&gt;="&amp;$B$3,Programação!$J$5:$J$1004,"&lt;="&amp;$B$4,Programação!$L$5:$L$1004,"&lt;&gt;Cancelada"))</f>
        <v>57</v>
      </c>
      <c r="C36" s="45" t="n">
        <f aca="false">IF($A36="","",SUMIFS(Programação!$W$5:$W$1004,Programação!$G$5:$G$1004,"*"&amp;$A36&amp;"*",Programação!$J$5:$J$1004,"&gt;="&amp;$B$3,Programação!$J$5:$J$1004,"&lt;="&amp;$B$4))</f>
        <v>15</v>
      </c>
      <c r="D36" s="46" t="n">
        <f aca="false">IF(OR($A36="",$B36=0),"",$C36/$B36)</f>
        <v>0.263157894736842</v>
      </c>
      <c r="E36" s="45" t="n">
        <f aca="true">IF($A36="","",COUNTIFS(Programação!$G$5:$G$1004,"*"&amp;$A36&amp;"*",Programação!$J$5:$J$1004,"&gt;="&amp;$B$3,Programação!$J$5:$J$1004,"&lt;="&amp;$B$4,Programação!$J$5:$J$1004,"&lt;"&amp;TODAY(),Programação!$W$5:$W$1004,0,Programação!$L$5:$L$1004,"&lt;&gt;Cancelada"))</f>
        <v>0</v>
      </c>
      <c r="G36" s="22" t="str">
        <f aca="false">IF(Listas!B11="","",Listas!B11)</f>
        <v>F-150</v>
      </c>
      <c r="H36" s="45" t="n">
        <f aca="false">IF($G36="","",COUNTIFS(Programação!$C$5:$C$1004,$G36,Programação!$J$5:$J$1004,"&gt;="&amp;$B$3,Programação!$J$5:$J$1004,"&lt;="&amp;$B$4,Programação!$L$5:$L$1004,"&lt;&gt;Cancelada"))</f>
        <v>2</v>
      </c>
      <c r="I36" s="45" t="n">
        <f aca="false">IF($G36="","",SUMIFS(Programação!$W$5:$W$1004,Programação!$C$5:$C$1004,$G36,Programação!$J$5:$J$1004,"&gt;="&amp;$B$3,Programação!$J$5:$J$1004,"&lt;="&amp;$B$4))</f>
        <v>0</v>
      </c>
      <c r="J36" s="46" t="n">
        <f aca="false">IF(OR($G36="",$H36=0),"",$I36/$H36)</f>
        <v>0</v>
      </c>
      <c r="K36" s="45" t="n">
        <f aca="true">IF($G36="","",COUNTIFS(Programação!$C$5:$C$1004,$G36,Programação!$J$5:$J$1004,"&gt;="&amp;$B$3,Programação!$J$5:$J$1004,"&lt;="&amp;$B$4,Programação!$J$5:$J$1004,"&lt;"&amp;TODAY(),Programação!$W$5:$W$1004,0,Programação!$L$5:$L$1004,"&lt;&gt;Cancelada"))</f>
        <v>0</v>
      </c>
    </row>
    <row r="37" customFormat="false" ht="15.75" hidden="false" customHeight="true" outlineLevel="0" collapsed="false">
      <c r="A37" s="22" t="str">
        <f aca="false">IF(Listas!A12="","",Listas!A12)</f>
        <v>Thawan</v>
      </c>
      <c r="B37" s="45" t="n">
        <f aca="false">IF($A37="","",COUNTIFS(Programação!$G$5:$G$1004,"*"&amp;$A37&amp;"*",Programação!$J$5:$J$1004,"&gt;="&amp;$B$3,Programação!$J$5:$J$1004,"&lt;="&amp;$B$4,Programação!$L$5:$L$1004,"&lt;&gt;Cancelada"))</f>
        <v>6</v>
      </c>
      <c r="C37" s="45" t="n">
        <f aca="false">IF($A37="","",SUMIFS(Programação!$W$5:$W$1004,Programação!$G$5:$G$1004,"*"&amp;$A37&amp;"*",Programação!$J$5:$J$1004,"&gt;="&amp;$B$3,Programação!$J$5:$J$1004,"&lt;="&amp;$B$4))</f>
        <v>6</v>
      </c>
      <c r="D37" s="46" t="n">
        <f aca="false">IF(OR($A37="",$B37=0),"",$C37/$B37)</f>
        <v>1</v>
      </c>
      <c r="E37" s="45" t="n">
        <f aca="true">IF($A37="","",COUNTIFS(Programação!$G$5:$G$1004,"*"&amp;$A37&amp;"*",Programação!$J$5:$J$1004,"&gt;="&amp;$B$3,Programação!$J$5:$J$1004,"&lt;="&amp;$B$4,Programação!$J$5:$J$1004,"&lt;"&amp;TODAY(),Programação!$W$5:$W$1004,0,Programação!$L$5:$L$1004,"&lt;&gt;Cancelada"))</f>
        <v>0</v>
      </c>
      <c r="G37" s="22" t="str">
        <f aca="false">IF(Listas!B12="","",Listas!B12)</f>
        <v>F-246</v>
      </c>
      <c r="H37" s="45" t="n">
        <f aca="false">IF($G37="","",COUNTIFS(Programação!$C$5:$C$1004,$G37,Programação!$J$5:$J$1004,"&gt;="&amp;$B$3,Programação!$J$5:$J$1004,"&lt;="&amp;$B$4,Programação!$L$5:$L$1004,"&lt;&gt;Cancelada"))</f>
        <v>2</v>
      </c>
      <c r="I37" s="45" t="n">
        <f aca="false">IF($G37="","",SUMIFS(Programação!$W$5:$W$1004,Programação!$C$5:$C$1004,$G37,Programação!$J$5:$J$1004,"&gt;="&amp;$B$3,Programação!$J$5:$J$1004,"&lt;="&amp;$B$4))</f>
        <v>0</v>
      </c>
      <c r="J37" s="46" t="n">
        <f aca="false">IF(OR($G37="",$H37=0),"",$I37/$H37)</f>
        <v>0</v>
      </c>
      <c r="K37" s="45" t="n">
        <f aca="true">IF($G37="","",COUNTIFS(Programação!$C$5:$C$1004,$G37,Programação!$J$5:$J$1004,"&gt;="&amp;$B$3,Programação!$J$5:$J$1004,"&lt;="&amp;$B$4,Programação!$J$5:$J$1004,"&lt;"&amp;TODAY(),Programação!$W$5:$W$1004,0,Programação!$L$5:$L$1004,"&lt;&gt;Cancelada"))</f>
        <v>0</v>
      </c>
    </row>
    <row r="38" customFormat="false" ht="15.75" hidden="false" customHeight="true" outlineLevel="0" collapsed="false">
      <c r="A38" s="22" t="str">
        <f aca="false">IF(Listas!A13="","",Listas!A13)</f>
        <v>ASX (externo)</v>
      </c>
      <c r="B38" s="45" t="n">
        <f aca="false">IF($A38="","",COUNTIFS(Programação!$G$5:$G$1004,"*"&amp;$A38&amp;"*",Programação!$J$5:$J$1004,"&gt;="&amp;$B$3,Programação!$J$5:$J$1004,"&lt;="&amp;$B$4,Programação!$L$5:$L$1004,"&lt;&gt;Cancelada"))</f>
        <v>34</v>
      </c>
      <c r="C38" s="45" t="n">
        <f aca="false">IF($A38="","",SUMIFS(Programação!$W$5:$W$1004,Programação!$G$5:$G$1004,"*"&amp;$A38&amp;"*",Programação!$J$5:$J$1004,"&gt;="&amp;$B$3,Programação!$J$5:$J$1004,"&lt;="&amp;$B$4))</f>
        <v>0</v>
      </c>
      <c r="D38" s="46" t="n">
        <f aca="false">IF(OR($A38="",$B38=0),"",$C38/$B38)</f>
        <v>0</v>
      </c>
      <c r="E38" s="45" t="n">
        <f aca="true">IF($A38="","",COUNTIFS(Programação!$G$5:$G$1004,"*"&amp;$A38&amp;"*",Programação!$J$5:$J$1004,"&gt;="&amp;$B$3,Programação!$J$5:$J$1004,"&lt;="&amp;$B$4,Programação!$J$5:$J$1004,"&lt;"&amp;TODAY(),Programação!$W$5:$W$1004,0,Programação!$L$5:$L$1004,"&lt;&gt;Cancelada"))</f>
        <v>0</v>
      </c>
      <c r="G38" s="22" t="str">
        <f aca="false">IF(Listas!B13="","",Listas!B13)</f>
        <v>F-326</v>
      </c>
      <c r="H38" s="45" t="n">
        <f aca="false">IF($G38="","",COUNTIFS(Programação!$C$5:$C$1004,$G38,Programação!$J$5:$J$1004,"&gt;="&amp;$B$3,Programação!$J$5:$J$1004,"&lt;="&amp;$B$4,Programação!$L$5:$L$1004,"&lt;&gt;Cancelada"))</f>
        <v>5</v>
      </c>
      <c r="I38" s="45" t="n">
        <f aca="false">IF($G38="","",SUMIFS(Programação!$W$5:$W$1004,Programação!$C$5:$C$1004,$G38,Programação!$J$5:$J$1004,"&gt;="&amp;$B$3,Programação!$J$5:$J$1004,"&lt;="&amp;$B$4))</f>
        <v>5</v>
      </c>
      <c r="J38" s="46" t="n">
        <f aca="false">IF(OR($G38="",$H38=0),"",$I38/$H38)</f>
        <v>1</v>
      </c>
      <c r="K38" s="45" t="n">
        <f aca="true">IF($G38="","",COUNTIFS(Programação!$C$5:$C$1004,$G38,Programação!$J$5:$J$1004,"&gt;="&amp;$B$3,Programação!$J$5:$J$1004,"&lt;="&amp;$B$4,Programação!$J$5:$J$1004,"&lt;"&amp;TODAY(),Programação!$W$5:$W$1004,0,Programação!$L$5:$L$1004,"&lt;&gt;Cancelada"))</f>
        <v>0</v>
      </c>
    </row>
    <row r="39" customFormat="false" ht="15.75" hidden="false" customHeight="true" outlineLevel="0" collapsed="false">
      <c r="A39" s="22" t="str">
        <f aca="false">IF(Listas!A14="","",Listas!A14)</f>
        <v>Eduardo da sticker (externo)</v>
      </c>
      <c r="B39" s="45" t="n">
        <f aca="false">IF($A39="","",COUNTIFS(Programação!$G$5:$G$1004,"*"&amp;$A39&amp;"*",Programação!$J$5:$J$1004,"&gt;="&amp;$B$3,Programação!$J$5:$J$1004,"&lt;="&amp;$B$4,Programação!$L$5:$L$1004,"&lt;&gt;Cancelada"))</f>
        <v>10</v>
      </c>
      <c r="C39" s="45" t="n">
        <f aca="false">IF($A39="","",SUMIFS(Programação!$W$5:$W$1004,Programação!$G$5:$G$1004,"*"&amp;$A39&amp;"*",Programação!$J$5:$J$1004,"&gt;="&amp;$B$3,Programação!$J$5:$J$1004,"&lt;="&amp;$B$4))</f>
        <v>10</v>
      </c>
      <c r="D39" s="46" t="n">
        <f aca="false">IF(OR($A39="",$B39=0),"",$C39/$B39)</f>
        <v>1</v>
      </c>
      <c r="E39" s="45" t="n">
        <f aca="true">IF($A39="","",COUNTIFS(Programação!$G$5:$G$1004,"*"&amp;$A39&amp;"*",Programação!$J$5:$J$1004,"&gt;="&amp;$B$3,Programação!$J$5:$J$1004,"&lt;="&amp;$B$4,Programação!$J$5:$J$1004,"&lt;"&amp;TODAY(),Programação!$W$5:$W$1004,0,Programação!$L$5:$L$1004,"&lt;&gt;Cancelada"))</f>
        <v>0</v>
      </c>
      <c r="G39" s="22" t="str">
        <f aca="false">IF(Listas!B14="","",Listas!B14)</f>
        <v>F-327</v>
      </c>
      <c r="H39" s="45" t="n">
        <f aca="false">IF($G39="","",COUNTIFS(Programação!$C$5:$C$1004,$G39,Programação!$J$5:$J$1004,"&gt;="&amp;$B$3,Programação!$J$5:$J$1004,"&lt;="&amp;$B$4,Programação!$L$5:$L$1004,"&lt;&gt;Cancelada"))</f>
        <v>13</v>
      </c>
      <c r="I39" s="45" t="n">
        <f aca="false">IF($G39="","",SUMIFS(Programação!$W$5:$W$1004,Programação!$C$5:$C$1004,$G39,Programação!$J$5:$J$1004,"&gt;="&amp;$B$3,Programação!$J$5:$J$1004,"&lt;="&amp;$B$4))</f>
        <v>13</v>
      </c>
      <c r="J39" s="46" t="n">
        <f aca="false">IF(OR($G39="",$H39=0),"",$I39/$H39)</f>
        <v>1</v>
      </c>
      <c r="K39" s="45" t="n">
        <f aca="true">IF($G39="","",COUNTIFS(Programação!$C$5:$C$1004,$G39,Programação!$J$5:$J$1004,"&gt;="&amp;$B$3,Programação!$J$5:$J$1004,"&lt;="&amp;$B$4,Programação!$J$5:$J$1004,"&lt;"&amp;TODAY(),Programação!$W$5:$W$1004,0,Programação!$L$5:$L$1004,"&lt;&gt;Cancelada"))</f>
        <v>0</v>
      </c>
    </row>
    <row r="40" customFormat="false" ht="15.75" hidden="false" customHeight="true" outlineLevel="0" collapsed="false">
      <c r="A40" s="22" t="str">
        <f aca="false">IF(Listas!A15="","",Listas!A15)</f>
        <v>Molas Pinheiro (externo)</v>
      </c>
      <c r="B40" s="45" t="n">
        <f aca="false">IF($A40="","",COUNTIFS(Programação!$G$5:$G$1004,"*"&amp;$A40&amp;"*",Programação!$J$5:$J$1004,"&gt;="&amp;$B$3,Programação!$J$5:$J$1004,"&lt;="&amp;$B$4,Programação!$L$5:$L$1004,"&lt;&gt;Cancelada"))</f>
        <v>2</v>
      </c>
      <c r="C40" s="45" t="n">
        <f aca="false">IF($A40="","",SUMIFS(Programação!$W$5:$W$1004,Programação!$G$5:$G$1004,"*"&amp;$A40&amp;"*",Programação!$J$5:$J$1004,"&gt;="&amp;$B$3,Programação!$J$5:$J$1004,"&lt;="&amp;$B$4))</f>
        <v>0</v>
      </c>
      <c r="D40" s="46" t="n">
        <f aca="false">IF(OR($A40="",$B40=0),"",$C40/$B40)</f>
        <v>0</v>
      </c>
      <c r="E40" s="45" t="n">
        <f aca="true">IF($A40="","",COUNTIFS(Programação!$G$5:$G$1004,"*"&amp;$A40&amp;"*",Programação!$J$5:$J$1004,"&gt;="&amp;$B$3,Programação!$J$5:$J$1004,"&lt;="&amp;$B$4,Programação!$J$5:$J$1004,"&lt;"&amp;TODAY(),Programação!$W$5:$W$1004,0,Programação!$L$5:$L$1004,"&lt;&gt;Cancelada"))</f>
        <v>0</v>
      </c>
      <c r="G40" s="22" t="str">
        <f aca="false">IF(Listas!B15="","",Listas!B15)</f>
        <v>F-328</v>
      </c>
      <c r="H40" s="45" t="n">
        <f aca="false">IF($G40="","",COUNTIFS(Programação!$C$5:$C$1004,$G40,Programação!$J$5:$J$1004,"&gt;="&amp;$B$3,Programação!$J$5:$J$1004,"&lt;="&amp;$B$4,Programação!$L$5:$L$1004,"&lt;&gt;Cancelada"))</f>
        <v>2</v>
      </c>
      <c r="I40" s="45" t="n">
        <f aca="false">IF($G40="","",SUMIFS(Programação!$W$5:$W$1004,Programação!$C$5:$C$1004,$G40,Programação!$J$5:$J$1004,"&gt;="&amp;$B$3,Programação!$J$5:$J$1004,"&lt;="&amp;$B$4))</f>
        <v>2</v>
      </c>
      <c r="J40" s="46" t="n">
        <f aca="false">IF(OR($G40="",$H40=0),"",$I40/$H40)</f>
        <v>1</v>
      </c>
      <c r="K40" s="45" t="n">
        <f aca="true">IF($G40="","",COUNTIFS(Programação!$C$5:$C$1004,$G40,Programação!$J$5:$J$1004,"&gt;="&amp;$B$3,Programação!$J$5:$J$1004,"&lt;="&amp;$B$4,Programação!$J$5:$J$1004,"&lt;"&amp;TODAY(),Programação!$W$5:$W$1004,0,Programação!$L$5:$L$1004,"&lt;&gt;Cancelada"))</f>
        <v>0</v>
      </c>
    </row>
    <row r="41" customFormat="false" ht="15.75" hidden="false" customHeight="true" outlineLevel="0" collapsed="false">
      <c r="A41" s="22" t="str">
        <f aca="false">IF(Listas!A16="","",Listas!A16)</f>
        <v>Rodo Ceará (externo)</v>
      </c>
      <c r="B41" s="45" t="n">
        <f aca="false">IF($A41="","",COUNTIFS(Programação!$G$5:$G$1004,"*"&amp;$A41&amp;"*",Programação!$J$5:$J$1004,"&gt;="&amp;$B$3,Programação!$J$5:$J$1004,"&lt;="&amp;$B$4,Programação!$L$5:$L$1004,"&lt;&gt;Cancelada"))</f>
        <v>1</v>
      </c>
      <c r="C41" s="45" t="n">
        <f aca="false">IF($A41="","",SUMIFS(Programação!$W$5:$W$1004,Programação!$G$5:$G$1004,"*"&amp;$A41&amp;"*",Programação!$J$5:$J$1004,"&gt;="&amp;$B$3,Programação!$J$5:$J$1004,"&lt;="&amp;$B$4))</f>
        <v>0</v>
      </c>
      <c r="D41" s="46" t="n">
        <f aca="false">IF(OR($A41="",$B41=0),"",$C41/$B41)</f>
        <v>0</v>
      </c>
      <c r="E41" s="45" t="n">
        <f aca="true">IF($A41="","",COUNTIFS(Programação!$G$5:$G$1004,"*"&amp;$A41&amp;"*",Programação!$J$5:$J$1004,"&gt;="&amp;$B$3,Programação!$J$5:$J$1004,"&lt;="&amp;$B$4,Programação!$J$5:$J$1004,"&lt;"&amp;TODAY(),Programação!$W$5:$W$1004,0,Programação!$L$5:$L$1004,"&lt;&gt;Cancelada"))</f>
        <v>0</v>
      </c>
      <c r="G41" s="22" t="str">
        <f aca="false">IF(Listas!B16="","",Listas!B16)</f>
        <v>F-331</v>
      </c>
      <c r="H41" s="45" t="n">
        <f aca="false">IF($G41="","",COUNTIFS(Programação!$C$5:$C$1004,$G41,Programação!$J$5:$J$1004,"&gt;="&amp;$B$3,Programação!$J$5:$J$1004,"&lt;="&amp;$B$4,Programação!$L$5:$L$1004,"&lt;&gt;Cancelada"))</f>
        <v>11</v>
      </c>
      <c r="I41" s="45" t="n">
        <f aca="false">IF($G41="","",SUMIFS(Programação!$W$5:$W$1004,Programação!$C$5:$C$1004,$G41,Programação!$J$5:$J$1004,"&gt;="&amp;$B$3,Programação!$J$5:$J$1004,"&lt;="&amp;$B$4))</f>
        <v>0</v>
      </c>
      <c r="J41" s="46" t="n">
        <f aca="false">IF(OR($G41="",$H41=0),"",$I41/$H41)</f>
        <v>0</v>
      </c>
      <c r="K41" s="45" t="n">
        <f aca="true">IF($G41="","",COUNTIFS(Programação!$C$5:$C$1004,$G41,Programação!$J$5:$J$1004,"&gt;="&amp;$B$3,Programação!$J$5:$J$1004,"&lt;="&amp;$B$4,Programação!$J$5:$J$1004,"&lt;"&amp;TODAY(),Programação!$W$5:$W$1004,0,Programação!$L$5:$L$1004,"&lt;&gt;Cancelada"))</f>
        <v>0</v>
      </c>
    </row>
    <row r="42" customFormat="false" ht="15.75" hidden="false" customHeight="true" outlineLevel="0" collapsed="false">
      <c r="A42" s="22" t="str">
        <f aca="false">IF(Listas!A17="","",Listas!A17)</f>
        <v/>
      </c>
      <c r="B42" s="45" t="str">
        <f aca="false">IF($A42="","",COUNTIFS(Programação!$G$5:$G$1004,"*"&amp;$A42&amp;"*",Programação!$J$5:$J$1004,"&gt;="&amp;$B$3,Programação!$J$5:$J$1004,"&lt;="&amp;$B$4,Programação!$L$5:$L$1004,"&lt;&gt;Cancelada"))</f>
        <v/>
      </c>
      <c r="C42" s="45" t="str">
        <f aca="false">IF($A42="","",SUMIFS(Programação!$W$5:$W$1004,Programação!$G$5:$G$1004,"*"&amp;$A42&amp;"*",Programação!$J$5:$J$1004,"&gt;="&amp;$B$3,Programação!$J$5:$J$1004,"&lt;="&amp;$B$4))</f>
        <v/>
      </c>
      <c r="D42" s="46" t="str">
        <f aca="false">IF(OR($A42="",$B42=0),"",$C42/$B42)</f>
        <v/>
      </c>
      <c r="E42" s="45" t="str">
        <f aca="true">IF($A42="","",COUNTIFS(Programação!$G$5:$G$1004,"*"&amp;$A42&amp;"*",Programação!$J$5:$J$1004,"&gt;="&amp;$B$3,Programação!$J$5:$J$1004,"&lt;="&amp;$B$4,Programação!$J$5:$J$1004,"&lt;"&amp;TODAY(),Programação!$W$5:$W$1004,0,Programação!$L$5:$L$1004,"&lt;&gt;Cancelada"))</f>
        <v/>
      </c>
      <c r="G42" s="22" t="str">
        <f aca="false">IF(Listas!B17="","",Listas!B17)</f>
        <v>F-333</v>
      </c>
      <c r="H42" s="45" t="n">
        <f aca="false">IF($G42="","",COUNTIFS(Programação!$C$5:$C$1004,$G42,Programação!$J$5:$J$1004,"&gt;="&amp;$B$3,Programação!$J$5:$J$1004,"&lt;="&amp;$B$4,Programação!$L$5:$L$1004,"&lt;&gt;Cancelada"))</f>
        <v>0</v>
      </c>
      <c r="I42" s="45" t="n">
        <f aca="false">IF($G42="","",SUMIFS(Programação!$W$5:$W$1004,Programação!$C$5:$C$1004,$G42,Programação!$J$5:$J$1004,"&gt;="&amp;$B$3,Programação!$J$5:$J$1004,"&lt;="&amp;$B$4))</f>
        <v>0</v>
      </c>
      <c r="J42" s="46" t="str">
        <f aca="false">IF(OR($G42="",$H42=0),"",$I42/$H42)</f>
        <v/>
      </c>
      <c r="K42" s="45" t="n">
        <f aca="true">IF($G42="","",COUNTIFS(Programação!$C$5:$C$1004,$G42,Programação!$J$5:$J$1004,"&gt;="&amp;$B$3,Programação!$J$5:$J$1004,"&lt;="&amp;$B$4,Programação!$J$5:$J$1004,"&lt;"&amp;TODAY(),Programação!$W$5:$W$1004,0,Programação!$L$5:$L$1004,"&lt;&gt;Cancelada"))</f>
        <v>0</v>
      </c>
    </row>
    <row r="43" customFormat="false" ht="15.75" hidden="false" customHeight="true" outlineLevel="0" collapsed="false">
      <c r="A43" s="22" t="str">
        <f aca="false">IF(Listas!A18="","",Listas!A18)</f>
        <v/>
      </c>
      <c r="B43" s="45" t="str">
        <f aca="false">IF($A43="","",COUNTIFS(Programação!$G$5:$G$1004,"*"&amp;$A43&amp;"*",Programação!$J$5:$J$1004,"&gt;="&amp;$B$3,Programação!$J$5:$J$1004,"&lt;="&amp;$B$4,Programação!$L$5:$L$1004,"&lt;&gt;Cancelada"))</f>
        <v/>
      </c>
      <c r="C43" s="45" t="str">
        <f aca="false">IF($A43="","",SUMIFS(Programação!$W$5:$W$1004,Programação!$G$5:$G$1004,"*"&amp;$A43&amp;"*",Programação!$J$5:$J$1004,"&gt;="&amp;$B$3,Programação!$J$5:$J$1004,"&lt;="&amp;$B$4))</f>
        <v/>
      </c>
      <c r="D43" s="46" t="str">
        <f aca="false">IF(OR($A43="",$B43=0),"",$C43/$B43)</f>
        <v/>
      </c>
      <c r="E43" s="45" t="str">
        <f aca="true">IF($A43="","",COUNTIFS(Programação!$G$5:$G$1004,"*"&amp;$A43&amp;"*",Programação!$J$5:$J$1004,"&gt;="&amp;$B$3,Programação!$J$5:$J$1004,"&lt;="&amp;$B$4,Programação!$J$5:$J$1004,"&lt;"&amp;TODAY(),Programação!$W$5:$W$1004,0,Programação!$L$5:$L$1004,"&lt;&gt;Cancelada"))</f>
        <v/>
      </c>
      <c r="G43" s="22" t="str">
        <f aca="false">IF(Listas!B18="","",Listas!B18)</f>
        <v>F-401</v>
      </c>
      <c r="H43" s="45" t="n">
        <f aca="false">IF($G43="","",COUNTIFS(Programação!$C$5:$C$1004,$G43,Programação!$J$5:$J$1004,"&gt;="&amp;$B$3,Programação!$J$5:$J$1004,"&lt;="&amp;$B$4,Programação!$L$5:$L$1004,"&lt;&gt;Cancelada"))</f>
        <v>0</v>
      </c>
      <c r="I43" s="45" t="n">
        <f aca="false">IF($G43="","",SUMIFS(Programação!$W$5:$W$1004,Programação!$C$5:$C$1004,$G43,Programação!$J$5:$J$1004,"&gt;="&amp;$B$3,Programação!$J$5:$J$1004,"&lt;="&amp;$B$4))</f>
        <v>0</v>
      </c>
      <c r="J43" s="46" t="str">
        <f aca="false">IF(OR($G43="",$H43=0),"",$I43/$H43)</f>
        <v/>
      </c>
      <c r="K43" s="45" t="n">
        <f aca="true">IF($G43="","",COUNTIFS(Programação!$C$5:$C$1004,$G43,Programação!$J$5:$J$1004,"&gt;="&amp;$B$3,Programação!$J$5:$J$1004,"&lt;="&amp;$B$4,Programação!$J$5:$J$1004,"&lt;"&amp;TODAY(),Programação!$W$5:$W$1004,0,Programação!$L$5:$L$1004,"&lt;&gt;Cancelada"))</f>
        <v>0</v>
      </c>
    </row>
    <row r="44" customFormat="false" ht="15.75" hidden="false" customHeight="true" outlineLevel="0" collapsed="false">
      <c r="A44" s="22" t="str">
        <f aca="false">IF(Listas!A19="","",Listas!A19)</f>
        <v/>
      </c>
      <c r="B44" s="45" t="str">
        <f aca="false">IF($A44="","",COUNTIFS(Programação!$G$5:$G$1004,"*"&amp;$A44&amp;"*",Programação!$J$5:$J$1004,"&gt;="&amp;$B$3,Programação!$J$5:$J$1004,"&lt;="&amp;$B$4,Programação!$L$5:$L$1004,"&lt;&gt;Cancelada"))</f>
        <v/>
      </c>
      <c r="C44" s="45" t="str">
        <f aca="false">IF($A44="","",SUMIFS(Programação!$W$5:$W$1004,Programação!$G$5:$G$1004,"*"&amp;$A44&amp;"*",Programação!$J$5:$J$1004,"&gt;="&amp;$B$3,Programação!$J$5:$J$1004,"&lt;="&amp;$B$4))</f>
        <v/>
      </c>
      <c r="D44" s="46" t="str">
        <f aca="false">IF(OR($A44="",$B44=0),"",$C44/$B44)</f>
        <v/>
      </c>
      <c r="E44" s="45" t="str">
        <f aca="true">IF($A44="","",COUNTIFS(Programação!$G$5:$G$1004,"*"&amp;$A44&amp;"*",Programação!$J$5:$J$1004,"&gt;="&amp;$B$3,Programação!$J$5:$J$1004,"&lt;="&amp;$B$4,Programação!$J$5:$J$1004,"&lt;"&amp;TODAY(),Programação!$W$5:$W$1004,0,Programação!$L$5:$L$1004,"&lt;&gt;Cancelada"))</f>
        <v/>
      </c>
      <c r="G44" s="22" t="str">
        <f aca="false">IF(Listas!B19="","",Listas!B19)</f>
        <v>F-402</v>
      </c>
      <c r="H44" s="45" t="n">
        <f aca="false">IF($G44="","",COUNTIFS(Programação!$C$5:$C$1004,$G44,Programação!$J$5:$J$1004,"&gt;="&amp;$B$3,Programação!$J$5:$J$1004,"&lt;="&amp;$B$4,Programação!$L$5:$L$1004,"&lt;&gt;Cancelada"))</f>
        <v>0</v>
      </c>
      <c r="I44" s="45" t="n">
        <f aca="false">IF($G44="","",SUMIFS(Programação!$W$5:$W$1004,Programação!$C$5:$C$1004,$G44,Programação!$J$5:$J$1004,"&gt;="&amp;$B$3,Programação!$J$5:$J$1004,"&lt;="&amp;$B$4))</f>
        <v>0</v>
      </c>
      <c r="J44" s="46" t="str">
        <f aca="false">IF(OR($G44="",$H44=0),"",$I44/$H44)</f>
        <v/>
      </c>
      <c r="K44" s="45" t="n">
        <f aca="true">IF($G44="","",COUNTIFS(Programação!$C$5:$C$1004,$G44,Programação!$J$5:$J$1004,"&gt;="&amp;$B$3,Programação!$J$5:$J$1004,"&lt;="&amp;$B$4,Programação!$J$5:$J$1004,"&lt;"&amp;TODAY(),Programação!$W$5:$W$1004,0,Programação!$L$5:$L$1004,"&lt;&gt;Cancelada"))</f>
        <v>0</v>
      </c>
    </row>
    <row r="45" customFormat="false" ht="15.75" hidden="false" customHeight="true" outlineLevel="0" collapsed="false">
      <c r="A45" s="22" t="str">
        <f aca="false">IF(Listas!A20="","",Listas!A20)</f>
        <v/>
      </c>
      <c r="B45" s="45" t="str">
        <f aca="false">IF($A45="","",COUNTIFS(Programação!$G$5:$G$1004,"*"&amp;$A45&amp;"*",Programação!$J$5:$J$1004,"&gt;="&amp;$B$3,Programação!$J$5:$J$1004,"&lt;="&amp;$B$4,Programação!$L$5:$L$1004,"&lt;&gt;Cancelada"))</f>
        <v/>
      </c>
      <c r="C45" s="45" t="str">
        <f aca="false">IF($A45="","",SUMIFS(Programação!$W$5:$W$1004,Programação!$G$5:$G$1004,"*"&amp;$A45&amp;"*",Programação!$J$5:$J$1004,"&gt;="&amp;$B$3,Programação!$J$5:$J$1004,"&lt;="&amp;$B$4))</f>
        <v/>
      </c>
      <c r="D45" s="46" t="str">
        <f aca="false">IF(OR($A45="",$B45=0),"",$C45/$B45)</f>
        <v/>
      </c>
      <c r="E45" s="45" t="str">
        <f aca="true">IF($A45="","",COUNTIFS(Programação!$G$5:$G$1004,"*"&amp;$A45&amp;"*",Programação!$J$5:$J$1004,"&gt;="&amp;$B$3,Programação!$J$5:$J$1004,"&lt;="&amp;$B$4,Programação!$J$5:$J$1004,"&lt;"&amp;TODAY(),Programação!$W$5:$W$1004,0,Programação!$L$5:$L$1004,"&lt;&gt;Cancelada"))</f>
        <v/>
      </c>
      <c r="G45" s="22" t="str">
        <f aca="false">IF(Listas!B20="","",Listas!B20)</f>
        <v>F-423</v>
      </c>
      <c r="H45" s="45" t="n">
        <f aca="false">IF($G45="","",COUNTIFS(Programação!$C$5:$C$1004,$G45,Programação!$J$5:$J$1004,"&gt;="&amp;$B$3,Programação!$J$5:$J$1004,"&lt;="&amp;$B$4,Programação!$L$5:$L$1004,"&lt;&gt;Cancelada"))</f>
        <v>0</v>
      </c>
      <c r="I45" s="45" t="n">
        <f aca="false">IF($G45="","",SUMIFS(Programação!$W$5:$W$1004,Programação!$C$5:$C$1004,$G45,Programação!$J$5:$J$1004,"&gt;="&amp;$B$3,Programação!$J$5:$J$1004,"&lt;="&amp;$B$4))</f>
        <v>0</v>
      </c>
      <c r="J45" s="46" t="str">
        <f aca="false">IF(OR($G45="",$H45=0),"",$I45/$H45)</f>
        <v/>
      </c>
      <c r="K45" s="45" t="n">
        <f aca="true">IF($G45="","",COUNTIFS(Programação!$C$5:$C$1004,$G45,Programação!$J$5:$J$1004,"&gt;="&amp;$B$3,Programação!$J$5:$J$1004,"&lt;="&amp;$B$4,Programação!$J$5:$J$1004,"&lt;"&amp;TODAY(),Programação!$W$5:$W$1004,0,Programação!$L$5:$L$1004,"&lt;&gt;Cancelada"))</f>
        <v>0</v>
      </c>
    </row>
    <row r="46" customFormat="false" ht="15.75" hidden="false" customHeight="true" outlineLevel="0" collapsed="false">
      <c r="A46" s="22" t="str">
        <f aca="false">IF(Listas!A21="","",Listas!A21)</f>
        <v/>
      </c>
      <c r="B46" s="45" t="str">
        <f aca="false">IF($A46="","",COUNTIFS(Programação!$G$5:$G$1004,"*"&amp;$A46&amp;"*",Programação!$J$5:$J$1004,"&gt;="&amp;$B$3,Programação!$J$5:$J$1004,"&lt;="&amp;$B$4,Programação!$L$5:$L$1004,"&lt;&gt;Cancelada"))</f>
        <v/>
      </c>
      <c r="C46" s="45" t="str">
        <f aca="false">IF($A46="","",SUMIFS(Programação!$W$5:$W$1004,Programação!$G$5:$G$1004,"*"&amp;$A46&amp;"*",Programação!$J$5:$J$1004,"&gt;="&amp;$B$3,Programação!$J$5:$J$1004,"&lt;="&amp;$B$4))</f>
        <v/>
      </c>
      <c r="D46" s="46" t="str">
        <f aca="false">IF(OR($A46="",$B46=0),"",$C46/$B46)</f>
        <v/>
      </c>
      <c r="E46" s="45" t="str">
        <f aca="true">IF($A46="","",COUNTIFS(Programação!$G$5:$G$1004,"*"&amp;$A46&amp;"*",Programação!$J$5:$J$1004,"&gt;="&amp;$B$3,Programação!$J$5:$J$1004,"&lt;="&amp;$B$4,Programação!$J$5:$J$1004,"&lt;"&amp;TODAY(),Programação!$W$5:$W$1004,0,Programação!$L$5:$L$1004,"&lt;&gt;Cancelada"))</f>
        <v/>
      </c>
      <c r="G46" s="22" t="str">
        <f aca="false">IF(Listas!B21="","",Listas!B21)</f>
        <v>F-424</v>
      </c>
      <c r="H46" s="45" t="n">
        <f aca="false">IF($G46="","",COUNTIFS(Programação!$C$5:$C$1004,$G46,Programação!$J$5:$J$1004,"&gt;="&amp;$B$3,Programação!$J$5:$J$1004,"&lt;="&amp;$B$4,Programação!$L$5:$L$1004,"&lt;&gt;Cancelada"))</f>
        <v>0</v>
      </c>
      <c r="I46" s="45" t="n">
        <f aca="false">IF($G46="","",SUMIFS(Programação!$W$5:$W$1004,Programação!$C$5:$C$1004,$G46,Programação!$J$5:$J$1004,"&gt;="&amp;$B$3,Programação!$J$5:$J$1004,"&lt;="&amp;$B$4))</f>
        <v>0</v>
      </c>
      <c r="J46" s="46" t="str">
        <f aca="false">IF(OR($G46="",$H46=0),"",$I46/$H46)</f>
        <v/>
      </c>
      <c r="K46" s="45" t="n">
        <f aca="true">IF($G46="","",COUNTIFS(Programação!$C$5:$C$1004,$G46,Programação!$J$5:$J$1004,"&gt;="&amp;$B$3,Programação!$J$5:$J$1004,"&lt;="&amp;$B$4,Programação!$J$5:$J$1004,"&lt;"&amp;TODAY(),Programação!$W$5:$W$1004,0,Programação!$L$5:$L$1004,"&lt;&gt;Cancelada"))</f>
        <v>0</v>
      </c>
    </row>
    <row r="47" customFormat="false" ht="15.75" hidden="false" customHeight="true" outlineLevel="0" collapsed="false">
      <c r="A47" s="22" t="str">
        <f aca="false">IF(Listas!A22="","",Listas!A22)</f>
        <v/>
      </c>
      <c r="B47" s="45" t="str">
        <f aca="false">IF($A47="","",COUNTIFS(Programação!$G$5:$G$1004,"*"&amp;$A47&amp;"*",Programação!$J$5:$J$1004,"&gt;="&amp;$B$3,Programação!$J$5:$J$1004,"&lt;="&amp;$B$4,Programação!$L$5:$L$1004,"&lt;&gt;Cancelada"))</f>
        <v/>
      </c>
      <c r="C47" s="45" t="str">
        <f aca="false">IF($A47="","",SUMIFS(Programação!$W$5:$W$1004,Programação!$G$5:$G$1004,"*"&amp;$A47&amp;"*",Programação!$J$5:$J$1004,"&gt;="&amp;$B$3,Programação!$J$5:$J$1004,"&lt;="&amp;$B$4))</f>
        <v/>
      </c>
      <c r="D47" s="46" t="str">
        <f aca="false">IF(OR($A47="",$B47=0),"",$C47/$B47)</f>
        <v/>
      </c>
      <c r="E47" s="45" t="str">
        <f aca="true">IF($A47="","",COUNTIFS(Programação!$G$5:$G$1004,"*"&amp;$A47&amp;"*",Programação!$J$5:$J$1004,"&gt;="&amp;$B$3,Programação!$J$5:$J$1004,"&lt;="&amp;$B$4,Programação!$J$5:$J$1004,"&lt;"&amp;TODAY(),Programação!$W$5:$W$1004,0,Programação!$L$5:$L$1004,"&lt;&gt;Cancelada"))</f>
        <v/>
      </c>
      <c r="G47" s="22" t="str">
        <f aca="false">IF(Listas!B22="","",Listas!B22)</f>
        <v>F-426</v>
      </c>
      <c r="H47" s="45" t="n">
        <f aca="false">IF($G47="","",COUNTIFS(Programação!$C$5:$C$1004,$G47,Programação!$J$5:$J$1004,"&gt;="&amp;$B$3,Programação!$J$5:$J$1004,"&lt;="&amp;$B$4,Programação!$L$5:$L$1004,"&lt;&gt;Cancelada"))</f>
        <v>0</v>
      </c>
      <c r="I47" s="45" t="n">
        <f aca="false">IF($G47="","",SUMIFS(Programação!$W$5:$W$1004,Programação!$C$5:$C$1004,$G47,Programação!$J$5:$J$1004,"&gt;="&amp;$B$3,Programação!$J$5:$J$1004,"&lt;="&amp;$B$4))</f>
        <v>0</v>
      </c>
      <c r="J47" s="46" t="str">
        <f aca="false">IF(OR($G47="",$H47=0),"",$I47/$H47)</f>
        <v/>
      </c>
      <c r="K47" s="45" t="n">
        <f aca="true">IF($G47="","",COUNTIFS(Programação!$C$5:$C$1004,$G47,Programação!$J$5:$J$1004,"&gt;="&amp;$B$3,Programação!$J$5:$J$1004,"&lt;="&amp;$B$4,Programação!$J$5:$J$1004,"&lt;"&amp;TODAY(),Programação!$W$5:$W$1004,0,Programação!$L$5:$L$1004,"&lt;&gt;Cancelada"))</f>
        <v>0</v>
      </c>
    </row>
    <row r="48" customFormat="false" ht="15.75" hidden="false" customHeight="true" outlineLevel="0" collapsed="false">
      <c r="A48" s="22" t="str">
        <f aca="false">IF(Listas!A23="","",Listas!A23)</f>
        <v/>
      </c>
      <c r="B48" s="45" t="str">
        <f aca="false">IF($A48="","",COUNTIFS(Programação!$G$5:$G$1004,"*"&amp;$A48&amp;"*",Programação!$J$5:$J$1004,"&gt;="&amp;$B$3,Programação!$J$5:$J$1004,"&lt;="&amp;$B$4,Programação!$L$5:$L$1004,"&lt;&gt;Cancelada"))</f>
        <v/>
      </c>
      <c r="C48" s="45" t="str">
        <f aca="false">IF($A48="","",SUMIFS(Programação!$W$5:$W$1004,Programação!$G$5:$G$1004,"*"&amp;$A48&amp;"*",Programação!$J$5:$J$1004,"&gt;="&amp;$B$3,Programação!$J$5:$J$1004,"&lt;="&amp;$B$4))</f>
        <v/>
      </c>
      <c r="D48" s="46" t="str">
        <f aca="false">IF(OR($A48="",$B48=0),"",$C48/$B48)</f>
        <v/>
      </c>
      <c r="E48" s="45" t="str">
        <f aca="true">IF($A48="","",COUNTIFS(Programação!$G$5:$G$1004,"*"&amp;$A48&amp;"*",Programação!$J$5:$J$1004,"&gt;="&amp;$B$3,Programação!$J$5:$J$1004,"&lt;="&amp;$B$4,Programação!$J$5:$J$1004,"&lt;"&amp;TODAY(),Programação!$W$5:$W$1004,0,Programação!$L$5:$L$1004,"&lt;&gt;Cancelada"))</f>
        <v/>
      </c>
      <c r="G48" s="22" t="str">
        <f aca="false">IF(Listas!B23="","",Listas!B23)</f>
        <v>F-457</v>
      </c>
      <c r="H48" s="45" t="n">
        <f aca="false">IF($G48="","",COUNTIFS(Programação!$C$5:$C$1004,$G48,Programação!$J$5:$J$1004,"&gt;="&amp;$B$3,Programação!$J$5:$J$1004,"&lt;="&amp;$B$4,Programação!$L$5:$L$1004,"&lt;&gt;Cancelada"))</f>
        <v>1</v>
      </c>
      <c r="I48" s="45" t="n">
        <f aca="false">IF($G48="","",SUMIFS(Programação!$W$5:$W$1004,Programação!$C$5:$C$1004,$G48,Programação!$J$5:$J$1004,"&gt;="&amp;$B$3,Programação!$J$5:$J$1004,"&lt;="&amp;$B$4))</f>
        <v>0</v>
      </c>
      <c r="J48" s="46" t="n">
        <f aca="false">IF(OR($G48="",$H48=0),"",$I48/$H48)</f>
        <v>0</v>
      </c>
      <c r="K48" s="45" t="n">
        <f aca="true">IF($G48="","",COUNTIFS(Programação!$C$5:$C$1004,$G48,Programação!$J$5:$J$1004,"&gt;="&amp;$B$3,Programação!$J$5:$J$1004,"&lt;="&amp;$B$4,Programação!$J$5:$J$1004,"&lt;"&amp;TODAY(),Programação!$W$5:$W$1004,0,Programação!$L$5:$L$1004,"&lt;&gt;Cancelada"))</f>
        <v>0</v>
      </c>
    </row>
    <row r="49" customFormat="false" ht="15.75" hidden="false" customHeight="true" outlineLevel="0" collapsed="false">
      <c r="A49" s="22" t="str">
        <f aca="false">IF(Listas!A24="","",Listas!A24)</f>
        <v/>
      </c>
      <c r="B49" s="45" t="str">
        <f aca="false">IF($A49="","",COUNTIFS(Programação!$G$5:$G$1004,"*"&amp;$A49&amp;"*",Programação!$J$5:$J$1004,"&gt;="&amp;$B$3,Programação!$J$5:$J$1004,"&lt;="&amp;$B$4,Programação!$L$5:$L$1004,"&lt;&gt;Cancelada"))</f>
        <v/>
      </c>
      <c r="C49" s="45" t="str">
        <f aca="false">IF($A49="","",SUMIFS(Programação!$W$5:$W$1004,Programação!$G$5:$G$1004,"*"&amp;$A49&amp;"*",Programação!$J$5:$J$1004,"&gt;="&amp;$B$3,Programação!$J$5:$J$1004,"&lt;="&amp;$B$4))</f>
        <v/>
      </c>
      <c r="D49" s="46" t="str">
        <f aca="false">IF(OR($A49="",$B49=0),"",$C49/$B49)</f>
        <v/>
      </c>
      <c r="E49" s="45" t="str">
        <f aca="true">IF($A49="","",COUNTIFS(Programação!$G$5:$G$1004,"*"&amp;$A49&amp;"*",Programação!$J$5:$J$1004,"&gt;="&amp;$B$3,Programação!$J$5:$J$1004,"&lt;="&amp;$B$4,Programação!$J$5:$J$1004,"&lt;"&amp;TODAY(),Programação!$W$5:$W$1004,0,Programação!$L$5:$L$1004,"&lt;&gt;Cancelada"))</f>
        <v/>
      </c>
      <c r="G49" s="22" t="str">
        <f aca="false">IF(Listas!B24="","",Listas!B24)</f>
        <v>F-458</v>
      </c>
      <c r="H49" s="45" t="n">
        <f aca="false">IF($G49="","",COUNTIFS(Programação!$C$5:$C$1004,$G49,Programação!$J$5:$J$1004,"&gt;="&amp;$B$3,Programação!$J$5:$J$1004,"&lt;="&amp;$B$4,Programação!$L$5:$L$1004,"&lt;&gt;Cancelada"))</f>
        <v>1</v>
      </c>
      <c r="I49" s="45" t="n">
        <f aca="false">IF($G49="","",SUMIFS(Programação!$W$5:$W$1004,Programação!$C$5:$C$1004,$G49,Programação!$J$5:$J$1004,"&gt;="&amp;$B$3,Programação!$J$5:$J$1004,"&lt;="&amp;$B$4))</f>
        <v>0</v>
      </c>
      <c r="J49" s="46" t="n">
        <f aca="false">IF(OR($G49="",$H49=0),"",$I49/$H49)</f>
        <v>0</v>
      </c>
      <c r="K49" s="45" t="n">
        <f aca="true">IF($G49="","",COUNTIFS(Programação!$C$5:$C$1004,$G49,Programação!$J$5:$J$1004,"&gt;="&amp;$B$3,Programação!$J$5:$J$1004,"&lt;="&amp;$B$4,Programação!$J$5:$J$1004,"&lt;"&amp;TODAY(),Programação!$W$5:$W$1004,0,Programação!$L$5:$L$1004,"&lt;&gt;Cancelada"))</f>
        <v>0</v>
      </c>
    </row>
    <row r="50" customFormat="false" ht="15.75" hidden="false" customHeight="true" outlineLevel="0" collapsed="false">
      <c r="A50" s="22" t="str">
        <f aca="false">IF(Listas!A25="","",Listas!A25)</f>
        <v/>
      </c>
      <c r="B50" s="45" t="str">
        <f aca="false">IF($A50="","",COUNTIFS(Programação!$G$5:$G$1004,"*"&amp;$A50&amp;"*",Programação!$J$5:$J$1004,"&gt;="&amp;$B$3,Programação!$J$5:$J$1004,"&lt;="&amp;$B$4,Programação!$L$5:$L$1004,"&lt;&gt;Cancelada"))</f>
        <v/>
      </c>
      <c r="C50" s="45" t="str">
        <f aca="false">IF($A50="","",SUMIFS(Programação!$W$5:$W$1004,Programação!$G$5:$G$1004,"*"&amp;$A50&amp;"*",Programação!$J$5:$J$1004,"&gt;="&amp;$B$3,Programação!$J$5:$J$1004,"&lt;="&amp;$B$4))</f>
        <v/>
      </c>
      <c r="D50" s="46" t="str">
        <f aca="false">IF(OR($A50="",$B50=0),"",$C50/$B50)</f>
        <v/>
      </c>
      <c r="E50" s="45" t="str">
        <f aca="true">IF($A50="","",COUNTIFS(Programação!$G$5:$G$1004,"*"&amp;$A50&amp;"*",Programação!$J$5:$J$1004,"&gt;="&amp;$B$3,Programação!$J$5:$J$1004,"&lt;="&amp;$B$4,Programação!$J$5:$J$1004,"&lt;"&amp;TODAY(),Programação!$W$5:$W$1004,0,Programação!$L$5:$L$1004,"&lt;&gt;Cancelada"))</f>
        <v/>
      </c>
      <c r="G50" s="22" t="str">
        <f aca="false">IF(Listas!B25="","",Listas!B25)</f>
        <v>F-485</v>
      </c>
      <c r="H50" s="45" t="n">
        <f aca="false">IF($G50="","",COUNTIFS(Programação!$C$5:$C$1004,$G50,Programação!$J$5:$J$1004,"&gt;="&amp;$B$3,Programação!$J$5:$J$1004,"&lt;="&amp;$B$4,Programação!$L$5:$L$1004,"&lt;&gt;Cancelada"))</f>
        <v>1</v>
      </c>
      <c r="I50" s="45" t="n">
        <f aca="false">IF($G50="","",SUMIFS(Programação!$W$5:$W$1004,Programação!$C$5:$C$1004,$G50,Programação!$J$5:$J$1004,"&gt;="&amp;$B$3,Programação!$J$5:$J$1004,"&lt;="&amp;$B$4))</f>
        <v>0</v>
      </c>
      <c r="J50" s="46" t="n">
        <f aca="false">IF(OR($G50="",$H50=0),"",$I50/$H50)</f>
        <v>0</v>
      </c>
      <c r="K50" s="45" t="n">
        <f aca="true">IF($G50="","",COUNTIFS(Programação!$C$5:$C$1004,$G50,Programação!$J$5:$J$1004,"&gt;="&amp;$B$3,Programação!$J$5:$J$1004,"&lt;="&amp;$B$4,Programação!$J$5:$J$1004,"&lt;"&amp;TODAY(),Programação!$W$5:$W$1004,0,Programação!$L$5:$L$1004,"&lt;&gt;Cancelada"))</f>
        <v>0</v>
      </c>
    </row>
    <row r="51" customFormat="false" ht="15.75" hidden="false" customHeight="true" outlineLevel="0" collapsed="false">
      <c r="A51" s="22" t="str">
        <f aca="false">IF(Listas!A26="","",Listas!A26)</f>
        <v/>
      </c>
      <c r="B51" s="45" t="str">
        <f aca="false">IF($A51="","",COUNTIFS(Programação!$G$5:$G$1004,"*"&amp;$A51&amp;"*",Programação!$J$5:$J$1004,"&gt;="&amp;$B$3,Programação!$J$5:$J$1004,"&lt;="&amp;$B$4,Programação!$L$5:$L$1004,"&lt;&gt;Cancelada"))</f>
        <v/>
      </c>
      <c r="C51" s="45" t="str">
        <f aca="false">IF($A51="","",SUMIFS(Programação!$W$5:$W$1004,Programação!$G$5:$G$1004,"*"&amp;$A51&amp;"*",Programação!$J$5:$J$1004,"&gt;="&amp;$B$3,Programação!$J$5:$J$1004,"&lt;="&amp;$B$4))</f>
        <v/>
      </c>
      <c r="D51" s="46" t="str">
        <f aca="false">IF(OR($A51="",$B51=0),"",$C51/$B51)</f>
        <v/>
      </c>
      <c r="E51" s="45" t="str">
        <f aca="true">IF($A51="","",COUNTIFS(Programação!$G$5:$G$1004,"*"&amp;$A51&amp;"*",Programação!$J$5:$J$1004,"&gt;="&amp;$B$3,Programação!$J$5:$J$1004,"&lt;="&amp;$B$4,Programação!$J$5:$J$1004,"&lt;"&amp;TODAY(),Programação!$W$5:$W$1004,0,Programação!$L$5:$L$1004,"&lt;&gt;Cancelada"))</f>
        <v/>
      </c>
      <c r="G51" s="22" t="str">
        <f aca="false">IF(Listas!B26="","",Listas!B26)</f>
        <v>F-613</v>
      </c>
      <c r="H51" s="45" t="n">
        <f aca="false">IF($G51="","",COUNTIFS(Programação!$C$5:$C$1004,$G51,Programação!$J$5:$J$1004,"&gt;="&amp;$B$3,Programação!$J$5:$J$1004,"&lt;="&amp;$B$4,Programação!$L$5:$L$1004,"&lt;&gt;Cancelada"))</f>
        <v>0</v>
      </c>
      <c r="I51" s="45" t="n">
        <f aca="false">IF($G51="","",SUMIFS(Programação!$W$5:$W$1004,Programação!$C$5:$C$1004,$G51,Programação!$J$5:$J$1004,"&gt;="&amp;$B$3,Programação!$J$5:$J$1004,"&lt;="&amp;$B$4))</f>
        <v>0</v>
      </c>
      <c r="J51" s="46" t="str">
        <f aca="false">IF(OR($G51="",$H51=0),"",$I51/$H51)</f>
        <v/>
      </c>
      <c r="K51" s="45" t="n">
        <f aca="true">IF($G51="","",COUNTIFS(Programação!$C$5:$C$1004,$G51,Programação!$J$5:$J$1004,"&gt;="&amp;$B$3,Programação!$J$5:$J$1004,"&lt;="&amp;$B$4,Programação!$J$5:$J$1004,"&lt;"&amp;TODAY(),Programação!$W$5:$W$1004,0,Programação!$L$5:$L$1004,"&lt;&gt;Cancelada"))</f>
        <v>0</v>
      </c>
    </row>
    <row r="52" customFormat="false" ht="15.75" hidden="false" customHeight="true" outlineLevel="0" collapsed="false">
      <c r="A52" s="22" t="str">
        <f aca="false">IF(Listas!A27="","",Listas!A27)</f>
        <v/>
      </c>
      <c r="B52" s="45" t="str">
        <f aca="false">IF($A52="","",COUNTIFS(Programação!$G$5:$G$1004,"*"&amp;$A52&amp;"*",Programação!$J$5:$J$1004,"&gt;="&amp;$B$3,Programação!$J$5:$J$1004,"&lt;="&amp;$B$4,Programação!$L$5:$L$1004,"&lt;&gt;Cancelada"))</f>
        <v/>
      </c>
      <c r="C52" s="45" t="str">
        <f aca="false">IF($A52="","",SUMIFS(Programação!$W$5:$W$1004,Programação!$G$5:$G$1004,"*"&amp;$A52&amp;"*",Programação!$J$5:$J$1004,"&gt;="&amp;$B$3,Programação!$J$5:$J$1004,"&lt;="&amp;$B$4))</f>
        <v/>
      </c>
      <c r="D52" s="46" t="str">
        <f aca="false">IF(OR($A52="",$B52=0),"",$C52/$B52)</f>
        <v/>
      </c>
      <c r="E52" s="45" t="str">
        <f aca="true">IF($A52="","",COUNTIFS(Programação!$G$5:$G$1004,"*"&amp;$A52&amp;"*",Programação!$J$5:$J$1004,"&gt;="&amp;$B$3,Programação!$J$5:$J$1004,"&lt;="&amp;$B$4,Programação!$J$5:$J$1004,"&lt;"&amp;TODAY(),Programação!$W$5:$W$1004,0,Programação!$L$5:$L$1004,"&lt;&gt;Cancelada"))</f>
        <v/>
      </c>
      <c r="G52" s="22" t="str">
        <f aca="false">IF(Listas!B27="","",Listas!B27)</f>
        <v>F-614</v>
      </c>
      <c r="H52" s="45" t="n">
        <f aca="false">IF($G52="","",COUNTIFS(Programação!$C$5:$C$1004,$G52,Programação!$J$5:$J$1004,"&gt;="&amp;$B$3,Programação!$J$5:$J$1004,"&lt;="&amp;$B$4,Programação!$L$5:$L$1004,"&lt;&gt;Cancelada"))</f>
        <v>1</v>
      </c>
      <c r="I52" s="45" t="n">
        <f aca="false">IF($G52="","",SUMIFS(Programação!$W$5:$W$1004,Programação!$C$5:$C$1004,$G52,Programação!$J$5:$J$1004,"&gt;="&amp;$B$3,Programação!$J$5:$J$1004,"&lt;="&amp;$B$4))</f>
        <v>1</v>
      </c>
      <c r="J52" s="46" t="n">
        <f aca="false">IF(OR($G52="",$H52=0),"",$I52/$H52)</f>
        <v>1</v>
      </c>
      <c r="K52" s="45" t="n">
        <f aca="true">IF($G52="","",COUNTIFS(Programação!$C$5:$C$1004,$G52,Programação!$J$5:$J$1004,"&gt;="&amp;$B$3,Programação!$J$5:$J$1004,"&lt;="&amp;$B$4,Programação!$J$5:$J$1004,"&lt;"&amp;TODAY(),Programação!$W$5:$W$1004,0,Programação!$L$5:$L$1004,"&lt;&gt;Cancelada"))</f>
        <v>0</v>
      </c>
    </row>
    <row r="53" customFormat="false" ht="15.75" hidden="false" customHeight="true" outlineLevel="0" collapsed="false">
      <c r="A53" s="22" t="str">
        <f aca="false">IF(Listas!A28="","",Listas!A28)</f>
        <v/>
      </c>
      <c r="B53" s="45" t="str">
        <f aca="false">IF($A53="","",COUNTIFS(Programação!$G$5:$G$1004,"*"&amp;$A53&amp;"*",Programação!$J$5:$J$1004,"&gt;="&amp;$B$3,Programação!$J$5:$J$1004,"&lt;="&amp;$B$4,Programação!$L$5:$L$1004,"&lt;&gt;Cancelada"))</f>
        <v/>
      </c>
      <c r="C53" s="45" t="str">
        <f aca="false">IF($A53="","",SUMIFS(Programação!$W$5:$W$1004,Programação!$G$5:$G$1004,"*"&amp;$A53&amp;"*",Programação!$J$5:$J$1004,"&gt;="&amp;$B$3,Programação!$J$5:$J$1004,"&lt;="&amp;$B$4))</f>
        <v/>
      </c>
      <c r="D53" s="46" t="str">
        <f aca="false">IF(OR($A53="",$B53=0),"",$C53/$B53)</f>
        <v/>
      </c>
      <c r="E53" s="45" t="str">
        <f aca="true">IF($A53="","",COUNTIFS(Programação!$G$5:$G$1004,"*"&amp;$A53&amp;"*",Programação!$J$5:$J$1004,"&gt;="&amp;$B$3,Programação!$J$5:$J$1004,"&lt;="&amp;$B$4,Programação!$J$5:$J$1004,"&lt;"&amp;TODAY(),Programação!$W$5:$W$1004,0,Programação!$L$5:$L$1004,"&lt;&gt;Cancelada"))</f>
        <v/>
      </c>
      <c r="G53" s="22" t="str">
        <f aca="false">IF(Listas!B28="","",Listas!B28)</f>
        <v>F-617</v>
      </c>
      <c r="H53" s="45" t="n">
        <f aca="false">IF($G53="","",COUNTIFS(Programação!$C$5:$C$1004,$G53,Programação!$J$5:$J$1004,"&gt;="&amp;$B$3,Programação!$J$5:$J$1004,"&lt;="&amp;$B$4,Programação!$L$5:$L$1004,"&lt;&gt;Cancelada"))</f>
        <v>1</v>
      </c>
      <c r="I53" s="45" t="n">
        <f aca="false">IF($G53="","",SUMIFS(Programação!$W$5:$W$1004,Programação!$C$5:$C$1004,$G53,Programação!$J$5:$J$1004,"&gt;="&amp;$B$3,Programação!$J$5:$J$1004,"&lt;="&amp;$B$4))</f>
        <v>0</v>
      </c>
      <c r="J53" s="46" t="n">
        <f aca="false">IF(OR($G53="",$H53=0),"",$I53/$H53)</f>
        <v>0</v>
      </c>
      <c r="K53" s="45" t="n">
        <f aca="true">IF($G53="","",COUNTIFS(Programação!$C$5:$C$1004,$G53,Programação!$J$5:$J$1004,"&gt;="&amp;$B$3,Programação!$J$5:$J$1004,"&lt;="&amp;$B$4,Programação!$J$5:$J$1004,"&lt;"&amp;TODAY(),Programação!$W$5:$W$1004,0,Programação!$L$5:$L$1004,"&lt;&gt;Cancelada"))</f>
        <v>0</v>
      </c>
    </row>
    <row r="55" customFormat="false" ht="15" hidden="false" customHeight="false" outlineLevel="0" collapsed="false">
      <c r="A55" s="3" t="s">
        <v>532</v>
      </c>
      <c r="B55" s="3"/>
      <c r="C55" s="3"/>
      <c r="D55" s="3"/>
      <c r="E55" s="3"/>
    </row>
    <row r="56" customFormat="false" ht="15" hidden="false" customHeight="false" outlineLevel="0" collapsed="false">
      <c r="A56" s="29" t="s">
        <v>530</v>
      </c>
      <c r="B56" s="29" t="s">
        <v>531</v>
      </c>
      <c r="C56" s="29" t="s">
        <v>175</v>
      </c>
      <c r="D56" s="29" t="s">
        <v>38</v>
      </c>
      <c r="E56" s="29" t="s">
        <v>489</v>
      </c>
    </row>
    <row r="57" customFormat="false" ht="15.75" hidden="false" customHeight="true" outlineLevel="0" collapsed="false">
      <c r="A57" s="22" t="str">
        <f aca="false">IF(Listas!C5="","",Listas!C5)</f>
        <v>Corretiva</v>
      </c>
      <c r="B57" s="45" t="n">
        <f aca="false">IF($A57="","",COUNTIFS(Programação!$F$5:$F$1004,$A57,Programação!$J$5:$J$1004,"&gt;="&amp;$B$3,Programação!$J$5:$J$1004,"&lt;="&amp;$B$4,Programação!$L$5:$L$1004,"&lt;&gt;Cancelada"))</f>
        <v>183</v>
      </c>
      <c r="C57" s="45" t="n">
        <f aca="false">IF($A57="","",SUMIFS(Programação!$W$5:$W$1004,Programação!$F$5:$F$1004,$A57,Programação!$J$5:$J$1004,"&gt;="&amp;$B$3,Programação!$J$5:$J$1004,"&lt;="&amp;$B$4))</f>
        <v>98</v>
      </c>
      <c r="D57" s="46" t="n">
        <f aca="false">IF(OR($A57="",$B57=0),"",$C57/$B57)</f>
        <v>0.53551912568306</v>
      </c>
      <c r="E57" s="45" t="n">
        <f aca="true">IF($A57="","",COUNTIFS(Programação!$F$5:$F$1004,$A57,Programação!$J$5:$J$1004,"&gt;="&amp;$B$3,Programação!$J$5:$J$1004,"&lt;="&amp;$B$4,Programação!$J$5:$J$1004,"&lt;"&amp;TODAY(),Programação!$W$5:$W$1004,0,Programação!$L$5:$L$1004,"&lt;&gt;Cancelada"))</f>
        <v>0</v>
      </c>
    </row>
    <row r="58" customFormat="false" ht="15.75" hidden="false" customHeight="true" outlineLevel="0" collapsed="false">
      <c r="A58" s="22" t="str">
        <f aca="false">IF(Listas!C6="","",Listas!C6)</f>
        <v>Preventiva</v>
      </c>
      <c r="B58" s="45" t="n">
        <f aca="false">IF($A58="","",COUNTIFS(Programação!$F$5:$F$1004,$A58,Programação!$J$5:$J$1004,"&gt;="&amp;$B$3,Programação!$J$5:$J$1004,"&lt;="&amp;$B$4,Programação!$L$5:$L$1004,"&lt;&gt;Cancelada"))</f>
        <v>17</v>
      </c>
      <c r="C58" s="45" t="n">
        <f aca="false">IF($A58="","",SUMIFS(Programação!$W$5:$W$1004,Programação!$F$5:$F$1004,$A58,Programação!$J$5:$J$1004,"&gt;="&amp;$B$3,Programação!$J$5:$J$1004,"&lt;="&amp;$B$4))</f>
        <v>1</v>
      </c>
      <c r="D58" s="46" t="n">
        <f aca="false">IF(OR($A58="",$B58=0),"",$C58/$B58)</f>
        <v>0.0588235294117647</v>
      </c>
      <c r="E58" s="45" t="n">
        <f aca="true">IF($A58="","",COUNTIFS(Programação!$F$5:$F$1004,$A58,Programação!$J$5:$J$1004,"&gt;="&amp;$B$3,Programação!$J$5:$J$1004,"&lt;="&amp;$B$4,Programação!$J$5:$J$1004,"&lt;"&amp;TODAY(),Programação!$W$5:$W$1004,0,Programação!$L$5:$L$1004,"&lt;&gt;Cancelada"))</f>
        <v>0</v>
      </c>
    </row>
    <row r="59" customFormat="false" ht="15.75" hidden="false" customHeight="true" outlineLevel="0" collapsed="false">
      <c r="A59" s="22" t="str">
        <f aca="false">IF(Listas!C7="","",Listas!C7)</f>
        <v>Preditiva</v>
      </c>
      <c r="B59" s="45" t="n">
        <f aca="false">IF($A59="","",COUNTIFS(Programação!$F$5:$F$1004,$A59,Programação!$J$5:$J$1004,"&gt;="&amp;$B$3,Programação!$J$5:$J$1004,"&lt;="&amp;$B$4,Programação!$L$5:$L$1004,"&lt;&gt;Cancelada"))</f>
        <v>0</v>
      </c>
      <c r="C59" s="45" t="n">
        <f aca="false">IF($A59="","",SUMIFS(Programação!$W$5:$W$1004,Programação!$F$5:$F$1004,$A59,Programação!$J$5:$J$1004,"&gt;="&amp;$B$3,Programação!$J$5:$J$1004,"&lt;="&amp;$B$4))</f>
        <v>0</v>
      </c>
      <c r="D59" s="46" t="str">
        <f aca="false">IF(OR($A59="",$B59=0),"",$C59/$B59)</f>
        <v/>
      </c>
      <c r="E59" s="45" t="n">
        <f aca="true">IF($A59="","",COUNTIFS(Programação!$F$5:$F$1004,$A59,Programação!$J$5:$J$1004,"&gt;="&amp;$B$3,Programação!$J$5:$J$1004,"&lt;="&amp;$B$4,Programação!$J$5:$J$1004,"&lt;"&amp;TODAY(),Programação!$W$5:$W$1004,0,Programação!$L$5:$L$1004,"&lt;&gt;Cancelada"))</f>
        <v>0</v>
      </c>
    </row>
    <row r="60" customFormat="false" ht="15.75" hidden="false" customHeight="true" outlineLevel="0" collapsed="false">
      <c r="A60" s="22" t="str">
        <f aca="false">IF(Listas!C8="","",Listas!C8)</f>
        <v>Melhoria</v>
      </c>
      <c r="B60" s="45" t="n">
        <f aca="false">IF($A60="","",COUNTIFS(Programação!$F$5:$F$1004,$A60,Programação!$J$5:$J$1004,"&gt;="&amp;$B$3,Programação!$J$5:$J$1004,"&lt;="&amp;$B$4,Programação!$L$5:$L$1004,"&lt;&gt;Cancelada"))</f>
        <v>0</v>
      </c>
      <c r="C60" s="45" t="n">
        <f aca="false">IF($A60="","",SUMIFS(Programação!$W$5:$W$1004,Programação!$F$5:$F$1004,$A60,Programação!$J$5:$J$1004,"&gt;="&amp;$B$3,Programação!$J$5:$J$1004,"&lt;="&amp;$B$4))</f>
        <v>0</v>
      </c>
      <c r="D60" s="46" t="str">
        <f aca="false">IF(OR($A60="",$B60=0),"",$C60/$B60)</f>
        <v/>
      </c>
      <c r="E60" s="45" t="n">
        <f aca="true">IF($A60="","",COUNTIFS(Programação!$F$5:$F$1004,$A60,Programação!$J$5:$J$1004,"&gt;="&amp;$B$3,Programação!$J$5:$J$1004,"&lt;="&amp;$B$4,Programação!$J$5:$J$1004,"&lt;"&amp;TODAY(),Programação!$W$5:$W$1004,0,Programação!$L$5:$L$1004,"&lt;&gt;Cancelada"))</f>
        <v>0</v>
      </c>
    </row>
    <row r="61" customFormat="false" ht="15.75" hidden="false" customHeight="true" outlineLevel="0" collapsed="false">
      <c r="A61" s="22" t="str">
        <f aca="false">IF(Listas!C9="","",Listas!C9)</f>
        <v>Inspeção</v>
      </c>
      <c r="B61" s="45" t="n">
        <f aca="false">IF($A61="","",COUNTIFS(Programação!$F$5:$F$1004,$A61,Programação!$J$5:$J$1004,"&gt;="&amp;$B$3,Programação!$J$5:$J$1004,"&lt;="&amp;$B$4,Programação!$L$5:$L$1004,"&lt;&gt;Cancelada"))</f>
        <v>0</v>
      </c>
      <c r="C61" s="45" t="n">
        <f aca="false">IF($A61="","",SUMIFS(Programação!$W$5:$W$1004,Programação!$F$5:$F$1004,$A61,Programação!$J$5:$J$1004,"&gt;="&amp;$B$3,Programação!$J$5:$J$1004,"&lt;="&amp;$B$4))</f>
        <v>0</v>
      </c>
      <c r="D61" s="46" t="str">
        <f aca="false">IF(OR($A61="",$B61=0),"",$C61/$B61)</f>
        <v/>
      </c>
      <c r="E61" s="45" t="n">
        <f aca="true">IF($A61="","",COUNTIFS(Programação!$F$5:$F$1004,$A61,Programação!$J$5:$J$1004,"&gt;="&amp;$B$3,Programação!$J$5:$J$1004,"&lt;="&amp;$B$4,Programação!$J$5:$J$1004,"&lt;"&amp;TODAY(),Programação!$W$5:$W$1004,0,Programação!$L$5:$L$1004,"&lt;&gt;Cancelada"))</f>
        <v>0</v>
      </c>
    </row>
    <row r="62" customFormat="false" ht="15.75" hidden="false" customHeight="true" outlineLevel="0" collapsed="false">
      <c r="A62" s="22" t="str">
        <f aca="false">IF(Listas!C10="","",Listas!C10)</f>
        <v/>
      </c>
      <c r="B62" s="45" t="str">
        <f aca="false">IF($A62="","",COUNTIFS(Programação!$F$5:$F$1004,$A62,Programação!$J$5:$J$1004,"&gt;="&amp;$B$3,Programação!$J$5:$J$1004,"&lt;="&amp;$B$4,Programação!$L$5:$L$1004,"&lt;&gt;Cancelada"))</f>
        <v/>
      </c>
      <c r="C62" s="45" t="str">
        <f aca="false">IF($A62="","",SUMIFS(Programação!$W$5:$W$1004,Programação!$F$5:$F$1004,$A62,Programação!$J$5:$J$1004,"&gt;="&amp;$B$3,Programação!$J$5:$J$1004,"&lt;="&amp;$B$4))</f>
        <v/>
      </c>
      <c r="D62" s="46" t="str">
        <f aca="false">IF(OR($A62="",$B62=0),"",$C62/$B62)</f>
        <v/>
      </c>
      <c r="E62" s="45" t="str">
        <f aca="true">IF($A62="","",COUNTIFS(Programação!$F$5:$F$1004,$A62,Programação!$J$5:$J$1004,"&gt;="&amp;$B$3,Programação!$J$5:$J$1004,"&lt;="&amp;$B$4,Programação!$J$5:$J$1004,"&lt;"&amp;TODAY(),Programação!$W$5:$W$1004,0,Programação!$L$5:$L$1004,"&lt;&gt;Cancelada"))</f>
        <v/>
      </c>
    </row>
    <row r="63" customFormat="false" ht="15.75" hidden="false" customHeight="true" outlineLevel="0" collapsed="false">
      <c r="A63" s="22" t="str">
        <f aca="false">IF(Listas!C11="","",Listas!C11)</f>
        <v/>
      </c>
      <c r="B63" s="45" t="str">
        <f aca="false">IF($A63="","",COUNTIFS(Programação!$F$5:$F$1004,$A63,Programação!$J$5:$J$1004,"&gt;="&amp;$B$3,Programação!$J$5:$J$1004,"&lt;="&amp;$B$4,Programação!$L$5:$L$1004,"&lt;&gt;Cancelada"))</f>
        <v/>
      </c>
      <c r="C63" s="45" t="str">
        <f aca="false">IF($A63="","",SUMIFS(Programação!$W$5:$W$1004,Programação!$F$5:$F$1004,$A63,Programação!$J$5:$J$1004,"&gt;="&amp;$B$3,Programação!$J$5:$J$1004,"&lt;="&amp;$B$4))</f>
        <v/>
      </c>
      <c r="D63" s="46" t="str">
        <f aca="false">IF(OR($A63="",$B63=0),"",$C63/$B63)</f>
        <v/>
      </c>
      <c r="E63" s="45" t="str">
        <f aca="true">IF($A63="","",COUNTIFS(Programação!$F$5:$F$1004,$A63,Programação!$J$5:$J$1004,"&gt;="&amp;$B$3,Programação!$J$5:$J$1004,"&lt;="&amp;$B$4,Programação!$J$5:$J$1004,"&lt;"&amp;TODAY(),Programação!$W$5:$W$1004,0,Programação!$L$5:$L$1004,"&lt;&gt;Cancelada"))</f>
        <v/>
      </c>
    </row>
    <row r="64" customFormat="false" ht="15.75" hidden="false" customHeight="true" outlineLevel="0" collapsed="false">
      <c r="A64" s="22" t="str">
        <f aca="false">IF(Listas!C12="","",Listas!C12)</f>
        <v/>
      </c>
      <c r="B64" s="45" t="str">
        <f aca="false">IF($A64="","",COUNTIFS(Programação!$F$5:$F$1004,$A64,Programação!$J$5:$J$1004,"&gt;="&amp;$B$3,Programação!$J$5:$J$1004,"&lt;="&amp;$B$4,Programação!$L$5:$L$1004,"&lt;&gt;Cancelada"))</f>
        <v/>
      </c>
      <c r="C64" s="45" t="str">
        <f aca="false">IF($A64="","",SUMIFS(Programação!$W$5:$W$1004,Programação!$F$5:$F$1004,$A64,Programação!$J$5:$J$1004,"&gt;="&amp;$B$3,Programação!$J$5:$J$1004,"&lt;="&amp;$B$4))</f>
        <v/>
      </c>
      <c r="D64" s="46" t="str">
        <f aca="false">IF(OR($A64="",$B64=0),"",$C64/$B64)</f>
        <v/>
      </c>
      <c r="E64" s="45" t="str">
        <f aca="true">IF($A64="","",COUNTIFS(Programação!$F$5:$F$1004,$A64,Programação!$J$5:$J$1004,"&gt;="&amp;$B$3,Programação!$J$5:$J$1004,"&lt;="&amp;$B$4,Programação!$J$5:$J$1004,"&lt;"&amp;TODAY(),Programação!$W$5:$W$1004,0,Programação!$L$5:$L$1004,"&lt;&gt;Cancelada"))</f>
        <v/>
      </c>
    </row>
  </sheetData>
  <mergeCells count="23">
    <mergeCell ref="A1:K1"/>
    <mergeCell ref="C3:H3"/>
    <mergeCell ref="C4:H4"/>
    <mergeCell ref="A6:B9"/>
    <mergeCell ref="C6:K9"/>
    <mergeCell ref="C11:K11"/>
    <mergeCell ref="C12:K12"/>
    <mergeCell ref="C13:K13"/>
    <mergeCell ref="C14:K14"/>
    <mergeCell ref="C15:K15"/>
    <mergeCell ref="C16:K16"/>
    <mergeCell ref="C17:K17"/>
    <mergeCell ref="C18:K18"/>
    <mergeCell ref="C19:K19"/>
    <mergeCell ref="C20:K20"/>
    <mergeCell ref="C21:K21"/>
    <mergeCell ref="C22:K22"/>
    <mergeCell ref="C23:K23"/>
    <mergeCell ref="C24:K24"/>
    <mergeCell ref="C25:K25"/>
    <mergeCell ref="A28:E28"/>
    <mergeCell ref="G28:K28"/>
    <mergeCell ref="A55:E55"/>
  </mergeCells>
  <conditionalFormatting sqref="B20">
    <cfRule type="cellIs" priority="2" operator="greaterThan" aboveAverage="0" equalAverage="0" bottom="0" percent="0" rank="0" text="" dxfId="22">
      <formula>0</formula>
    </cfRule>
  </conditionalFormatting>
  <conditionalFormatting sqref="B14">
    <cfRule type="cellIs" priority="3" operator="greaterThanOrEqual" aboveAverage="0" equalAverage="0" bottom="0" percent="0" rank="0" text="" dxfId="23">
      <formula>0.85</formula>
    </cfRule>
    <cfRule type="cellIs" priority="4" operator="lessThan" aboveAverage="0" equalAverage="0" bottom="0" percent="0" rank="0" text="" dxfId="24">
      <formula>0.6</formula>
    </cfRule>
  </conditionalFormatting>
  <conditionalFormatting sqref="B16">
    <cfRule type="cellIs" priority="5" operator="greaterThanOrEqual" aboveAverage="0" equalAverage="0" bottom="0" percent="0" rank="0" text="" dxfId="23">
      <formula>0.85</formula>
    </cfRule>
    <cfRule type="cellIs" priority="6" operator="lessThan" aboveAverage="0" equalAverage="0" bottom="0" percent="0" rank="0" text="" dxfId="24">
      <formula>0.6</formula>
    </cfRule>
  </conditionalFormatting>
  <conditionalFormatting sqref="B19">
    <cfRule type="cellIs" priority="7" operator="greaterThanOrEqual" aboveAverage="0" equalAverage="0" bottom="0" percent="0" rank="0" text="" dxfId="23">
      <formula>0.85</formula>
    </cfRule>
    <cfRule type="cellIs" priority="8" operator="lessThan" aboveAverage="0" equalAverage="0" bottom="0" percent="0" rank="0" text="" dxfId="24">
      <formula>0.6</formula>
    </cfRule>
  </conditionalFormatting>
  <conditionalFormatting sqref="A6">
    <cfRule type="cellIs" priority="9" operator="greaterThanOrEqual" aboveAverage="0" equalAverage="0" bottom="0" percent="0" rank="0" text="" dxfId="25">
      <formula>0.85</formula>
    </cfRule>
    <cfRule type="cellIs" priority="10" operator="lessThan" aboveAverage="0" equalAverage="0" bottom="0" percent="0" rank="0" text="" dxfId="26">
      <formula>0.6</formula>
    </cfRule>
  </conditionalFormatting>
  <conditionalFormatting sqref="D30:D53">
    <cfRule type="cellIs" priority="11" operator="greaterThanOrEqual" aboveAverage="0" equalAverage="0" bottom="0" percent="0" rank="0" text="" dxfId="17">
      <formula>0.85</formula>
    </cfRule>
    <cfRule type="cellIs" priority="12" operator="lessThan" aboveAverage="0" equalAverage="0" bottom="0" percent="0" rank="0" text="" dxfId="16">
      <formula>0.6</formula>
    </cfRule>
  </conditionalFormatting>
  <conditionalFormatting sqref="E30:E53">
    <cfRule type="cellIs" priority="13" operator="greaterThan" aboveAverage="0" equalAverage="0" bottom="0" percent="0" rank="0" text="" dxfId="21">
      <formula>0</formula>
    </cfRule>
  </conditionalFormatting>
  <conditionalFormatting sqref="J30:J53">
    <cfRule type="cellIs" priority="14" operator="greaterThanOrEqual" aboveAverage="0" equalAverage="0" bottom="0" percent="0" rank="0" text="" dxfId="17">
      <formula>0.85</formula>
    </cfRule>
    <cfRule type="cellIs" priority="15" operator="lessThan" aboveAverage="0" equalAverage="0" bottom="0" percent="0" rank="0" text="" dxfId="16">
      <formula>0.6</formula>
    </cfRule>
  </conditionalFormatting>
  <conditionalFormatting sqref="K30:K53">
    <cfRule type="cellIs" priority="16" operator="greaterThan" aboveAverage="0" equalAverage="0" bottom="0" percent="0" rank="0" text="" dxfId="21">
      <formula>0</formula>
    </cfRule>
  </conditionalFormatting>
  <conditionalFormatting sqref="D57:D64">
    <cfRule type="cellIs" priority="17" operator="greaterThanOrEqual" aboveAverage="0" equalAverage="0" bottom="0" percent="0" rank="0" text="" dxfId="17">
      <formula>0.85</formula>
    </cfRule>
    <cfRule type="cellIs" priority="18" operator="lessThan" aboveAverage="0" equalAverage="0" bottom="0" percent="0" rank="0" text="" dxfId="16">
      <formula>0.6</formula>
    </cfRule>
  </conditionalFormatting>
  <conditionalFormatting sqref="E57:E64">
    <cfRule type="cellIs" priority="19" operator="greaterThan" aboveAverage="0" equalAverage="0" bottom="0" percent="0" rank="0" text="" dxfId="21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2026-08-26T23:11:37Z</dcterms:created>
  <dc:creator>openpyxl</dc:creator>
  <dc:description/>
  <dc:language>en-US</dc:language>
  <cp:lastModifiedBy/>
  <dcterms:modified xsi:type="dcterms:W3CDTF">2026-08-26T23:11:38Z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