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1" name="_xlnm.Print_Area" vbProcedure="false">Listas!$A$1:$F$44</definedName>
    <definedName function="false" hidden="false" localSheetId="2" name="_xlnm.Print_Area" vbProcedure="false">Programação!$A$1:$U$60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Programação!$A$3:$U$1003</definedName>
    <definedName function="false" hidden="false" localSheetId="3" name="_xlnm.Print_Area" vbProcedure="false">Semana!$A$1:$L$30</definedName>
    <definedName function="false" hidden="false" localSheetId="3" name="_xlnm.Print_Titles" vbProcedure="false">Semana!$1:$5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" authorId="0">
      <text>
        <r>
          <rPr>
            <sz val="10"/>
            <rFont val="Arial"/>
            <family val="2"/>
          </rPr>
          <t xml:space="preserve">A ATIVIDADE é a unidade desta planilha.
É o que antes era uma pendência dentro da tarefa: 'trocar as lonas', 'regular a catraca', 'conferir a folga do tambor'.
Uma linha por atividade. Um serviço com três atividades ocupa três linhas, todas com o mesmo número de OS e o mesmo texto na coluna Serviço.
A aderência é medida por aqui: atividades concluídas ÷ atividades programadas.</t>
        </r>
      </text>
    </comment>
    <comment ref="J3" authorId="0">
      <text>
        <r>
          <rPr>
            <sz val="10"/>
            <rFont val="Arial"/>
            <family val="2"/>
          </rPr>
          <t xml:space="preserve">Deixe em branco enquanto a atividade ainda não tem dia: ela fica na carteira e aparece no indicador 'Na carteira'.</t>
        </r>
      </text>
    </comment>
    <comment ref="K3" authorId="0">
      <text>
        <r>
          <rPr>
            <sz val="10"/>
            <rFont val="Arial"/>
            <family val="2"/>
          </rPr>
          <t xml:space="preserve">A data para a qual a atividade foi programada da PRIMEIRA vez.
Deixe em branco quando programar; só preencha ao REPROGRAMAR, guardando aqui a data que estava antes.
É contra ela que sai a 'Aderência ao plano original' — o indicador que não melhora quando se empurra o serviço para a frente.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Digite a segunda-feira da semana que quer ver.
Ela já vem na semana atual. Para voltar à semana atual, apague e digite de novo:  =HOJE()-DIA.DA.SEMANA(HOJE();3)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Período analisado. Vem na semana atual; troque para ver o mês, o trimestre ou qualquer intervalo.</t>
        </r>
      </text>
    </comment>
  </commentList>
</comments>
</file>

<file path=xl/sharedStrings.xml><?xml version="1.0" encoding="utf-8"?>
<sst xmlns="http://schemas.openxmlformats.org/spreadsheetml/2006/main" count="291" uniqueCount="187">
  <si>
    <t xml:space="preserve">PROGRAMAÇÃO DE SERVIÇOS  ·  MAKRO TRANSPORTES</t>
  </si>
  <si>
    <t xml:space="preserve">Planejamento e Controle de Manutenção  ·  aderência medida por atividade</t>
  </si>
  <si>
    <t xml:space="preserve">A ATIVIDADE É A UNIDADE</t>
  </si>
  <si>
    <t xml:space="preserve">Cada linha da aba Programação é uma ATIVIDADE: “trocar as lonas”, “regular a catraca”, “conferir a folga do tambor”. É o que antes era uma pendência dentro da tarefa.</t>
  </si>
  <si>
    <t xml:space="preserve">Um serviço com três atividades ocupa três linhas — mesma OS, mesmo texto na coluna Serviço, uma linha para cada coisa a fazer. É assim que a aderência mede trabalho feito, e não serviço fechado pela metade.</t>
  </si>
  <si>
    <t xml:space="preserve">COMO A ADERÊNCIA É CALCULADA</t>
  </si>
  <si>
    <t xml:space="preserve">Aderência  =  atividades concluídas  ÷  atividades programadas no período</t>
  </si>
  <si>
    <t xml:space="preserve">A atividade entra na conta pelo dia para o qual foi PROGRAMADA. Canceladas ficam de fora dos dois lados da divisão.</t>
  </si>
  <si>
    <t xml:space="preserve">A aba Aderência traz ainda dois recortes que a conta principal não mostra:</t>
  </si>
  <si>
    <t xml:space="preserve">    •  Pontualidade — das que foram concluídas, quantas saíram até o próprio dia programado.</t>
  </si>
  <si>
    <t xml:space="preserve">    •  Aderência ao plano original — mede contra a 1ª data programada. É a única que não melhora quando se empurra o serviço para a frente, e por isso é a que diz se a semana combinada foi cumprida.</t>
  </si>
  <si>
    <t xml:space="preserve">O QUE FAZER EM CADA ABA</t>
  </si>
  <si>
    <t xml:space="preserve">Aba</t>
  </si>
  <si>
    <t xml:space="preserve">Para que serve</t>
  </si>
  <si>
    <t xml:space="preserve">Programação</t>
  </si>
  <si>
    <t xml:space="preserve">Onde se trabalha. Uma linha por atividade. Digite nas colunas de fundo claro; as cinzas se calculam sozinhas.</t>
  </si>
  <si>
    <t xml:space="preserve">Semana</t>
  </si>
  <si>
    <t xml:space="preserve">Quantas atividades cada executante tem em cada dia da semana. Troque a data da segunda-feira para ver outra semana.</t>
  </si>
  <si>
    <t xml:space="preserve">Aderência</t>
  </si>
  <si>
    <t xml:space="preserve">Os indicadores do período, com recortes por executante, por frota e por tipo de serviço. Troque as datas De e Até.</t>
  </si>
  <si>
    <t xml:space="preserve">Listas</t>
  </si>
  <si>
    <t xml:space="preserve">Os nomes que aparecem nas caixas de seleção. Acrescente executantes e frotas aqui.</t>
  </si>
  <si>
    <t xml:space="preserve">AS TRÊS REGRAS DE PREENCHIMENTO</t>
  </si>
  <si>
    <t xml:space="preserve">1.</t>
  </si>
  <si>
    <t xml:space="preserve">Sem dia ainda?  Deixe a coluna Data programada em branco. A atividade fica na carteira e aparece no indicador “Na carteira, sem dia”.</t>
  </si>
  <si>
    <t xml:space="preserve">2.</t>
  </si>
  <si>
    <t xml:space="preserve">Reprogramou?  Guarde a data que estava antes na coluna 1ª data programada e some 1 na coluna Reprog. Sem isso a aderência ao plano original não tem contra o que medir.</t>
  </si>
  <si>
    <t xml:space="preserve">3.</t>
  </si>
  <si>
    <t xml:space="preserve">Concluiu?  Ponha Concluída na Situação E a data na coluna Concluída em. Faltando a data, a planilha não sabe se saiu no prazo.</t>
  </si>
  <si>
    <t xml:space="preserve">CORES</t>
  </si>
  <si>
    <t xml:space="preserve">Amarelo</t>
  </si>
  <si>
    <t xml:space="preserve">célula de controle — a data da semana, o período da análise</t>
  </si>
  <si>
    <t xml:space="preserve">Branco</t>
  </si>
  <si>
    <t xml:space="preserve">você digita</t>
  </si>
  <si>
    <t xml:space="preserve">Cinza</t>
  </si>
  <si>
    <t xml:space="preserve">calculado pela planilha — não digite nada</t>
  </si>
  <si>
    <t xml:space="preserve">Verde</t>
  </si>
  <si>
    <t xml:space="preserve">dentro do combinado</t>
  </si>
  <si>
    <t xml:space="preserve">Vermelho</t>
  </si>
  <si>
    <t xml:space="preserve">fora do combinado: vencida, atrasada, aderência abaixo de 60%</t>
  </si>
  <si>
    <t xml:space="preserve">ATENÇÃO — a aba Programação vem com 14 atividades de exemplo, da semana de 24 a 28 de agosto de 2026, só para você ver os números funcionando. Apague as linhas 4 a 17 antes de usar de verdade.</t>
  </si>
  <si>
    <t xml:space="preserve">A planilha traz 1.000 linhas prontas na aba Programação. As fórmulas das colunas cinzas já estão em todas elas — é só digitar por cima.</t>
  </si>
  <si>
    <t xml:space="preserve">Para imprimir a programação de uma semana: filtre a coluna Semana pela data da segunda-feira e mande imprimir — sai só o que o filtro deixou visível. As abas Semana e Aderência já saem prontas em uma folha cada.</t>
  </si>
  <si>
    <t xml:space="preserve">LISTAS DE APOIO</t>
  </si>
  <si>
    <t xml:space="preserve">Estas listas alimentam as caixas de seleção da aba Programação. Acrescente ou troque nomes aqui e as caixas acompanham. Não deixe linha em branco no meio de uma lista.</t>
  </si>
  <si>
    <t xml:space="preserve">Executantes</t>
  </si>
  <si>
    <t xml:space="preserve">Frotas</t>
  </si>
  <si>
    <t xml:space="preserve">Tipo de serviço</t>
  </si>
  <si>
    <t xml:space="preserve">Situação</t>
  </si>
  <si>
    <t xml:space="preserve">Oficina</t>
  </si>
  <si>
    <t xml:space="preserve">Motivo da reprogramação</t>
  </si>
  <si>
    <t xml:space="preserve">João Batista</t>
  </si>
  <si>
    <t xml:space="preserve">C-100</t>
  </si>
  <si>
    <t xml:space="preserve">Corretiva</t>
  </si>
  <si>
    <t xml:space="preserve">Programada</t>
  </si>
  <si>
    <t xml:space="preserve">Interna</t>
  </si>
  <si>
    <t xml:space="preserve">Peça não chegou</t>
  </si>
  <si>
    <t xml:space="preserve">Marcos Vinícius</t>
  </si>
  <si>
    <t xml:space="preserve">C-101</t>
  </si>
  <si>
    <t xml:space="preserve">Preventiva</t>
  </si>
  <si>
    <t xml:space="preserve">Em execução</t>
  </si>
  <si>
    <t xml:space="preserve">Terceirizada</t>
  </si>
  <si>
    <t xml:space="preserve">Frota em viagem</t>
  </si>
  <si>
    <t xml:space="preserve">Pedro Alves</t>
  </si>
  <si>
    <t xml:space="preserve">C-102</t>
  </si>
  <si>
    <t xml:space="preserve">Preditiva</t>
  </si>
  <si>
    <t xml:space="preserve">Concluída</t>
  </si>
  <si>
    <t xml:space="preserve">Falta de mão de obra</t>
  </si>
  <si>
    <t xml:space="preserve">Carlos Lima</t>
  </si>
  <si>
    <t xml:space="preserve">C-103</t>
  </si>
  <si>
    <t xml:space="preserve">Melhoria</t>
  </si>
  <si>
    <t xml:space="preserve">Cancelada</t>
  </si>
  <si>
    <t xml:space="preserve">Serviço maior que o previsto</t>
  </si>
  <si>
    <t xml:space="preserve">Washington Souza</t>
  </si>
  <si>
    <t xml:space="preserve">C-104</t>
  </si>
  <si>
    <t xml:space="preserve">Inspeção</t>
  </si>
  <si>
    <t xml:space="preserve">Mudou a prioridade</t>
  </si>
  <si>
    <t xml:space="preserve">Anderson Reis</t>
  </si>
  <si>
    <t xml:space="preserve">F-400</t>
  </si>
  <si>
    <t xml:space="preserve">Oficina cheia</t>
  </si>
  <si>
    <t xml:space="preserve">Fábio Nunes</t>
  </si>
  <si>
    <t xml:space="preserve">F-403</t>
  </si>
  <si>
    <t xml:space="preserve">Aguardando terceiro</t>
  </si>
  <si>
    <t xml:space="preserve">Rogério Dias</t>
  </si>
  <si>
    <t xml:space="preserve">F-406</t>
  </si>
  <si>
    <t xml:space="preserve">F-409</t>
  </si>
  <si>
    <t xml:space="preserve">CALC.</t>
  </si>
  <si>
    <t xml:space="preserve">PREENCHER  —  uma linha por atividade</t>
  </si>
  <si>
    <t xml:space="preserve">CALCULADO AUTOMATICAMENTE  —  não digite nada aqui</t>
  </si>
  <si>
    <t xml:space="preserve">Nº</t>
  </si>
  <si>
    <t xml:space="preserve">OS Protheus</t>
  </si>
  <si>
    <t xml:space="preserve">Frota</t>
  </si>
  <si>
    <t xml:space="preserve">Serviço</t>
  </si>
  <si>
    <t xml:space="preserve">Atividade</t>
  </si>
  <si>
    <t xml:space="preserve">Tipo</t>
  </si>
  <si>
    <t xml:space="preserve">Executante</t>
  </si>
  <si>
    <t xml:space="preserve">Fornecedor</t>
  </si>
  <si>
    <t xml:space="preserve">Data programada</t>
  </si>
  <si>
    <t xml:space="preserve">1ª data programada</t>
  </si>
  <si>
    <t xml:space="preserve">Reprog.</t>
  </si>
  <si>
    <t xml:space="preserve">Concluída em</t>
  </si>
  <si>
    <t xml:space="preserve">Plano</t>
  </si>
  <si>
    <t xml:space="preserve">No prazo</t>
  </si>
  <si>
    <t xml:space="preserve">No plano</t>
  </si>
  <si>
    <t xml:space="preserve">Atraso (dias)</t>
  </si>
  <si>
    <t xml:space="preserve">Situação real</t>
  </si>
  <si>
    <t xml:space="preserve">OS1000</t>
  </si>
  <si>
    <t xml:space="preserve">Revisão de freios</t>
  </si>
  <si>
    <t xml:space="preserve">Trocar lonas do eixo traseiro</t>
  </si>
  <si>
    <t xml:space="preserve">Regular a catraca</t>
  </si>
  <si>
    <t xml:space="preserve">Conferir folga do tambor</t>
  </si>
  <si>
    <t xml:space="preserve">OS1001</t>
  </si>
  <si>
    <t xml:space="preserve">Sistema elétrico</t>
  </si>
  <si>
    <t xml:space="preserve">Refazer chicote do farol</t>
  </si>
  <si>
    <t xml:space="preserve">Trocar lâmpadas da traseira</t>
  </si>
  <si>
    <t xml:space="preserve">OS1002</t>
  </si>
  <si>
    <t xml:space="preserve">Suspensão</t>
  </si>
  <si>
    <t xml:space="preserve">Trocar feixe de molas</t>
  </si>
  <si>
    <t xml:space="preserve">Molas Oeste</t>
  </si>
  <si>
    <t xml:space="preserve">Conferir aperto dos grampos</t>
  </si>
  <si>
    <t xml:space="preserve">OS1003</t>
  </si>
  <si>
    <t xml:space="preserve">Inspeção de saída</t>
  </si>
  <si>
    <t xml:space="preserve">Calibrar pneus do eixo tandem</t>
  </si>
  <si>
    <t xml:space="preserve">Conferir nível de óleo</t>
  </si>
  <si>
    <t xml:space="preserve">OS1004</t>
  </si>
  <si>
    <t xml:space="preserve">Troca de óleo</t>
  </si>
  <si>
    <t xml:space="preserve">Drenar cárter e trocar filtro</t>
  </si>
  <si>
    <t xml:space="preserve">Registrar hodômetro</t>
  </si>
  <si>
    <t xml:space="preserve">OS1005</t>
  </si>
  <si>
    <t xml:space="preserve">Ar-condicionado</t>
  </si>
  <si>
    <t xml:space="preserve">Recarregar gás</t>
  </si>
  <si>
    <t xml:space="preserve">Retífica Sul</t>
  </si>
  <si>
    <t xml:space="preserve">OS1006</t>
  </si>
  <si>
    <t xml:space="preserve">Trocar pastilhas dianteiras</t>
  </si>
  <si>
    <t xml:space="preserve">OS1007</t>
  </si>
  <si>
    <t xml:space="preserve">Motor</t>
  </si>
  <si>
    <t xml:space="preserve">Investigar perda de potência</t>
  </si>
  <si>
    <t xml:space="preserve">GRADE DA SEMANA  ·  atividades por executante e por dia</t>
  </si>
  <si>
    <t xml:space="preserve">Semana começando na segunda-feira:</t>
  </si>
  <si>
    <t xml:space="preserve">←  troque esta data para ver outra semana</t>
  </si>
  <si>
    <t xml:space="preserve">Programadas</t>
  </si>
  <si>
    <t xml:space="preserve">Concluídas</t>
  </si>
  <si>
    <t xml:space="preserve">Vencidas</t>
  </si>
  <si>
    <t xml:space="preserve">— sem executante definido —</t>
  </si>
  <si>
    <t xml:space="preserve">TOTAL DA SEMANA</t>
  </si>
  <si>
    <t xml:space="preserve">Na carteira, ainda sem dia definido:</t>
  </si>
  <si>
    <t xml:space="preserve">atividade(s) esperando encaixe — filtre a coluna Situação real por “Na carteira” na aba Programação</t>
  </si>
  <si>
    <t xml:space="preserve">ADERÊNCIA DA PROGRAMAÇÃO  ·  medida por atividade</t>
  </si>
  <si>
    <t xml:space="preserve">De:</t>
  </si>
  <si>
    <t xml:space="preserve">←  troque as duas datas para analisar outro período</t>
  </si>
  <si>
    <t xml:space="preserve">Até:</t>
  </si>
  <si>
    <t xml:space="preserve">As atividades entram pelo dia para o qual foram PROGRAMADAS.</t>
  </si>
  <si>
    <t xml:space="preserve">Indicador</t>
  </si>
  <si>
    <t xml:space="preserve">Valor</t>
  </si>
  <si>
    <t xml:space="preserve">Como é medido</t>
  </si>
  <si>
    <t xml:space="preserve">Atividades programadas</t>
  </si>
  <si>
    <t xml:space="preserve">com data programada dentro do período, exceto as canceladas</t>
  </si>
  <si>
    <t xml:space="preserve">situação Concluída</t>
  </si>
  <si>
    <t xml:space="preserve">Aderência por atividade</t>
  </si>
  <si>
    <t xml:space="preserve">concluídas ÷ programadas — o indicador principal</t>
  </si>
  <si>
    <t xml:space="preserve">Concluídas no prazo</t>
  </si>
  <si>
    <t xml:space="preserve">concluídas até o próprio dia programado</t>
  </si>
  <si>
    <t xml:space="preserve">Pontualidade</t>
  </si>
  <si>
    <t xml:space="preserve">concluídas no prazo ÷ concluídas</t>
  </si>
  <si>
    <t xml:space="preserve">Programadas no plano original</t>
  </si>
  <si>
    <t xml:space="preserve">pela 1ª data programada, e não pela data de hoje</t>
  </si>
  <si>
    <t xml:space="preserve">Concluídas até a 1ª data</t>
  </si>
  <si>
    <t xml:space="preserve">entregues sem precisar empurrar o dia</t>
  </si>
  <si>
    <t xml:space="preserve">Aderência ao plano original</t>
  </si>
  <si>
    <t xml:space="preserve">não melhora quando se reprograma — mostra se a semana combinada foi cumprida</t>
  </si>
  <si>
    <t xml:space="preserve">o dia passou e a atividade não foi concluída nem cancelada</t>
  </si>
  <si>
    <t xml:space="preserve">Canceladas</t>
  </si>
  <si>
    <t xml:space="preserve">fora do cálculo da aderência</t>
  </si>
  <si>
    <t xml:space="preserve">Atividades reprogramadas</t>
  </si>
  <si>
    <t xml:space="preserve">mudaram de dia pelo menos uma vez</t>
  </si>
  <si>
    <t xml:space="preserve">Total de reprogramações</t>
  </si>
  <si>
    <t xml:space="preserve">soma da coluna Reprog.</t>
  </si>
  <si>
    <t xml:space="preserve">Atraso médio, quando atrasa</t>
  </si>
  <si>
    <t xml:space="preserve">dias entre o programado e o concluído, só das que passaram do dia</t>
  </si>
  <si>
    <t xml:space="preserve">Na carteira, sem dia</t>
  </si>
  <si>
    <t xml:space="preserve">não depende do período — é o que ainda espera encaixe</t>
  </si>
  <si>
    <t xml:space="preserve">POR EXECUTANTE</t>
  </si>
  <si>
    <t xml:space="preserve">POR FROTA</t>
  </si>
  <si>
    <t xml:space="preserve">Nome</t>
  </si>
  <si>
    <t xml:space="preserve">Progr.</t>
  </si>
  <si>
    <t xml:space="preserve">Concl.</t>
  </si>
  <si>
    <t xml:space="preserve">POR TIPO DE SERVIÇO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</si>
</sst>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dd/mm/yyyy"/>
    <numFmt numFmtId="167" formatCode="[$-416]ddd\ dd/mm;@"/>
    <numFmt numFmtId="168" formatCode="0%"/>
    <numFmt numFmtId="169" formatCode="0"/>
    <numFmt numFmtId="170" formatCode="0.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E4002A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  <font>
      <b val="true"/>
      <sz val="12"/>
      <color rgb="FFE4002A"/>
      <name val="Arial"/>
      <family val="0"/>
      <charset val="1"/>
    </font>
    <font>
      <b val="true"/>
      <sz val="40"/>
      <color rgb="FF13164E"/>
      <name val="Arial"/>
      <family val="0"/>
      <charset val="1"/>
    </font>
    <font>
      <sz val="12"/>
      <color rgb="FF14181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333333"/>
      </patternFill>
    </fill>
    <fill>
      <patternFill patternType="solid">
        <fgColor rgb="FFEDF1F9"/>
        <bgColor rgb="FFEEF1F7"/>
      </patternFill>
    </fill>
    <fill>
      <patternFill patternType="solid">
        <fgColor rgb="FFFFF3CF"/>
        <bgColor rgb="FFFDF0D8"/>
      </patternFill>
    </fill>
    <fill>
      <patternFill patternType="solid">
        <fgColor rgb="FFFFFFFF"/>
        <bgColor rgb="FFF8FAFD"/>
      </patternFill>
    </fill>
    <fill>
      <patternFill patternType="solid">
        <fgColor rgb="FFEEF1F7"/>
        <bgColor rgb="FFEDF1F9"/>
      </patternFill>
    </fill>
    <fill>
      <patternFill patternType="solid">
        <fgColor rgb="FFE3F5EA"/>
        <bgColor rgb="FFEDF1F9"/>
      </patternFill>
    </fill>
    <fill>
      <patternFill patternType="solid">
        <fgColor rgb="FFFDE4E7"/>
        <bgColor rgb="FFFDF0D8"/>
      </patternFill>
    </fill>
    <fill>
      <patternFill patternType="solid">
        <fgColor rgb="FFD9DEE8"/>
        <bgColor rgb="FFC8D0DE"/>
      </patternFill>
    </fill>
    <fill>
      <patternFill patternType="solid">
        <fgColor rgb="FFF8FAFD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F8FAF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8A5A05"/>
        <sz val="10"/>
      </font>
      <fill>
        <patternFill>
          <bgColor rgb="FFFDF0D8"/>
        </patternFill>
      </fill>
    </dxf>
    <dxf>
      <font>
        <name val="Arial"/>
        <charset val="1"/>
        <family val="0"/>
        <b val="1"/>
        <color rgb="FF1749C4"/>
        <sz val="10"/>
      </font>
      <fill>
        <patternFill>
          <bgColor rgb="FFE7EEFB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116B3E"/>
        <sz val="40"/>
      </font>
    </dxf>
    <dxf>
      <font>
        <name val="Arial"/>
        <charset val="1"/>
        <family val="0"/>
        <b val="1"/>
        <color rgb="FFB00020"/>
        <sz val="40"/>
      </font>
    </dxf>
  </dxfs>
  <colors>
    <indexedColors>
      <rgbColor rgb="FF000000"/>
      <rgbColor rgb="FFFFFFFF"/>
      <rgbColor rgb="FFE4002A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D9DEE8"/>
      <rgbColor rgb="FF808080"/>
      <rgbColor rgb="FF9999FF"/>
      <rgbColor rgb="FF993366"/>
      <rgbColor rgb="FFFFF3CF"/>
      <rgbColor rgb="FFE3F5EA"/>
      <rgbColor rgb="FF660066"/>
      <rgbColor rgb="FFFF8080"/>
      <rgbColor rgb="FF1749C4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EFB"/>
      <rgbColor rgb="FFEDF1F9"/>
      <rgbColor rgb="FFFDF0D8"/>
      <rgbColor rgb="FFEEF1F7"/>
      <rgbColor rgb="FFF8FAFD"/>
      <rgbColor rgb="FFCC99FF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69696"/>
      <rgbColor rgb="FF003366"/>
      <rgbColor rgb="FF339966"/>
      <rgbColor rgb="FF14181F"/>
      <rgbColor rgb="FF333300"/>
      <rgbColor rgb="FF9933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8" min="3" style="0" width="16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0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</row>
    <row r="6" customFormat="false" ht="30" hidden="false" customHeight="true" outlineLevel="0" collapsed="false">
      <c r="A6" s="4" t="s">
        <v>4</v>
      </c>
      <c r="B6" s="4"/>
      <c r="C6" s="4"/>
      <c r="D6" s="4"/>
      <c r="E6" s="4"/>
      <c r="F6" s="4"/>
      <c r="G6" s="4"/>
      <c r="H6" s="4"/>
    </row>
    <row r="8" customFormat="false" ht="24" hidden="false" customHeight="true" outlineLevel="0" collapsed="false">
      <c r="A8" s="3" t="s">
        <v>5</v>
      </c>
      <c r="B8" s="3"/>
      <c r="C8" s="3"/>
      <c r="D8" s="3"/>
      <c r="E8" s="3"/>
      <c r="F8" s="3"/>
      <c r="G8" s="3"/>
      <c r="H8" s="3"/>
    </row>
    <row r="9" customFormat="false" ht="25.5" hidden="false" customHeight="true" outlineLevel="0" collapsed="false">
      <c r="A9" s="5" t="s">
        <v>6</v>
      </c>
      <c r="B9" s="5"/>
      <c r="C9" s="5"/>
      <c r="D9" s="5"/>
      <c r="E9" s="5"/>
      <c r="F9" s="5"/>
      <c r="G9" s="5"/>
      <c r="H9" s="5"/>
    </row>
    <row r="10" customFormat="false" ht="27.75" hidden="false" customHeight="true" outlineLevel="0" collapsed="false">
      <c r="A10" s="4" t="s">
        <v>7</v>
      </c>
      <c r="B10" s="4"/>
      <c r="C10" s="4"/>
      <c r="D10" s="4"/>
      <c r="E10" s="4"/>
      <c r="F10" s="4"/>
      <c r="G10" s="4"/>
      <c r="H10" s="4"/>
    </row>
    <row r="11" customFormat="false" ht="15.75" hidden="false" customHeight="true" outlineLevel="0" collapsed="false">
      <c r="A11" s="4" t="s">
        <v>8</v>
      </c>
      <c r="B11" s="4"/>
      <c r="C11" s="4"/>
      <c r="D11" s="4"/>
      <c r="E11" s="4"/>
      <c r="F11" s="4"/>
      <c r="G11" s="4"/>
      <c r="H11" s="4"/>
    </row>
    <row r="12" customFormat="false" ht="15.75" hidden="false" customHeight="true" outlineLevel="0" collapsed="false">
      <c r="A12" s="4" t="s">
        <v>9</v>
      </c>
      <c r="B12" s="4"/>
      <c r="C12" s="4"/>
      <c r="D12" s="4"/>
      <c r="E12" s="4"/>
      <c r="F12" s="4"/>
      <c r="G12" s="4"/>
      <c r="H12" s="4"/>
    </row>
    <row r="13" customFormat="false" ht="30" hidden="false" customHeight="true" outlineLevel="0" collapsed="false">
      <c r="A13" s="4" t="s">
        <v>10</v>
      </c>
      <c r="B13" s="4"/>
      <c r="C13" s="4"/>
      <c r="D13" s="4"/>
      <c r="E13" s="4"/>
      <c r="F13" s="4"/>
      <c r="G13" s="4"/>
      <c r="H13" s="4"/>
    </row>
    <row r="15" customFormat="false" ht="24" hidden="false" customHeight="true" outlineLevel="0" collapsed="false">
      <c r="A15" s="3" t="s">
        <v>11</v>
      </c>
      <c r="B15" s="3"/>
      <c r="C15" s="3"/>
      <c r="D15" s="3"/>
      <c r="E15" s="3"/>
      <c r="F15" s="3"/>
      <c r="G15" s="3"/>
      <c r="H15" s="3"/>
    </row>
    <row r="16" customFormat="false" ht="15" hidden="false" customHeight="false" outlineLevel="0" collapsed="false">
      <c r="A16" s="6" t="s">
        <v>12</v>
      </c>
      <c r="B16" s="6" t="s">
        <v>13</v>
      </c>
    </row>
    <row r="17" customFormat="false" ht="30" hidden="false" customHeight="true" outlineLevel="0" collapsed="false">
      <c r="A17" s="7" t="s">
        <v>14</v>
      </c>
      <c r="B17" s="8" t="s">
        <v>15</v>
      </c>
      <c r="C17" s="8"/>
      <c r="D17" s="8"/>
      <c r="E17" s="8"/>
      <c r="F17" s="8"/>
      <c r="G17" s="8"/>
      <c r="H17" s="8"/>
    </row>
    <row r="18" customFormat="false" ht="30" hidden="false" customHeight="true" outlineLevel="0" collapsed="false">
      <c r="A18" s="7" t="s">
        <v>16</v>
      </c>
      <c r="B18" s="8" t="s">
        <v>17</v>
      </c>
      <c r="C18" s="8"/>
      <c r="D18" s="8"/>
      <c r="E18" s="8"/>
      <c r="F18" s="8"/>
      <c r="G18" s="8"/>
      <c r="H18" s="8"/>
    </row>
    <row r="19" customFormat="false" ht="30" hidden="false" customHeight="true" outlineLevel="0" collapsed="false">
      <c r="A19" s="7" t="s">
        <v>18</v>
      </c>
      <c r="B19" s="8" t="s">
        <v>19</v>
      </c>
      <c r="C19" s="8"/>
      <c r="D19" s="8"/>
      <c r="E19" s="8"/>
      <c r="F19" s="8"/>
      <c r="G19" s="8"/>
      <c r="H19" s="8"/>
    </row>
    <row r="20" customFormat="false" ht="30" hidden="false" customHeight="true" outlineLevel="0" collapsed="false">
      <c r="A20" s="7" t="s">
        <v>20</v>
      </c>
      <c r="B20" s="8" t="s">
        <v>21</v>
      </c>
      <c r="C20" s="8"/>
      <c r="D20" s="8"/>
      <c r="E20" s="8"/>
      <c r="F20" s="8"/>
      <c r="G20" s="8"/>
      <c r="H20" s="8"/>
    </row>
    <row r="22" customFormat="false" ht="24" hidden="false" customHeight="true" outlineLevel="0" collapsed="false">
      <c r="A22" s="3" t="s">
        <v>22</v>
      </c>
      <c r="B22" s="3"/>
      <c r="C22" s="3"/>
      <c r="D22" s="3"/>
      <c r="E22" s="3"/>
      <c r="F22" s="3"/>
      <c r="G22" s="3"/>
      <c r="H22" s="3"/>
    </row>
    <row r="23" customFormat="false" ht="31.5" hidden="false" customHeight="true" outlineLevel="0" collapsed="false">
      <c r="A23" s="9" t="s">
        <v>23</v>
      </c>
      <c r="B23" s="10" t="s">
        <v>24</v>
      </c>
      <c r="C23" s="10"/>
      <c r="D23" s="10"/>
      <c r="E23" s="10"/>
      <c r="F23" s="10"/>
      <c r="G23" s="10"/>
      <c r="H23" s="10"/>
    </row>
    <row r="24" customFormat="false" ht="31.5" hidden="false" customHeight="true" outlineLevel="0" collapsed="false">
      <c r="A24" s="9" t="s">
        <v>25</v>
      </c>
      <c r="B24" s="10" t="s">
        <v>26</v>
      </c>
      <c r="C24" s="10"/>
      <c r="D24" s="10"/>
      <c r="E24" s="10"/>
      <c r="F24" s="10"/>
      <c r="G24" s="10"/>
      <c r="H24" s="10"/>
    </row>
    <row r="25" customFormat="false" ht="31.5" hidden="false" customHeight="true" outlineLevel="0" collapsed="false">
      <c r="A25" s="9" t="s">
        <v>27</v>
      </c>
      <c r="B25" s="10" t="s">
        <v>28</v>
      </c>
      <c r="C25" s="10"/>
      <c r="D25" s="10"/>
      <c r="E25" s="10"/>
      <c r="F25" s="10"/>
      <c r="G25" s="10"/>
      <c r="H25" s="10"/>
    </row>
    <row r="27" customFormat="false" ht="24" hidden="false" customHeight="true" outlineLevel="0" collapsed="false">
      <c r="A27" s="3" t="s">
        <v>29</v>
      </c>
      <c r="B27" s="3"/>
      <c r="C27" s="3"/>
      <c r="D27" s="3"/>
      <c r="E27" s="3"/>
      <c r="F27" s="3"/>
      <c r="G27" s="3"/>
      <c r="H27" s="3"/>
    </row>
    <row r="28" customFormat="false" ht="18" hidden="false" customHeight="true" outlineLevel="0" collapsed="false">
      <c r="A28" s="11" t="s">
        <v>30</v>
      </c>
      <c r="B28" s="12" t="s">
        <v>31</v>
      </c>
      <c r="C28" s="12"/>
      <c r="D28" s="12"/>
      <c r="E28" s="12"/>
      <c r="F28" s="12"/>
      <c r="G28" s="12"/>
      <c r="H28" s="12"/>
    </row>
    <row r="29" customFormat="false" ht="18" hidden="false" customHeight="true" outlineLevel="0" collapsed="false">
      <c r="A29" s="13" t="s">
        <v>32</v>
      </c>
      <c r="B29" s="12" t="s">
        <v>33</v>
      </c>
      <c r="C29" s="12"/>
      <c r="D29" s="12"/>
      <c r="E29" s="12"/>
      <c r="F29" s="12"/>
      <c r="G29" s="12"/>
      <c r="H29" s="12"/>
    </row>
    <row r="30" customFormat="false" ht="18" hidden="false" customHeight="true" outlineLevel="0" collapsed="false">
      <c r="A30" s="14" t="s">
        <v>34</v>
      </c>
      <c r="B30" s="12" t="s">
        <v>35</v>
      </c>
      <c r="C30" s="12"/>
      <c r="D30" s="12"/>
      <c r="E30" s="12"/>
      <c r="F30" s="12"/>
      <c r="G30" s="12"/>
      <c r="H30" s="12"/>
    </row>
    <row r="31" customFormat="false" ht="18" hidden="false" customHeight="true" outlineLevel="0" collapsed="false">
      <c r="A31" s="15" t="s">
        <v>36</v>
      </c>
      <c r="B31" s="12" t="s">
        <v>37</v>
      </c>
      <c r="C31" s="12"/>
      <c r="D31" s="12"/>
      <c r="E31" s="12"/>
      <c r="F31" s="12"/>
      <c r="G31" s="12"/>
      <c r="H31" s="12"/>
    </row>
    <row r="32" customFormat="false" ht="18" hidden="false" customHeight="true" outlineLevel="0" collapsed="false">
      <c r="A32" s="16" t="s">
        <v>38</v>
      </c>
      <c r="B32" s="12" t="s">
        <v>39</v>
      </c>
      <c r="C32" s="12"/>
      <c r="D32" s="12"/>
      <c r="E32" s="12"/>
      <c r="F32" s="12"/>
      <c r="G32" s="12"/>
      <c r="H32" s="12"/>
    </row>
    <row r="34" customFormat="false" ht="43.5" hidden="false" customHeight="true" outlineLevel="0" collapsed="false">
      <c r="A34" s="17" t="s">
        <v>40</v>
      </c>
      <c r="B34" s="17"/>
      <c r="C34" s="17"/>
      <c r="D34" s="17"/>
      <c r="E34" s="17"/>
      <c r="F34" s="17"/>
      <c r="G34" s="17"/>
      <c r="H34" s="17"/>
    </row>
    <row r="36" customFormat="false" ht="27.75" hidden="false" customHeight="true" outlineLevel="0" collapsed="false">
      <c r="A36" s="18" t="s">
        <v>41</v>
      </c>
      <c r="B36" s="18"/>
      <c r="C36" s="18"/>
      <c r="D36" s="18"/>
      <c r="E36" s="18"/>
      <c r="F36" s="18"/>
      <c r="G36" s="18"/>
      <c r="H36" s="18"/>
    </row>
    <row r="37" customFormat="false" ht="30" hidden="false" customHeight="true" outlineLevel="0" collapsed="false">
      <c r="A37" s="18" t="s">
        <v>42</v>
      </c>
      <c r="B37" s="18"/>
      <c r="C37" s="18"/>
      <c r="D37" s="18"/>
      <c r="E37" s="18"/>
      <c r="F37" s="18"/>
      <c r="G37" s="18"/>
      <c r="H37" s="18"/>
    </row>
  </sheetData>
  <mergeCells count="29">
    <mergeCell ref="A1:H1"/>
    <mergeCell ref="A2:H2"/>
    <mergeCell ref="A4:H4"/>
    <mergeCell ref="A5:H5"/>
    <mergeCell ref="A6:H6"/>
    <mergeCell ref="A8:H8"/>
    <mergeCell ref="A9:H9"/>
    <mergeCell ref="A10:H10"/>
    <mergeCell ref="A11:H11"/>
    <mergeCell ref="A12:H12"/>
    <mergeCell ref="A13:H13"/>
    <mergeCell ref="A15:H15"/>
    <mergeCell ref="B17:H17"/>
    <mergeCell ref="B18:H18"/>
    <mergeCell ref="B19:H19"/>
    <mergeCell ref="B20:H20"/>
    <mergeCell ref="A22:H22"/>
    <mergeCell ref="B23:H23"/>
    <mergeCell ref="B24:H24"/>
    <mergeCell ref="B25:H25"/>
    <mergeCell ref="A27:H27"/>
    <mergeCell ref="B28:H28"/>
    <mergeCell ref="B29:H29"/>
    <mergeCell ref="B30:H30"/>
    <mergeCell ref="B31:H31"/>
    <mergeCell ref="B32:H32"/>
    <mergeCell ref="A34:H34"/>
    <mergeCell ref="A36:H36"/>
    <mergeCell ref="A37:H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28"/>
  </cols>
  <sheetData>
    <row r="1" customFormat="false" ht="24" hidden="false" customHeight="true" outlineLevel="0" collapsed="false">
      <c r="A1" s="19" t="s">
        <v>43</v>
      </c>
      <c r="B1" s="19"/>
      <c r="C1" s="19"/>
      <c r="D1" s="19"/>
      <c r="E1" s="19"/>
      <c r="F1" s="19"/>
    </row>
    <row r="2" customFormat="false" ht="15" hidden="false" customHeight="false" outlineLevel="0" collapsed="false">
      <c r="A2" s="20" t="s">
        <v>44</v>
      </c>
      <c r="B2" s="20"/>
      <c r="C2" s="20"/>
      <c r="D2" s="20"/>
      <c r="E2" s="20"/>
      <c r="F2" s="20"/>
    </row>
    <row r="4" customFormat="false" ht="15" hidden="false" customHeight="false" outlineLevel="0" collapsed="false">
      <c r="A4" s="21" t="s">
        <v>45</v>
      </c>
      <c r="B4" s="21" t="s">
        <v>46</v>
      </c>
      <c r="C4" s="21" t="s">
        <v>47</v>
      </c>
      <c r="D4" s="21" t="s">
        <v>48</v>
      </c>
      <c r="E4" s="21" t="s">
        <v>49</v>
      </c>
      <c r="F4" s="21" t="s">
        <v>50</v>
      </c>
    </row>
    <row r="5" customFormat="false" ht="15" hidden="false" customHeight="false" outlineLevel="0" collapsed="false">
      <c r="A5" s="22" t="s">
        <v>51</v>
      </c>
      <c r="B5" s="22" t="s">
        <v>52</v>
      </c>
      <c r="C5" s="22" t="s">
        <v>53</v>
      </c>
      <c r="D5" s="22" t="s">
        <v>54</v>
      </c>
      <c r="E5" s="22" t="s">
        <v>55</v>
      </c>
      <c r="F5" s="22" t="s">
        <v>56</v>
      </c>
    </row>
    <row r="6" customFormat="false" ht="15" hidden="false" customHeight="false" outlineLevel="0" collapsed="false">
      <c r="A6" s="22" t="s">
        <v>57</v>
      </c>
      <c r="B6" s="22" t="s">
        <v>58</v>
      </c>
      <c r="C6" s="22" t="s">
        <v>59</v>
      </c>
      <c r="D6" s="22" t="s">
        <v>60</v>
      </c>
      <c r="E6" s="22" t="s">
        <v>61</v>
      </c>
      <c r="F6" s="22" t="s">
        <v>62</v>
      </c>
    </row>
    <row r="7" customFormat="false" ht="15" hidden="false" customHeight="false" outlineLevel="0" collapsed="false">
      <c r="A7" s="22" t="s">
        <v>63</v>
      </c>
      <c r="B7" s="22" t="s">
        <v>64</v>
      </c>
      <c r="C7" s="22" t="s">
        <v>65</v>
      </c>
      <c r="D7" s="22" t="s">
        <v>66</v>
      </c>
      <c r="E7" s="22"/>
      <c r="F7" s="22" t="s">
        <v>67</v>
      </c>
    </row>
    <row r="8" customFormat="false" ht="15" hidden="false" customHeight="false" outlineLevel="0" collapsed="false">
      <c r="A8" s="22" t="s">
        <v>68</v>
      </c>
      <c r="B8" s="22" t="s">
        <v>69</v>
      </c>
      <c r="C8" s="22" t="s">
        <v>70</v>
      </c>
      <c r="D8" s="22" t="s">
        <v>71</v>
      </c>
      <c r="E8" s="22"/>
      <c r="F8" s="22" t="s">
        <v>72</v>
      </c>
    </row>
    <row r="9" customFormat="false" ht="15" hidden="false" customHeight="false" outlineLevel="0" collapsed="false">
      <c r="A9" s="22" t="s">
        <v>73</v>
      </c>
      <c r="B9" s="22" t="s">
        <v>74</v>
      </c>
      <c r="C9" s="22" t="s">
        <v>75</v>
      </c>
      <c r="D9" s="22"/>
      <c r="E9" s="22"/>
      <c r="F9" s="22" t="s">
        <v>76</v>
      </c>
    </row>
    <row r="10" customFormat="false" ht="15" hidden="false" customHeight="false" outlineLevel="0" collapsed="false">
      <c r="A10" s="22" t="s">
        <v>77</v>
      </c>
      <c r="B10" s="22" t="s">
        <v>78</v>
      </c>
      <c r="C10" s="22"/>
      <c r="D10" s="22"/>
      <c r="E10" s="22"/>
      <c r="F10" s="22" t="s">
        <v>79</v>
      </c>
    </row>
    <row r="11" customFormat="false" ht="15" hidden="false" customHeight="false" outlineLevel="0" collapsed="false">
      <c r="A11" s="22" t="s">
        <v>80</v>
      </c>
      <c r="B11" s="22" t="s">
        <v>81</v>
      </c>
      <c r="C11" s="22"/>
      <c r="D11" s="22"/>
      <c r="E11" s="22"/>
      <c r="F11" s="22" t="s">
        <v>82</v>
      </c>
    </row>
    <row r="12" customFormat="false" ht="15" hidden="false" customHeight="false" outlineLevel="0" collapsed="false">
      <c r="A12" s="22" t="s">
        <v>83</v>
      </c>
      <c r="B12" s="22" t="s">
        <v>84</v>
      </c>
      <c r="C12" s="22"/>
      <c r="D12" s="22"/>
      <c r="E12" s="22"/>
      <c r="F12" s="22"/>
    </row>
    <row r="13" customFormat="false" ht="15" hidden="false" customHeight="false" outlineLevel="0" collapsed="false">
      <c r="A13" s="22"/>
      <c r="B13" s="22" t="s">
        <v>85</v>
      </c>
      <c r="C13" s="22"/>
      <c r="D13" s="22"/>
      <c r="E13" s="22"/>
      <c r="F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U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4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5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26"/>
    <col collapsed="false" customWidth="true" hidden="false" outlineLevel="0" max="15" min="14" style="0" width="14"/>
    <col collapsed="false" customWidth="true" hidden="false" outlineLevel="0" max="17" min="16" style="0" width="12"/>
    <col collapsed="false" customWidth="true" hidden="false" outlineLevel="0" max="19" min="18" style="0" width="9"/>
    <col collapsed="false" customWidth="true" hidden="false" outlineLevel="0" max="20" min="20" style="0" width="11"/>
    <col collapsed="false" customWidth="true" hidden="false" outlineLevel="0" max="21" min="21" style="0" width="14"/>
  </cols>
  <sheetData>
    <row r="1" customFormat="false" ht="30" hidden="false" customHeight="true" outlineLevel="0" collapsed="false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customFormat="false" ht="16.5" hidden="false" customHeight="true" outlineLevel="0" collapsed="false">
      <c r="A2" s="24" t="s">
        <v>86</v>
      </c>
      <c r="B2" s="25" t="s">
        <v>87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6" t="s">
        <v>88</v>
      </c>
      <c r="Q2" s="26"/>
      <c r="R2" s="26"/>
      <c r="S2" s="26"/>
      <c r="T2" s="26"/>
      <c r="U2" s="26"/>
    </row>
    <row r="3" customFormat="false" ht="31.5" hidden="false" customHeight="true" outlineLevel="0" collapsed="false">
      <c r="A3" s="6" t="s">
        <v>89</v>
      </c>
      <c r="B3" s="27" t="s">
        <v>90</v>
      </c>
      <c r="C3" s="27" t="s">
        <v>91</v>
      </c>
      <c r="D3" s="27" t="s">
        <v>92</v>
      </c>
      <c r="E3" s="27" t="s">
        <v>93</v>
      </c>
      <c r="F3" s="27" t="s">
        <v>94</v>
      </c>
      <c r="G3" s="27" t="s">
        <v>95</v>
      </c>
      <c r="H3" s="27" t="s">
        <v>49</v>
      </c>
      <c r="I3" s="27" t="s">
        <v>96</v>
      </c>
      <c r="J3" s="27" t="s">
        <v>97</v>
      </c>
      <c r="K3" s="27" t="s">
        <v>98</v>
      </c>
      <c r="L3" s="27" t="s">
        <v>99</v>
      </c>
      <c r="M3" s="27" t="s">
        <v>50</v>
      </c>
      <c r="N3" s="27" t="s">
        <v>48</v>
      </c>
      <c r="O3" s="27" t="s">
        <v>100</v>
      </c>
      <c r="P3" s="6" t="s">
        <v>16</v>
      </c>
      <c r="Q3" s="6" t="s">
        <v>101</v>
      </c>
      <c r="R3" s="6" t="s">
        <v>102</v>
      </c>
      <c r="S3" s="6" t="s">
        <v>103</v>
      </c>
      <c r="T3" s="6" t="s">
        <v>104</v>
      </c>
      <c r="U3" s="6" t="s">
        <v>105</v>
      </c>
    </row>
    <row r="4" customFormat="false" ht="15.75" hidden="false" customHeight="true" outlineLevel="0" collapsed="false">
      <c r="A4" s="28" t="n">
        <f aca="false">IF($E4="","",COUNTA($E$4:$E4))</f>
        <v>1</v>
      </c>
      <c r="B4" s="29" t="s">
        <v>106</v>
      </c>
      <c r="C4" s="29" t="s">
        <v>78</v>
      </c>
      <c r="D4" s="29" t="s">
        <v>107</v>
      </c>
      <c r="E4" s="29" t="s">
        <v>108</v>
      </c>
      <c r="F4" s="30" t="s">
        <v>59</v>
      </c>
      <c r="G4" s="29" t="s">
        <v>51</v>
      </c>
      <c r="H4" s="30" t="s">
        <v>55</v>
      </c>
      <c r="I4" s="29"/>
      <c r="J4" s="31" t="n">
        <v>46258</v>
      </c>
      <c r="K4" s="31"/>
      <c r="L4" s="30"/>
      <c r="M4" s="29"/>
      <c r="N4" s="30" t="s">
        <v>66</v>
      </c>
      <c r="O4" s="31" t="n">
        <v>46258</v>
      </c>
      <c r="P4" s="32" t="n">
        <f aca="false">IF($J4="","",$J4-WEEKDAY($J4,3))</f>
        <v>46258</v>
      </c>
      <c r="Q4" s="32" t="n">
        <f aca="false">IF($J4="","",IF($K4="",$J4,$K4))</f>
        <v>46258</v>
      </c>
      <c r="R4" s="28" t="n">
        <f aca="false">IF($E4="","",IF(OR($N4&lt;&gt;"Concluída",$O4="",$J4=""),0,IF($O4&lt;=$J4,1,0)))</f>
        <v>1</v>
      </c>
      <c r="S4" s="28" t="n">
        <f aca="false">IF($E4="","",IF(OR($N4&lt;&gt;"Concluída",$O4="",$Q4=""),0,IF($O4&lt;=$Q4,1,0)))</f>
        <v>1</v>
      </c>
      <c r="T4" s="28" t="n">
        <f aca="false">IF(OR($J4="",$N4&lt;&gt;"Concluída",$O4=""),"",MAX(0,$O4-$J4))</f>
        <v>0</v>
      </c>
      <c r="U4" s="33" t="str">
        <f aca="true">IF($E4="","",IF($N4="Cancelada","Cancelada",IF($N4="Concluída",IF($R4=1,"No prazo","Concluída com atraso"),IF($J4="","Na carteira",IF($J4&lt;TODAY(),"VENCIDA",IF($J4=TODAY(),"Hoje","Programada"))))))</f>
        <v>No prazo</v>
      </c>
    </row>
    <row r="5" customFormat="false" ht="15.75" hidden="false" customHeight="true" outlineLevel="0" collapsed="false">
      <c r="A5" s="28" t="n">
        <f aca="false">IF($E5="","",COUNTA($E$4:$E5))</f>
        <v>2</v>
      </c>
      <c r="B5" s="34" t="s">
        <v>106</v>
      </c>
      <c r="C5" s="34" t="s">
        <v>78</v>
      </c>
      <c r="D5" s="34" t="s">
        <v>107</v>
      </c>
      <c r="E5" s="34" t="s">
        <v>109</v>
      </c>
      <c r="F5" s="35" t="s">
        <v>59</v>
      </c>
      <c r="G5" s="34" t="s">
        <v>51</v>
      </c>
      <c r="H5" s="35" t="s">
        <v>55</v>
      </c>
      <c r="I5" s="34"/>
      <c r="J5" s="36" t="n">
        <v>46258</v>
      </c>
      <c r="K5" s="36"/>
      <c r="L5" s="35"/>
      <c r="M5" s="34"/>
      <c r="N5" s="35" t="s">
        <v>66</v>
      </c>
      <c r="O5" s="36" t="n">
        <v>46258</v>
      </c>
      <c r="P5" s="32" t="n">
        <f aca="false">IF($J5="","",$J5-WEEKDAY($J5,3))</f>
        <v>46258</v>
      </c>
      <c r="Q5" s="32" t="n">
        <f aca="false">IF($J5="","",IF($K5="",$J5,$K5))</f>
        <v>46258</v>
      </c>
      <c r="R5" s="28" t="n">
        <f aca="false">IF($E5="","",IF(OR($N5&lt;&gt;"Concluída",$O5="",$J5=""),0,IF($O5&lt;=$J5,1,0)))</f>
        <v>1</v>
      </c>
      <c r="S5" s="28" t="n">
        <f aca="false">IF($E5="","",IF(OR($N5&lt;&gt;"Concluída",$O5="",$Q5=""),0,IF($O5&lt;=$Q5,1,0)))</f>
        <v>1</v>
      </c>
      <c r="T5" s="28" t="n">
        <f aca="false">IF(OR($J5="",$N5&lt;&gt;"Concluída",$O5=""),"",MAX(0,$O5-$J5))</f>
        <v>0</v>
      </c>
      <c r="U5" s="33" t="str">
        <f aca="true">IF($E5="","",IF($N5="Cancelada","Cancelada",IF($N5="Concluída",IF($R5=1,"No prazo","Concluída com atraso"),IF($J5="","Na carteira",IF($J5&lt;TODAY(),"VENCIDA",IF($J5=TODAY(),"Hoje","Programada"))))))</f>
        <v>No prazo</v>
      </c>
    </row>
    <row r="6" customFormat="false" ht="15.75" hidden="false" customHeight="true" outlineLevel="0" collapsed="false">
      <c r="A6" s="28" t="n">
        <f aca="false">IF($E6="","",COUNTA($E$4:$E6))</f>
        <v>3</v>
      </c>
      <c r="B6" s="29" t="s">
        <v>106</v>
      </c>
      <c r="C6" s="29" t="s">
        <v>78</v>
      </c>
      <c r="D6" s="29" t="s">
        <v>107</v>
      </c>
      <c r="E6" s="29" t="s">
        <v>110</v>
      </c>
      <c r="F6" s="30" t="s">
        <v>59</v>
      </c>
      <c r="G6" s="29" t="s">
        <v>51</v>
      </c>
      <c r="H6" s="30" t="s">
        <v>55</v>
      </c>
      <c r="I6" s="29"/>
      <c r="J6" s="31" t="n">
        <v>46258</v>
      </c>
      <c r="K6" s="31"/>
      <c r="L6" s="30"/>
      <c r="M6" s="29"/>
      <c r="N6" s="30" t="s">
        <v>54</v>
      </c>
      <c r="O6" s="31"/>
      <c r="P6" s="32" t="n">
        <f aca="false">IF($J6="","",$J6-WEEKDAY($J6,3))</f>
        <v>46258</v>
      </c>
      <c r="Q6" s="32" t="n">
        <f aca="false">IF($J6="","",IF($K6="",$J6,$K6))</f>
        <v>46258</v>
      </c>
      <c r="R6" s="28" t="n">
        <f aca="false">IF($E6="","",IF(OR($N6&lt;&gt;"Concluída",$O6="",$J6=""),0,IF($O6&lt;=$J6,1,0)))</f>
        <v>0</v>
      </c>
      <c r="S6" s="28" t="n">
        <f aca="false">IF($E6="","",IF(OR($N6&lt;&gt;"Concluída",$O6="",$Q6=""),0,IF($O6&lt;=$Q6,1,0)))</f>
        <v>0</v>
      </c>
      <c r="T6" s="28" t="str">
        <f aca="false">IF(OR($J6="",$N6&lt;&gt;"Concluída",$O6=""),"",MAX(0,$O6-$J6))</f>
        <v/>
      </c>
      <c r="U6" s="33" t="str">
        <f aca="true">IF($E6="","",IF($N6="Cancelada","Cancelada",IF($N6="Concluída",IF($R6=1,"No prazo","Concluída com atraso"),IF($J6="","Na carteira",IF($J6&lt;TODAY(),"VENCIDA",IF($J6=TODAY(),"Hoje","Programada"))))))</f>
        <v>VENCIDA</v>
      </c>
    </row>
    <row r="7" customFormat="false" ht="15.75" hidden="false" customHeight="true" outlineLevel="0" collapsed="false">
      <c r="A7" s="28" t="n">
        <f aca="false">IF($E7="","",COUNTA($E$4:$E7))</f>
        <v>4</v>
      </c>
      <c r="B7" s="34" t="s">
        <v>111</v>
      </c>
      <c r="C7" s="34" t="s">
        <v>52</v>
      </c>
      <c r="D7" s="34" t="s">
        <v>112</v>
      </c>
      <c r="E7" s="34" t="s">
        <v>113</v>
      </c>
      <c r="F7" s="35" t="s">
        <v>53</v>
      </c>
      <c r="G7" s="34" t="s">
        <v>57</v>
      </c>
      <c r="H7" s="35" t="s">
        <v>55</v>
      </c>
      <c r="I7" s="34"/>
      <c r="J7" s="36" t="n">
        <v>46258</v>
      </c>
      <c r="K7" s="36" t="n">
        <v>46255</v>
      </c>
      <c r="L7" s="35" t="n">
        <v>1</v>
      </c>
      <c r="M7" s="34" t="s">
        <v>56</v>
      </c>
      <c r="N7" s="35" t="s">
        <v>66</v>
      </c>
      <c r="O7" s="36" t="n">
        <v>46259</v>
      </c>
      <c r="P7" s="32" t="n">
        <f aca="false">IF($J7="","",$J7-WEEKDAY($J7,3))</f>
        <v>46258</v>
      </c>
      <c r="Q7" s="32" t="n">
        <f aca="false">IF($J7="","",IF($K7="",$J7,$K7))</f>
        <v>46255</v>
      </c>
      <c r="R7" s="28" t="n">
        <f aca="false">IF($E7="","",IF(OR($N7&lt;&gt;"Concluída",$O7="",$J7=""),0,IF($O7&lt;=$J7,1,0)))</f>
        <v>0</v>
      </c>
      <c r="S7" s="28" t="n">
        <f aca="false">IF($E7="","",IF(OR($N7&lt;&gt;"Concluída",$O7="",$Q7=""),0,IF($O7&lt;=$Q7,1,0)))</f>
        <v>0</v>
      </c>
      <c r="T7" s="28" t="n">
        <f aca="false">IF(OR($J7="",$N7&lt;&gt;"Concluída",$O7=""),"",MAX(0,$O7-$J7))</f>
        <v>1</v>
      </c>
      <c r="U7" s="33" t="str">
        <f aca="true">IF($E7="","",IF($N7="Cancelada","Cancelada",IF($N7="Concluída",IF($R7=1,"No prazo","Concluída com atraso"),IF($J7="","Na carteira",IF($J7&lt;TODAY(),"VENCIDA",IF($J7=TODAY(),"Hoje","Programada"))))))</f>
        <v>Concluída com atraso</v>
      </c>
    </row>
    <row r="8" customFormat="false" ht="15.75" hidden="false" customHeight="true" outlineLevel="0" collapsed="false">
      <c r="A8" s="28" t="n">
        <f aca="false">IF($E8="","",COUNTA($E$4:$E8))</f>
        <v>5</v>
      </c>
      <c r="B8" s="29" t="s">
        <v>111</v>
      </c>
      <c r="C8" s="29" t="s">
        <v>52</v>
      </c>
      <c r="D8" s="29" t="s">
        <v>112</v>
      </c>
      <c r="E8" s="29" t="s">
        <v>114</v>
      </c>
      <c r="F8" s="30" t="s">
        <v>53</v>
      </c>
      <c r="G8" s="29" t="s">
        <v>57</v>
      </c>
      <c r="H8" s="30" t="s">
        <v>55</v>
      </c>
      <c r="I8" s="29"/>
      <c r="J8" s="31" t="n">
        <v>46259</v>
      </c>
      <c r="K8" s="31"/>
      <c r="L8" s="30"/>
      <c r="M8" s="29"/>
      <c r="N8" s="30" t="s">
        <v>66</v>
      </c>
      <c r="O8" s="31" t="n">
        <v>46259</v>
      </c>
      <c r="P8" s="32" t="n">
        <f aca="false">IF($J8="","",$J8-WEEKDAY($J8,3))</f>
        <v>46258</v>
      </c>
      <c r="Q8" s="32" t="n">
        <f aca="false">IF($J8="","",IF($K8="",$J8,$K8))</f>
        <v>46259</v>
      </c>
      <c r="R8" s="28" t="n">
        <f aca="false">IF($E8="","",IF(OR($N8&lt;&gt;"Concluída",$O8="",$J8=""),0,IF($O8&lt;=$J8,1,0)))</f>
        <v>1</v>
      </c>
      <c r="S8" s="28" t="n">
        <f aca="false">IF($E8="","",IF(OR($N8&lt;&gt;"Concluída",$O8="",$Q8=""),0,IF($O8&lt;=$Q8,1,0)))</f>
        <v>1</v>
      </c>
      <c r="T8" s="28" t="n">
        <f aca="false">IF(OR($J8="",$N8&lt;&gt;"Concluída",$O8=""),"",MAX(0,$O8-$J8))</f>
        <v>0</v>
      </c>
      <c r="U8" s="33" t="str">
        <f aca="true">IF($E8="","",IF($N8="Cancelada","Cancelada",IF($N8="Concluída",IF($R8=1,"No prazo","Concluída com atraso"),IF($J8="","Na carteira",IF($J8&lt;TODAY(),"VENCIDA",IF($J8=TODAY(),"Hoje","Programada"))))))</f>
        <v>No prazo</v>
      </c>
    </row>
    <row r="9" customFormat="false" ht="15.75" hidden="false" customHeight="true" outlineLevel="0" collapsed="false">
      <c r="A9" s="28" t="n">
        <f aca="false">IF($E9="","",COUNTA($E$4:$E9))</f>
        <v>6</v>
      </c>
      <c r="B9" s="34" t="s">
        <v>115</v>
      </c>
      <c r="C9" s="34" t="s">
        <v>58</v>
      </c>
      <c r="D9" s="34" t="s">
        <v>116</v>
      </c>
      <c r="E9" s="34" t="s">
        <v>117</v>
      </c>
      <c r="F9" s="35" t="s">
        <v>53</v>
      </c>
      <c r="G9" s="34" t="s">
        <v>63</v>
      </c>
      <c r="H9" s="35" t="s">
        <v>61</v>
      </c>
      <c r="I9" s="34" t="s">
        <v>118</v>
      </c>
      <c r="J9" s="36" t="n">
        <v>46259</v>
      </c>
      <c r="K9" s="36"/>
      <c r="L9" s="35"/>
      <c r="M9" s="34"/>
      <c r="N9" s="35" t="s">
        <v>60</v>
      </c>
      <c r="O9" s="36"/>
      <c r="P9" s="32" t="n">
        <f aca="false">IF($J9="","",$J9-WEEKDAY($J9,3))</f>
        <v>46258</v>
      </c>
      <c r="Q9" s="32" t="n">
        <f aca="false">IF($J9="","",IF($K9="",$J9,$K9))</f>
        <v>46259</v>
      </c>
      <c r="R9" s="28" t="n">
        <f aca="false">IF($E9="","",IF(OR($N9&lt;&gt;"Concluída",$O9="",$J9=""),0,IF($O9&lt;=$J9,1,0)))</f>
        <v>0</v>
      </c>
      <c r="S9" s="28" t="n">
        <f aca="false">IF($E9="","",IF(OR($N9&lt;&gt;"Concluída",$O9="",$Q9=""),0,IF($O9&lt;=$Q9,1,0)))</f>
        <v>0</v>
      </c>
      <c r="T9" s="28" t="str">
        <f aca="false">IF(OR($J9="",$N9&lt;&gt;"Concluída",$O9=""),"",MAX(0,$O9-$J9))</f>
        <v/>
      </c>
      <c r="U9" s="33" t="str">
        <f aca="true">IF($E9="","",IF($N9="Cancelada","Cancelada",IF($N9="Concluída",IF($R9=1,"No prazo","Concluída com atraso"),IF($J9="","Na carteira",IF($J9&lt;TODAY(),"VENCIDA",IF($J9=TODAY(),"Hoje","Programada"))))))</f>
        <v>VENCIDA</v>
      </c>
    </row>
    <row r="10" customFormat="false" ht="15.75" hidden="false" customHeight="true" outlineLevel="0" collapsed="false">
      <c r="A10" s="28" t="n">
        <f aca="false">IF($E10="","",COUNTA($E$4:$E10))</f>
        <v>7</v>
      </c>
      <c r="B10" s="29" t="s">
        <v>115</v>
      </c>
      <c r="C10" s="29" t="s">
        <v>58</v>
      </c>
      <c r="D10" s="29" t="s">
        <v>116</v>
      </c>
      <c r="E10" s="29" t="s">
        <v>119</v>
      </c>
      <c r="F10" s="30" t="s">
        <v>53</v>
      </c>
      <c r="G10" s="29" t="s">
        <v>63</v>
      </c>
      <c r="H10" s="30" t="s">
        <v>55</v>
      </c>
      <c r="I10" s="29"/>
      <c r="J10" s="31" t="n">
        <v>46260</v>
      </c>
      <c r="K10" s="31"/>
      <c r="L10" s="30"/>
      <c r="M10" s="29"/>
      <c r="N10" s="30" t="s">
        <v>54</v>
      </c>
      <c r="O10" s="31"/>
      <c r="P10" s="32" t="n">
        <f aca="false">IF($J10="","",$J10-WEEKDAY($J10,3))</f>
        <v>46258</v>
      </c>
      <c r="Q10" s="32" t="n">
        <f aca="false">IF($J10="","",IF($K10="",$J10,$K10))</f>
        <v>46260</v>
      </c>
      <c r="R10" s="28" t="n">
        <f aca="false">IF($E10="","",IF(OR($N10&lt;&gt;"Concluída",$O10="",$J10=""),0,IF($O10&lt;=$J10,1,0)))</f>
        <v>0</v>
      </c>
      <c r="S10" s="28" t="n">
        <f aca="false">IF($E10="","",IF(OR($N10&lt;&gt;"Concluída",$O10="",$Q10=""),0,IF($O10&lt;=$Q10,1,0)))</f>
        <v>0</v>
      </c>
      <c r="T10" s="28" t="str">
        <f aca="false">IF(OR($J10="",$N10&lt;&gt;"Concluída",$O10=""),"",MAX(0,$O10-$J10))</f>
        <v/>
      </c>
      <c r="U10" s="33" t="str">
        <f aca="true">IF($E10="","",IF($N10="Cancelada","Cancelada",IF($N10="Concluída",IF($R10=1,"No prazo","Concluída com atraso"),IF($J10="","Na carteira",IF($J10&lt;TODAY(),"VENCIDA",IF($J10=TODAY(),"Hoje","Programada"))))))</f>
        <v>Hoje</v>
      </c>
    </row>
    <row r="11" customFormat="false" ht="15.75" hidden="false" customHeight="true" outlineLevel="0" collapsed="false">
      <c r="A11" s="28" t="n">
        <f aca="false">IF($E11="","",COUNTA($E$4:$E11))</f>
        <v>8</v>
      </c>
      <c r="B11" s="34" t="s">
        <v>120</v>
      </c>
      <c r="C11" s="34" t="s">
        <v>81</v>
      </c>
      <c r="D11" s="34" t="s">
        <v>121</v>
      </c>
      <c r="E11" s="34" t="s">
        <v>122</v>
      </c>
      <c r="F11" s="35" t="s">
        <v>75</v>
      </c>
      <c r="G11" s="34" t="s">
        <v>68</v>
      </c>
      <c r="H11" s="35" t="s">
        <v>55</v>
      </c>
      <c r="I11" s="34"/>
      <c r="J11" s="36" t="n">
        <v>46259</v>
      </c>
      <c r="K11" s="36"/>
      <c r="L11" s="35"/>
      <c r="M11" s="34"/>
      <c r="N11" s="35" t="s">
        <v>66</v>
      </c>
      <c r="O11" s="36" t="n">
        <v>46261</v>
      </c>
      <c r="P11" s="32" t="n">
        <f aca="false">IF($J11="","",$J11-WEEKDAY($J11,3))</f>
        <v>46258</v>
      </c>
      <c r="Q11" s="32" t="n">
        <f aca="false">IF($J11="","",IF($K11="",$J11,$K11))</f>
        <v>46259</v>
      </c>
      <c r="R11" s="28" t="n">
        <f aca="false">IF($E11="","",IF(OR($N11&lt;&gt;"Concluída",$O11="",$J11=""),0,IF($O11&lt;=$J11,1,0)))</f>
        <v>0</v>
      </c>
      <c r="S11" s="28" t="n">
        <f aca="false">IF($E11="","",IF(OR($N11&lt;&gt;"Concluída",$O11="",$Q11=""),0,IF($O11&lt;=$Q11,1,0)))</f>
        <v>0</v>
      </c>
      <c r="T11" s="28" t="n">
        <f aca="false">IF(OR($J11="",$N11&lt;&gt;"Concluída",$O11=""),"",MAX(0,$O11-$J11))</f>
        <v>2</v>
      </c>
      <c r="U11" s="33" t="str">
        <f aca="true">IF($E11="","",IF($N11="Cancelada","Cancelada",IF($N11="Concluída",IF($R11=1,"No prazo","Concluída com atraso"),IF($J11="","Na carteira",IF($J11&lt;TODAY(),"VENCIDA",IF($J11=TODAY(),"Hoje","Programada"))))))</f>
        <v>Concluída com atraso</v>
      </c>
    </row>
    <row r="12" customFormat="false" ht="15.75" hidden="false" customHeight="true" outlineLevel="0" collapsed="false">
      <c r="A12" s="28" t="n">
        <f aca="false">IF($E12="","",COUNTA($E$4:$E12))</f>
        <v>9</v>
      </c>
      <c r="B12" s="29" t="s">
        <v>120</v>
      </c>
      <c r="C12" s="29" t="s">
        <v>81</v>
      </c>
      <c r="D12" s="29" t="s">
        <v>121</v>
      </c>
      <c r="E12" s="29" t="s">
        <v>123</v>
      </c>
      <c r="F12" s="30" t="s">
        <v>75</v>
      </c>
      <c r="G12" s="29" t="s">
        <v>68</v>
      </c>
      <c r="H12" s="30" t="s">
        <v>55</v>
      </c>
      <c r="I12" s="29"/>
      <c r="J12" s="31" t="n">
        <v>46260</v>
      </c>
      <c r="K12" s="31"/>
      <c r="L12" s="30"/>
      <c r="M12" s="29"/>
      <c r="N12" s="30" t="s">
        <v>54</v>
      </c>
      <c r="O12" s="31"/>
      <c r="P12" s="32" t="n">
        <f aca="false">IF($J12="","",$J12-WEEKDAY($J12,3))</f>
        <v>46258</v>
      </c>
      <c r="Q12" s="32" t="n">
        <f aca="false">IF($J12="","",IF($K12="",$J12,$K12))</f>
        <v>46260</v>
      </c>
      <c r="R12" s="28" t="n">
        <f aca="false">IF($E12="","",IF(OR($N12&lt;&gt;"Concluída",$O12="",$J12=""),0,IF($O12&lt;=$J12,1,0)))</f>
        <v>0</v>
      </c>
      <c r="S12" s="28" t="n">
        <f aca="false">IF($E12="","",IF(OR($N12&lt;&gt;"Concluída",$O12="",$Q12=""),0,IF($O12&lt;=$Q12,1,0)))</f>
        <v>0</v>
      </c>
      <c r="T12" s="28" t="str">
        <f aca="false">IF(OR($J12="",$N12&lt;&gt;"Concluída",$O12=""),"",MAX(0,$O12-$J12))</f>
        <v/>
      </c>
      <c r="U12" s="33" t="str">
        <f aca="true">IF($E12="","",IF($N12="Cancelada","Cancelada",IF($N12="Concluída",IF($R12=1,"No prazo","Concluída com atraso"),IF($J12="","Na carteira",IF($J12&lt;TODAY(),"VENCIDA",IF($J12=TODAY(),"Hoje","Programada"))))))</f>
        <v>Hoje</v>
      </c>
    </row>
    <row r="13" customFormat="false" ht="15.75" hidden="false" customHeight="true" outlineLevel="0" collapsed="false">
      <c r="A13" s="28" t="n">
        <f aca="false">IF($E13="","",COUNTA($E$4:$E13))</f>
        <v>10</v>
      </c>
      <c r="B13" s="34" t="s">
        <v>124</v>
      </c>
      <c r="C13" s="34" t="s">
        <v>64</v>
      </c>
      <c r="D13" s="34" t="s">
        <v>125</v>
      </c>
      <c r="E13" s="34" t="s">
        <v>126</v>
      </c>
      <c r="F13" s="35" t="s">
        <v>59</v>
      </c>
      <c r="G13" s="34" t="s">
        <v>73</v>
      </c>
      <c r="H13" s="35" t="s">
        <v>55</v>
      </c>
      <c r="I13" s="34"/>
      <c r="J13" s="36" t="n">
        <v>46260</v>
      </c>
      <c r="K13" s="36"/>
      <c r="L13" s="35"/>
      <c r="M13" s="34"/>
      <c r="N13" s="35" t="s">
        <v>54</v>
      </c>
      <c r="O13" s="36"/>
      <c r="P13" s="32" t="n">
        <f aca="false">IF($J13="","",$J13-WEEKDAY($J13,3))</f>
        <v>46258</v>
      </c>
      <c r="Q13" s="32" t="n">
        <f aca="false">IF($J13="","",IF($K13="",$J13,$K13))</f>
        <v>46260</v>
      </c>
      <c r="R13" s="28" t="n">
        <f aca="false">IF($E13="","",IF(OR($N13&lt;&gt;"Concluída",$O13="",$J13=""),0,IF($O13&lt;=$J13,1,0)))</f>
        <v>0</v>
      </c>
      <c r="S13" s="28" t="n">
        <f aca="false">IF($E13="","",IF(OR($N13&lt;&gt;"Concluída",$O13="",$Q13=""),0,IF($O13&lt;=$Q13,1,0)))</f>
        <v>0</v>
      </c>
      <c r="T13" s="28" t="str">
        <f aca="false">IF(OR($J13="",$N13&lt;&gt;"Concluída",$O13=""),"",MAX(0,$O13-$J13))</f>
        <v/>
      </c>
      <c r="U13" s="33" t="str">
        <f aca="true">IF($E13="","",IF($N13="Cancelada","Cancelada",IF($N13="Concluída",IF($R13=1,"No prazo","Concluída com atraso"),IF($J13="","Na carteira",IF($J13&lt;TODAY(),"VENCIDA",IF($J13=TODAY(),"Hoje","Programada"))))))</f>
        <v>Hoje</v>
      </c>
    </row>
    <row r="14" customFormat="false" ht="15.75" hidden="false" customHeight="true" outlineLevel="0" collapsed="false">
      <c r="A14" s="28" t="n">
        <f aca="false">IF($E14="","",COUNTA($E$4:$E14))</f>
        <v>11</v>
      </c>
      <c r="B14" s="29" t="s">
        <v>124</v>
      </c>
      <c r="C14" s="29" t="s">
        <v>64</v>
      </c>
      <c r="D14" s="29" t="s">
        <v>125</v>
      </c>
      <c r="E14" s="29" t="s">
        <v>127</v>
      </c>
      <c r="F14" s="30" t="s">
        <v>59</v>
      </c>
      <c r="G14" s="29" t="s">
        <v>73</v>
      </c>
      <c r="H14" s="30" t="s">
        <v>55</v>
      </c>
      <c r="I14" s="29"/>
      <c r="J14" s="31" t="n">
        <v>46260</v>
      </c>
      <c r="K14" s="31"/>
      <c r="L14" s="30"/>
      <c r="M14" s="29"/>
      <c r="N14" s="30" t="s">
        <v>54</v>
      </c>
      <c r="O14" s="31"/>
      <c r="P14" s="32" t="n">
        <f aca="false">IF($J14="","",$J14-WEEKDAY($J14,3))</f>
        <v>46258</v>
      </c>
      <c r="Q14" s="32" t="n">
        <f aca="false">IF($J14="","",IF($K14="",$J14,$K14))</f>
        <v>46260</v>
      </c>
      <c r="R14" s="28" t="n">
        <f aca="false">IF($E14="","",IF(OR($N14&lt;&gt;"Concluída",$O14="",$J14=""),0,IF($O14&lt;=$J14,1,0)))</f>
        <v>0</v>
      </c>
      <c r="S14" s="28" t="n">
        <f aca="false">IF($E14="","",IF(OR($N14&lt;&gt;"Concluída",$O14="",$Q14=""),0,IF($O14&lt;=$Q14,1,0)))</f>
        <v>0</v>
      </c>
      <c r="T14" s="28" t="str">
        <f aca="false">IF(OR($J14="",$N14&lt;&gt;"Concluída",$O14=""),"",MAX(0,$O14-$J14))</f>
        <v/>
      </c>
      <c r="U14" s="33" t="str">
        <f aca="true">IF($E14="","",IF($N14="Cancelada","Cancelada",IF($N14="Concluída",IF($R14=1,"No prazo","Concluída com atraso"),IF($J14="","Na carteira",IF($J14&lt;TODAY(),"VENCIDA",IF($J14=TODAY(),"Hoje","Programada"))))))</f>
        <v>Hoje</v>
      </c>
    </row>
    <row r="15" customFormat="false" ht="15.75" hidden="false" customHeight="true" outlineLevel="0" collapsed="false">
      <c r="A15" s="28" t="n">
        <f aca="false">IF($E15="","",COUNTA($E$4:$E15))</f>
        <v>12</v>
      </c>
      <c r="B15" s="34" t="s">
        <v>128</v>
      </c>
      <c r="C15" s="34" t="s">
        <v>84</v>
      </c>
      <c r="D15" s="34" t="s">
        <v>129</v>
      </c>
      <c r="E15" s="34" t="s">
        <v>130</v>
      </c>
      <c r="F15" s="35" t="s">
        <v>53</v>
      </c>
      <c r="G15" s="34" t="s">
        <v>77</v>
      </c>
      <c r="H15" s="35" t="s">
        <v>61</v>
      </c>
      <c r="I15" s="34" t="s">
        <v>131</v>
      </c>
      <c r="J15" s="36" t="n">
        <v>46261</v>
      </c>
      <c r="K15" s="36"/>
      <c r="L15" s="35"/>
      <c r="M15" s="34"/>
      <c r="N15" s="35" t="s">
        <v>54</v>
      </c>
      <c r="O15" s="36"/>
      <c r="P15" s="32" t="n">
        <f aca="false">IF($J15="","",$J15-WEEKDAY($J15,3))</f>
        <v>46258</v>
      </c>
      <c r="Q15" s="32" t="n">
        <f aca="false">IF($J15="","",IF($K15="",$J15,$K15))</f>
        <v>46261</v>
      </c>
      <c r="R15" s="28" t="n">
        <f aca="false">IF($E15="","",IF(OR($N15&lt;&gt;"Concluída",$O15="",$J15=""),0,IF($O15&lt;=$J15,1,0)))</f>
        <v>0</v>
      </c>
      <c r="S15" s="28" t="n">
        <f aca="false">IF($E15="","",IF(OR($N15&lt;&gt;"Concluída",$O15="",$Q15=""),0,IF($O15&lt;=$Q15,1,0)))</f>
        <v>0</v>
      </c>
      <c r="T15" s="28" t="str">
        <f aca="false">IF(OR($J15="",$N15&lt;&gt;"Concluída",$O15=""),"",MAX(0,$O15-$J15))</f>
        <v/>
      </c>
      <c r="U15" s="33" t="str">
        <f aca="true">IF($E15="","",IF($N15="Cancelada","Cancelada",IF($N15="Concluída",IF($R15=1,"No prazo","Concluída com atraso"),IF($J15="","Na carteira",IF($J15&lt;TODAY(),"VENCIDA",IF($J15=TODAY(),"Hoje","Programada"))))))</f>
        <v>Programada</v>
      </c>
    </row>
    <row r="16" customFormat="false" ht="15.75" hidden="false" customHeight="true" outlineLevel="0" collapsed="false">
      <c r="A16" s="28" t="n">
        <f aca="false">IF($E16="","",COUNTA($E$4:$E16))</f>
        <v>13</v>
      </c>
      <c r="B16" s="29" t="s">
        <v>132</v>
      </c>
      <c r="C16" s="29" t="s">
        <v>69</v>
      </c>
      <c r="D16" s="29" t="s">
        <v>107</v>
      </c>
      <c r="E16" s="29" t="s">
        <v>133</v>
      </c>
      <c r="F16" s="30" t="s">
        <v>59</v>
      </c>
      <c r="G16" s="29" t="s">
        <v>80</v>
      </c>
      <c r="H16" s="30" t="s">
        <v>55</v>
      </c>
      <c r="I16" s="29"/>
      <c r="J16" s="31" t="n">
        <v>46262</v>
      </c>
      <c r="K16" s="31"/>
      <c r="L16" s="30"/>
      <c r="M16" s="29"/>
      <c r="N16" s="30" t="s">
        <v>54</v>
      </c>
      <c r="O16" s="31"/>
      <c r="P16" s="32" t="n">
        <f aca="false">IF($J16="","",$J16-WEEKDAY($J16,3))</f>
        <v>46258</v>
      </c>
      <c r="Q16" s="32" t="n">
        <f aca="false">IF($J16="","",IF($K16="",$J16,$K16))</f>
        <v>46262</v>
      </c>
      <c r="R16" s="28" t="n">
        <f aca="false">IF($E16="","",IF(OR($N16&lt;&gt;"Concluída",$O16="",$J16=""),0,IF($O16&lt;=$J16,1,0)))</f>
        <v>0</v>
      </c>
      <c r="S16" s="28" t="n">
        <f aca="false">IF($E16="","",IF(OR($N16&lt;&gt;"Concluída",$O16="",$Q16=""),0,IF($O16&lt;=$Q16,1,0)))</f>
        <v>0</v>
      </c>
      <c r="T16" s="28" t="str">
        <f aca="false">IF(OR($J16="",$N16&lt;&gt;"Concluída",$O16=""),"",MAX(0,$O16-$J16))</f>
        <v/>
      </c>
      <c r="U16" s="33" t="str">
        <f aca="true">IF($E16="","",IF($N16="Cancelada","Cancelada",IF($N16="Concluída",IF($R16=1,"No prazo","Concluída com atraso"),IF($J16="","Na carteira",IF($J16&lt;TODAY(),"VENCIDA",IF($J16=TODAY(),"Hoje","Programada"))))))</f>
        <v>Programada</v>
      </c>
    </row>
    <row r="17" customFormat="false" ht="15.75" hidden="false" customHeight="true" outlineLevel="0" collapsed="false">
      <c r="A17" s="28" t="n">
        <f aca="false">IF($E17="","",COUNTA($E$4:$E17))</f>
        <v>14</v>
      </c>
      <c r="B17" s="34" t="s">
        <v>134</v>
      </c>
      <c r="C17" s="34" t="s">
        <v>74</v>
      </c>
      <c r="D17" s="34" t="s">
        <v>135</v>
      </c>
      <c r="E17" s="34" t="s">
        <v>136</v>
      </c>
      <c r="F17" s="35" t="s">
        <v>53</v>
      </c>
      <c r="G17" s="34"/>
      <c r="H17" s="35" t="s">
        <v>55</v>
      </c>
      <c r="I17" s="34"/>
      <c r="J17" s="36"/>
      <c r="K17" s="36"/>
      <c r="L17" s="35"/>
      <c r="M17" s="34"/>
      <c r="N17" s="35" t="s">
        <v>54</v>
      </c>
      <c r="O17" s="36"/>
      <c r="P17" s="32" t="str">
        <f aca="false">IF($J17="","",$J17-WEEKDAY($J17,3))</f>
        <v/>
      </c>
      <c r="Q17" s="32" t="str">
        <f aca="false">IF($J17="","",IF($K17="",$J17,$K17))</f>
        <v/>
      </c>
      <c r="R17" s="28" t="n">
        <f aca="false">IF($E17="","",IF(OR($N17&lt;&gt;"Concluída",$O17="",$J17=""),0,IF($O17&lt;=$J17,1,0)))</f>
        <v>0</v>
      </c>
      <c r="S17" s="28" t="n">
        <f aca="false">IF($E17="","",IF(OR($N17&lt;&gt;"Concluída",$O17="",$Q17=""),0,IF($O17&lt;=$Q17,1,0)))</f>
        <v>0</v>
      </c>
      <c r="T17" s="28" t="str">
        <f aca="false">IF(OR($J17="",$N17&lt;&gt;"Concluída",$O17=""),"",MAX(0,$O17-$J17))</f>
        <v/>
      </c>
      <c r="U17" s="33" t="str">
        <f aca="true">IF($E17="","",IF($N17="Cancelada","Cancelada",IF($N17="Concluída",IF($R17=1,"No prazo","Concluída com atraso"),IF($J17="","Na carteira",IF($J17&lt;TODAY(),"VENCIDA",IF($J17=TODAY(),"Hoje","Programada"))))))</f>
        <v>Na carteira</v>
      </c>
    </row>
    <row r="18" customFormat="false" ht="15.75" hidden="false" customHeight="true" outlineLevel="0" collapsed="false">
      <c r="A18" s="28" t="str">
        <f aca="false">IF($E18="","",COUNTA($E$4:$E18))</f>
        <v/>
      </c>
      <c r="B18" s="29"/>
      <c r="C18" s="29"/>
      <c r="D18" s="29"/>
      <c r="E18" s="29"/>
      <c r="F18" s="30"/>
      <c r="G18" s="29"/>
      <c r="H18" s="30"/>
      <c r="I18" s="29"/>
      <c r="J18" s="31"/>
      <c r="K18" s="31"/>
      <c r="L18" s="30"/>
      <c r="M18" s="29"/>
      <c r="N18" s="30"/>
      <c r="O18" s="31"/>
      <c r="P18" s="32" t="str">
        <f aca="false">IF($J18="","",$J18-WEEKDAY($J18,3))</f>
        <v/>
      </c>
      <c r="Q18" s="32" t="str">
        <f aca="false">IF($J18="","",IF($K18="",$J18,$K18))</f>
        <v/>
      </c>
      <c r="R18" s="28" t="str">
        <f aca="false">IF($E18="","",IF(OR($N18&lt;&gt;"Concluída",$O18="",$J18=""),0,IF($O18&lt;=$J18,1,0)))</f>
        <v/>
      </c>
      <c r="S18" s="28" t="str">
        <f aca="false">IF($E18="","",IF(OR($N18&lt;&gt;"Concluída",$O18="",$Q18=""),0,IF($O18&lt;=$Q18,1,0)))</f>
        <v/>
      </c>
      <c r="T18" s="28" t="str">
        <f aca="false">IF(OR($J18="",$N18&lt;&gt;"Concluída",$O18=""),"",MAX(0,$O18-$J18))</f>
        <v/>
      </c>
      <c r="U18" s="33" t="str">
        <f aca="true">IF($E18="","",IF($N18="Cancelada","Cancelada",IF($N18="Concluída",IF($R18=1,"No prazo","Concluída com atraso"),IF($J18="","Na carteira",IF($J18&lt;TODAY(),"VENCIDA",IF($J18=TODAY(),"Hoje","Programada"))))))</f>
        <v/>
      </c>
    </row>
    <row r="19" customFormat="false" ht="15.75" hidden="false" customHeight="true" outlineLevel="0" collapsed="false">
      <c r="A19" s="28" t="str">
        <f aca="false">IF($E19="","",COUNTA($E$4:$E19))</f>
        <v/>
      </c>
      <c r="B19" s="34"/>
      <c r="C19" s="34"/>
      <c r="D19" s="34"/>
      <c r="E19" s="34"/>
      <c r="F19" s="35"/>
      <c r="G19" s="34"/>
      <c r="H19" s="35"/>
      <c r="I19" s="34"/>
      <c r="J19" s="36"/>
      <c r="K19" s="36"/>
      <c r="L19" s="35"/>
      <c r="M19" s="34"/>
      <c r="N19" s="35"/>
      <c r="O19" s="36"/>
      <c r="P19" s="32" t="str">
        <f aca="false">IF($J19="","",$J19-WEEKDAY($J19,3))</f>
        <v/>
      </c>
      <c r="Q19" s="32" t="str">
        <f aca="false">IF($J19="","",IF($K19="",$J19,$K19))</f>
        <v/>
      </c>
      <c r="R19" s="28" t="str">
        <f aca="false">IF($E19="","",IF(OR($N19&lt;&gt;"Concluída",$O19="",$J19=""),0,IF($O19&lt;=$J19,1,0)))</f>
        <v/>
      </c>
      <c r="S19" s="28" t="str">
        <f aca="false">IF($E19="","",IF(OR($N19&lt;&gt;"Concluída",$O19="",$Q19=""),0,IF($O19&lt;=$Q19,1,0)))</f>
        <v/>
      </c>
      <c r="T19" s="28" t="str">
        <f aca="false">IF(OR($J19="",$N19&lt;&gt;"Concluída",$O19=""),"",MAX(0,$O19-$J19))</f>
        <v/>
      </c>
      <c r="U19" s="33" t="str">
        <f aca="true">IF($E19="","",IF($N19="Cancelada","Cancelada",IF($N19="Concluída",IF($R19=1,"No prazo","Concluída com atraso"),IF($J19="","Na carteira",IF($J19&lt;TODAY(),"VENCIDA",IF($J19=TODAY(),"Hoje","Programada"))))))</f>
        <v/>
      </c>
    </row>
    <row r="20" customFormat="false" ht="15.75" hidden="false" customHeight="true" outlineLevel="0" collapsed="false">
      <c r="A20" s="28" t="str">
        <f aca="false">IF($E20="","",COUNTA($E$4:$E20))</f>
        <v/>
      </c>
      <c r="B20" s="29"/>
      <c r="C20" s="29"/>
      <c r="D20" s="29"/>
      <c r="E20" s="29"/>
      <c r="F20" s="30"/>
      <c r="G20" s="29"/>
      <c r="H20" s="30"/>
      <c r="I20" s="29"/>
      <c r="J20" s="31"/>
      <c r="K20" s="31"/>
      <c r="L20" s="30"/>
      <c r="M20" s="29"/>
      <c r="N20" s="30"/>
      <c r="O20" s="31"/>
      <c r="P20" s="32" t="str">
        <f aca="false">IF($J20="","",$J20-WEEKDAY($J20,3))</f>
        <v/>
      </c>
      <c r="Q20" s="32" t="str">
        <f aca="false">IF($J20="","",IF($K20="",$J20,$K20))</f>
        <v/>
      </c>
      <c r="R20" s="28" t="str">
        <f aca="false">IF($E20="","",IF(OR($N20&lt;&gt;"Concluída",$O20="",$J20=""),0,IF($O20&lt;=$J20,1,0)))</f>
        <v/>
      </c>
      <c r="S20" s="28" t="str">
        <f aca="false">IF($E20="","",IF(OR($N20&lt;&gt;"Concluída",$O20="",$Q20=""),0,IF($O20&lt;=$Q20,1,0)))</f>
        <v/>
      </c>
      <c r="T20" s="28" t="str">
        <f aca="false">IF(OR($J20="",$N20&lt;&gt;"Concluída",$O20=""),"",MAX(0,$O20-$J20))</f>
        <v/>
      </c>
      <c r="U20" s="33" t="str">
        <f aca="true">IF($E20="","",IF($N20="Cancelada","Cancelada",IF($N20="Concluída",IF($R20=1,"No prazo","Concluída com atraso"),IF($J20="","Na carteira",IF($J20&lt;TODAY(),"VENCIDA",IF($J20=TODAY(),"Hoje","Programada"))))))</f>
        <v/>
      </c>
    </row>
    <row r="21" customFormat="false" ht="15.75" hidden="false" customHeight="true" outlineLevel="0" collapsed="false">
      <c r="A21" s="28" t="str">
        <f aca="false">IF($E21="","",COUNTA($E$4:$E21))</f>
        <v/>
      </c>
      <c r="B21" s="34"/>
      <c r="C21" s="34"/>
      <c r="D21" s="34"/>
      <c r="E21" s="34"/>
      <c r="F21" s="35"/>
      <c r="G21" s="34"/>
      <c r="H21" s="35"/>
      <c r="I21" s="34"/>
      <c r="J21" s="36"/>
      <c r="K21" s="36"/>
      <c r="L21" s="35"/>
      <c r="M21" s="34"/>
      <c r="N21" s="35"/>
      <c r="O21" s="36"/>
      <c r="P21" s="32" t="str">
        <f aca="false">IF($J21="","",$J21-WEEKDAY($J21,3))</f>
        <v/>
      </c>
      <c r="Q21" s="32" t="str">
        <f aca="false">IF($J21="","",IF($K21="",$J21,$K21))</f>
        <v/>
      </c>
      <c r="R21" s="28" t="str">
        <f aca="false">IF($E21="","",IF(OR($N21&lt;&gt;"Concluída",$O21="",$J21=""),0,IF($O21&lt;=$J21,1,0)))</f>
        <v/>
      </c>
      <c r="S21" s="28" t="str">
        <f aca="false">IF($E21="","",IF(OR($N21&lt;&gt;"Concluída",$O21="",$Q21=""),0,IF($O21&lt;=$Q21,1,0)))</f>
        <v/>
      </c>
      <c r="T21" s="28" t="str">
        <f aca="false">IF(OR($J21="",$N21&lt;&gt;"Concluída",$O21=""),"",MAX(0,$O21-$J21))</f>
        <v/>
      </c>
      <c r="U21" s="33" t="str">
        <f aca="true">IF($E21="","",IF($N21="Cancelada","Cancelada",IF($N21="Concluída",IF($R21=1,"No prazo","Concluída com atraso"),IF($J21="","Na carteira",IF($J21&lt;TODAY(),"VENCIDA",IF($J21=TODAY(),"Hoje","Programada"))))))</f>
        <v/>
      </c>
    </row>
    <row r="22" customFormat="false" ht="15.75" hidden="false" customHeight="true" outlineLevel="0" collapsed="false">
      <c r="A22" s="28" t="str">
        <f aca="false">IF($E22="","",COUNTA($E$4:$E22))</f>
        <v/>
      </c>
      <c r="B22" s="29"/>
      <c r="C22" s="29"/>
      <c r="D22" s="29"/>
      <c r="E22" s="29"/>
      <c r="F22" s="30"/>
      <c r="G22" s="29"/>
      <c r="H22" s="30"/>
      <c r="I22" s="29"/>
      <c r="J22" s="31"/>
      <c r="K22" s="31"/>
      <c r="L22" s="30"/>
      <c r="M22" s="29"/>
      <c r="N22" s="30"/>
      <c r="O22" s="31"/>
      <c r="P22" s="32" t="str">
        <f aca="false">IF($J22="","",$J22-WEEKDAY($J22,3))</f>
        <v/>
      </c>
      <c r="Q22" s="32" t="str">
        <f aca="false">IF($J22="","",IF($K22="",$J22,$K22))</f>
        <v/>
      </c>
      <c r="R22" s="28" t="str">
        <f aca="false">IF($E22="","",IF(OR($N22&lt;&gt;"Concluída",$O22="",$J22=""),0,IF($O22&lt;=$J22,1,0)))</f>
        <v/>
      </c>
      <c r="S22" s="28" t="str">
        <f aca="false">IF($E22="","",IF(OR($N22&lt;&gt;"Concluída",$O22="",$Q22=""),0,IF($O22&lt;=$Q22,1,0)))</f>
        <v/>
      </c>
      <c r="T22" s="28" t="str">
        <f aca="false">IF(OR($J22="",$N22&lt;&gt;"Concluída",$O22=""),"",MAX(0,$O22-$J22))</f>
        <v/>
      </c>
      <c r="U22" s="33" t="str">
        <f aca="true">IF($E22="","",IF($N22="Cancelada","Cancelada",IF($N22="Concluída",IF($R22=1,"No prazo","Concluída com atraso"),IF($J22="","Na carteira",IF($J22&lt;TODAY(),"VENCIDA",IF($J22=TODAY(),"Hoje","Programada"))))))</f>
        <v/>
      </c>
    </row>
    <row r="23" customFormat="false" ht="15.75" hidden="false" customHeight="true" outlineLevel="0" collapsed="false">
      <c r="A23" s="28" t="str">
        <f aca="false">IF($E23="","",COUNTA($E$4:$E23))</f>
        <v/>
      </c>
      <c r="B23" s="34"/>
      <c r="C23" s="34"/>
      <c r="D23" s="34"/>
      <c r="E23" s="34"/>
      <c r="F23" s="35"/>
      <c r="G23" s="34"/>
      <c r="H23" s="35"/>
      <c r="I23" s="34"/>
      <c r="J23" s="36"/>
      <c r="K23" s="36"/>
      <c r="L23" s="35"/>
      <c r="M23" s="34"/>
      <c r="N23" s="35"/>
      <c r="O23" s="36"/>
      <c r="P23" s="32" t="str">
        <f aca="false">IF($J23="","",$J23-WEEKDAY($J23,3))</f>
        <v/>
      </c>
      <c r="Q23" s="32" t="str">
        <f aca="false">IF($J23="","",IF($K23="",$J23,$K23))</f>
        <v/>
      </c>
      <c r="R23" s="28" t="str">
        <f aca="false">IF($E23="","",IF(OR($N23&lt;&gt;"Concluída",$O23="",$J23=""),0,IF($O23&lt;=$J23,1,0)))</f>
        <v/>
      </c>
      <c r="S23" s="28" t="str">
        <f aca="false">IF($E23="","",IF(OR($N23&lt;&gt;"Concluída",$O23="",$Q23=""),0,IF($O23&lt;=$Q23,1,0)))</f>
        <v/>
      </c>
      <c r="T23" s="28" t="str">
        <f aca="false">IF(OR($J23="",$N23&lt;&gt;"Concluída",$O23=""),"",MAX(0,$O23-$J23))</f>
        <v/>
      </c>
      <c r="U23" s="33" t="str">
        <f aca="true">IF($E23="","",IF($N23="Cancelada","Cancelada",IF($N23="Concluída",IF($R23=1,"No prazo","Concluída com atraso"),IF($J23="","Na carteira",IF($J23&lt;TODAY(),"VENCIDA",IF($J23=TODAY(),"Hoje","Programada"))))))</f>
        <v/>
      </c>
    </row>
    <row r="24" customFormat="false" ht="15.75" hidden="false" customHeight="true" outlineLevel="0" collapsed="false">
      <c r="A24" s="28" t="str">
        <f aca="false">IF($E24="","",COUNTA($E$4:$E24))</f>
        <v/>
      </c>
      <c r="B24" s="29"/>
      <c r="C24" s="29"/>
      <c r="D24" s="29"/>
      <c r="E24" s="29"/>
      <c r="F24" s="30"/>
      <c r="G24" s="29"/>
      <c r="H24" s="30"/>
      <c r="I24" s="29"/>
      <c r="J24" s="31"/>
      <c r="K24" s="31"/>
      <c r="L24" s="30"/>
      <c r="M24" s="29"/>
      <c r="N24" s="30"/>
      <c r="O24" s="31"/>
      <c r="P24" s="32" t="str">
        <f aca="false">IF($J24="","",$J24-WEEKDAY($J24,3))</f>
        <v/>
      </c>
      <c r="Q24" s="32" t="str">
        <f aca="false">IF($J24="","",IF($K24="",$J24,$K24))</f>
        <v/>
      </c>
      <c r="R24" s="28" t="str">
        <f aca="false">IF($E24="","",IF(OR($N24&lt;&gt;"Concluída",$O24="",$J24=""),0,IF($O24&lt;=$J24,1,0)))</f>
        <v/>
      </c>
      <c r="S24" s="28" t="str">
        <f aca="false">IF($E24="","",IF(OR($N24&lt;&gt;"Concluída",$O24="",$Q24=""),0,IF($O24&lt;=$Q24,1,0)))</f>
        <v/>
      </c>
      <c r="T24" s="28" t="str">
        <f aca="false">IF(OR($J24="",$N24&lt;&gt;"Concluída",$O24=""),"",MAX(0,$O24-$J24))</f>
        <v/>
      </c>
      <c r="U24" s="33" t="str">
        <f aca="true">IF($E24="","",IF($N24="Cancelada","Cancelada",IF($N24="Concluída",IF($R24=1,"No prazo","Concluída com atraso"),IF($J24="","Na carteira",IF($J24&lt;TODAY(),"VENCIDA",IF($J24=TODAY(),"Hoje","Programada"))))))</f>
        <v/>
      </c>
    </row>
    <row r="25" customFormat="false" ht="15.75" hidden="false" customHeight="true" outlineLevel="0" collapsed="false">
      <c r="A25" s="28" t="str">
        <f aca="false">IF($E25="","",COUNTA($E$4:$E25))</f>
        <v/>
      </c>
      <c r="B25" s="34"/>
      <c r="C25" s="34"/>
      <c r="D25" s="34"/>
      <c r="E25" s="34"/>
      <c r="F25" s="35"/>
      <c r="G25" s="34"/>
      <c r="H25" s="35"/>
      <c r="I25" s="34"/>
      <c r="J25" s="36"/>
      <c r="K25" s="36"/>
      <c r="L25" s="35"/>
      <c r="M25" s="34"/>
      <c r="N25" s="35"/>
      <c r="O25" s="36"/>
      <c r="P25" s="32" t="str">
        <f aca="false">IF($J25="","",$J25-WEEKDAY($J25,3))</f>
        <v/>
      </c>
      <c r="Q25" s="32" t="str">
        <f aca="false">IF($J25="","",IF($K25="",$J25,$K25))</f>
        <v/>
      </c>
      <c r="R25" s="28" t="str">
        <f aca="false">IF($E25="","",IF(OR($N25&lt;&gt;"Concluída",$O25="",$J25=""),0,IF($O25&lt;=$J25,1,0)))</f>
        <v/>
      </c>
      <c r="S25" s="28" t="str">
        <f aca="false">IF($E25="","",IF(OR($N25&lt;&gt;"Concluída",$O25="",$Q25=""),0,IF($O25&lt;=$Q25,1,0)))</f>
        <v/>
      </c>
      <c r="T25" s="28" t="str">
        <f aca="false">IF(OR($J25="",$N25&lt;&gt;"Concluída",$O25=""),"",MAX(0,$O25-$J25))</f>
        <v/>
      </c>
      <c r="U25" s="33" t="str">
        <f aca="true">IF($E25="","",IF($N25="Cancelada","Cancelada",IF($N25="Concluída",IF($R25=1,"No prazo","Concluída com atraso"),IF($J25="","Na carteira",IF($J25&lt;TODAY(),"VENCIDA",IF($J25=TODAY(),"Hoje","Programada"))))))</f>
        <v/>
      </c>
    </row>
    <row r="26" customFormat="false" ht="15.75" hidden="false" customHeight="true" outlineLevel="0" collapsed="false">
      <c r="A26" s="28" t="str">
        <f aca="false">IF($E26="","",COUNTA($E$4:$E26))</f>
        <v/>
      </c>
      <c r="B26" s="29"/>
      <c r="C26" s="29"/>
      <c r="D26" s="29"/>
      <c r="E26" s="29"/>
      <c r="F26" s="30"/>
      <c r="G26" s="29"/>
      <c r="H26" s="30"/>
      <c r="I26" s="29"/>
      <c r="J26" s="31"/>
      <c r="K26" s="31"/>
      <c r="L26" s="30"/>
      <c r="M26" s="29"/>
      <c r="N26" s="30"/>
      <c r="O26" s="31"/>
      <c r="P26" s="32" t="str">
        <f aca="false">IF($J26="","",$J26-WEEKDAY($J26,3))</f>
        <v/>
      </c>
      <c r="Q26" s="32" t="str">
        <f aca="false">IF($J26="","",IF($K26="",$J26,$K26))</f>
        <v/>
      </c>
      <c r="R26" s="28" t="str">
        <f aca="false">IF($E26="","",IF(OR($N26&lt;&gt;"Concluída",$O26="",$J26=""),0,IF($O26&lt;=$J26,1,0)))</f>
        <v/>
      </c>
      <c r="S26" s="28" t="str">
        <f aca="false">IF($E26="","",IF(OR($N26&lt;&gt;"Concluída",$O26="",$Q26=""),0,IF($O26&lt;=$Q26,1,0)))</f>
        <v/>
      </c>
      <c r="T26" s="28" t="str">
        <f aca="false">IF(OR($J26="",$N26&lt;&gt;"Concluída",$O26=""),"",MAX(0,$O26-$J26))</f>
        <v/>
      </c>
      <c r="U26" s="33" t="str">
        <f aca="true">IF($E26="","",IF($N26="Cancelada","Cancelada",IF($N26="Concluída",IF($R26=1,"No prazo","Concluída com atraso"),IF($J26="","Na carteira",IF($J26&lt;TODAY(),"VENCIDA",IF($J26=TODAY(),"Hoje","Programada"))))))</f>
        <v/>
      </c>
    </row>
    <row r="27" customFormat="false" ht="15.75" hidden="false" customHeight="true" outlineLevel="0" collapsed="false">
      <c r="A27" s="28" t="str">
        <f aca="false">IF($E27="","",COUNTA($E$4:$E27))</f>
        <v/>
      </c>
      <c r="B27" s="34"/>
      <c r="C27" s="34"/>
      <c r="D27" s="34"/>
      <c r="E27" s="34"/>
      <c r="F27" s="35"/>
      <c r="G27" s="34"/>
      <c r="H27" s="35"/>
      <c r="I27" s="34"/>
      <c r="J27" s="36"/>
      <c r="K27" s="36"/>
      <c r="L27" s="35"/>
      <c r="M27" s="34"/>
      <c r="N27" s="35"/>
      <c r="O27" s="36"/>
      <c r="P27" s="32" t="str">
        <f aca="false">IF($J27="","",$J27-WEEKDAY($J27,3))</f>
        <v/>
      </c>
      <c r="Q27" s="32" t="str">
        <f aca="false">IF($J27="","",IF($K27="",$J27,$K27))</f>
        <v/>
      </c>
      <c r="R27" s="28" t="str">
        <f aca="false">IF($E27="","",IF(OR($N27&lt;&gt;"Concluída",$O27="",$J27=""),0,IF($O27&lt;=$J27,1,0)))</f>
        <v/>
      </c>
      <c r="S27" s="28" t="str">
        <f aca="false">IF($E27="","",IF(OR($N27&lt;&gt;"Concluída",$O27="",$Q27=""),0,IF($O27&lt;=$Q27,1,0)))</f>
        <v/>
      </c>
      <c r="T27" s="28" t="str">
        <f aca="false">IF(OR($J27="",$N27&lt;&gt;"Concluída",$O27=""),"",MAX(0,$O27-$J27))</f>
        <v/>
      </c>
      <c r="U27" s="33" t="str">
        <f aca="true">IF($E27="","",IF($N27="Cancelada","Cancelada",IF($N27="Concluída",IF($R27=1,"No prazo","Concluída com atraso"),IF($J27="","Na carteira",IF($J27&lt;TODAY(),"VENCIDA",IF($J27=TODAY(),"Hoje","Programada"))))))</f>
        <v/>
      </c>
    </row>
    <row r="28" customFormat="false" ht="15.75" hidden="false" customHeight="true" outlineLevel="0" collapsed="false">
      <c r="A28" s="28" t="str">
        <f aca="false">IF($E28="","",COUNTA($E$4:$E28))</f>
        <v/>
      </c>
      <c r="B28" s="29"/>
      <c r="C28" s="29"/>
      <c r="D28" s="29"/>
      <c r="E28" s="29"/>
      <c r="F28" s="30"/>
      <c r="G28" s="29"/>
      <c r="H28" s="30"/>
      <c r="I28" s="29"/>
      <c r="J28" s="31"/>
      <c r="K28" s="31"/>
      <c r="L28" s="30"/>
      <c r="M28" s="29"/>
      <c r="N28" s="30"/>
      <c r="O28" s="31"/>
      <c r="P28" s="32" t="str">
        <f aca="false">IF($J28="","",$J28-WEEKDAY($J28,3))</f>
        <v/>
      </c>
      <c r="Q28" s="32" t="str">
        <f aca="false">IF($J28="","",IF($K28="",$J28,$K28))</f>
        <v/>
      </c>
      <c r="R28" s="28" t="str">
        <f aca="false">IF($E28="","",IF(OR($N28&lt;&gt;"Concluída",$O28="",$J28=""),0,IF($O28&lt;=$J28,1,0)))</f>
        <v/>
      </c>
      <c r="S28" s="28" t="str">
        <f aca="false">IF($E28="","",IF(OR($N28&lt;&gt;"Concluída",$O28="",$Q28=""),0,IF($O28&lt;=$Q28,1,0)))</f>
        <v/>
      </c>
      <c r="T28" s="28" t="str">
        <f aca="false">IF(OR($J28="",$N28&lt;&gt;"Concluída",$O28=""),"",MAX(0,$O28-$J28))</f>
        <v/>
      </c>
      <c r="U28" s="33" t="str">
        <f aca="true">IF($E28="","",IF($N28="Cancelada","Cancelada",IF($N28="Concluída",IF($R28=1,"No prazo","Concluída com atraso"),IF($J28="","Na carteira",IF($J28&lt;TODAY(),"VENCIDA",IF($J28=TODAY(),"Hoje","Programada"))))))</f>
        <v/>
      </c>
    </row>
    <row r="29" customFormat="false" ht="15.75" hidden="false" customHeight="true" outlineLevel="0" collapsed="false">
      <c r="A29" s="28" t="str">
        <f aca="false">IF($E29="","",COUNTA($E$4:$E29))</f>
        <v/>
      </c>
      <c r="B29" s="34"/>
      <c r="C29" s="34"/>
      <c r="D29" s="34"/>
      <c r="E29" s="34"/>
      <c r="F29" s="35"/>
      <c r="G29" s="34"/>
      <c r="H29" s="35"/>
      <c r="I29" s="34"/>
      <c r="J29" s="36"/>
      <c r="K29" s="36"/>
      <c r="L29" s="35"/>
      <c r="M29" s="34"/>
      <c r="N29" s="35"/>
      <c r="O29" s="36"/>
      <c r="P29" s="32" t="str">
        <f aca="false">IF($J29="","",$J29-WEEKDAY($J29,3))</f>
        <v/>
      </c>
      <c r="Q29" s="32" t="str">
        <f aca="false">IF($J29="","",IF($K29="",$J29,$K29))</f>
        <v/>
      </c>
      <c r="R29" s="28" t="str">
        <f aca="false">IF($E29="","",IF(OR($N29&lt;&gt;"Concluída",$O29="",$J29=""),0,IF($O29&lt;=$J29,1,0)))</f>
        <v/>
      </c>
      <c r="S29" s="28" t="str">
        <f aca="false">IF($E29="","",IF(OR($N29&lt;&gt;"Concluída",$O29="",$Q29=""),0,IF($O29&lt;=$Q29,1,0)))</f>
        <v/>
      </c>
      <c r="T29" s="28" t="str">
        <f aca="false">IF(OR($J29="",$N29&lt;&gt;"Concluída",$O29=""),"",MAX(0,$O29-$J29))</f>
        <v/>
      </c>
      <c r="U29" s="33" t="str">
        <f aca="true">IF($E29="","",IF($N29="Cancelada","Cancelada",IF($N29="Concluída",IF($R29=1,"No prazo","Concluída com atraso"),IF($J29="","Na carteira",IF($J29&lt;TODAY(),"VENCIDA",IF($J29=TODAY(),"Hoje","Programada"))))))</f>
        <v/>
      </c>
    </row>
    <row r="30" customFormat="false" ht="15.75" hidden="false" customHeight="true" outlineLevel="0" collapsed="false">
      <c r="A30" s="28" t="str">
        <f aca="false">IF($E30="","",COUNTA($E$4:$E30))</f>
        <v/>
      </c>
      <c r="B30" s="29"/>
      <c r="C30" s="29"/>
      <c r="D30" s="29"/>
      <c r="E30" s="29"/>
      <c r="F30" s="30"/>
      <c r="G30" s="29"/>
      <c r="H30" s="30"/>
      <c r="I30" s="29"/>
      <c r="J30" s="31"/>
      <c r="K30" s="31"/>
      <c r="L30" s="30"/>
      <c r="M30" s="29"/>
      <c r="N30" s="30"/>
      <c r="O30" s="31"/>
      <c r="P30" s="32" t="str">
        <f aca="false">IF($J30="","",$J30-WEEKDAY($J30,3))</f>
        <v/>
      </c>
      <c r="Q30" s="32" t="str">
        <f aca="false">IF($J30="","",IF($K30="",$J30,$K30))</f>
        <v/>
      </c>
      <c r="R30" s="28" t="str">
        <f aca="false">IF($E30="","",IF(OR($N30&lt;&gt;"Concluída",$O30="",$J30=""),0,IF($O30&lt;=$J30,1,0)))</f>
        <v/>
      </c>
      <c r="S30" s="28" t="str">
        <f aca="false">IF($E30="","",IF(OR($N30&lt;&gt;"Concluída",$O30="",$Q30=""),0,IF($O30&lt;=$Q30,1,0)))</f>
        <v/>
      </c>
      <c r="T30" s="28" t="str">
        <f aca="false">IF(OR($J30="",$N30&lt;&gt;"Concluída",$O30=""),"",MAX(0,$O30-$J30))</f>
        <v/>
      </c>
      <c r="U30" s="33" t="str">
        <f aca="true">IF($E30="","",IF($N30="Cancelada","Cancelada",IF($N30="Concluída",IF($R30=1,"No prazo","Concluída com atraso"),IF($J30="","Na carteira",IF($J30&lt;TODAY(),"VENCIDA",IF($J30=TODAY(),"Hoje","Programada"))))))</f>
        <v/>
      </c>
    </row>
    <row r="31" customFormat="false" ht="15.75" hidden="false" customHeight="true" outlineLevel="0" collapsed="false">
      <c r="A31" s="28" t="str">
        <f aca="false">IF($E31="","",COUNTA($E$4:$E31))</f>
        <v/>
      </c>
      <c r="B31" s="34"/>
      <c r="C31" s="34"/>
      <c r="D31" s="34"/>
      <c r="E31" s="34"/>
      <c r="F31" s="35"/>
      <c r="G31" s="34"/>
      <c r="H31" s="35"/>
      <c r="I31" s="34"/>
      <c r="J31" s="36"/>
      <c r="K31" s="36"/>
      <c r="L31" s="35"/>
      <c r="M31" s="34"/>
      <c r="N31" s="35"/>
      <c r="O31" s="36"/>
      <c r="P31" s="32" t="str">
        <f aca="false">IF($J31="","",$J31-WEEKDAY($J31,3))</f>
        <v/>
      </c>
      <c r="Q31" s="32" t="str">
        <f aca="false">IF($J31="","",IF($K31="",$J31,$K31))</f>
        <v/>
      </c>
      <c r="R31" s="28" t="str">
        <f aca="false">IF($E31="","",IF(OR($N31&lt;&gt;"Concluída",$O31="",$J31=""),0,IF($O31&lt;=$J31,1,0)))</f>
        <v/>
      </c>
      <c r="S31" s="28" t="str">
        <f aca="false">IF($E31="","",IF(OR($N31&lt;&gt;"Concluída",$O31="",$Q31=""),0,IF($O31&lt;=$Q31,1,0)))</f>
        <v/>
      </c>
      <c r="T31" s="28" t="str">
        <f aca="false">IF(OR($J31="",$N31&lt;&gt;"Concluída",$O31=""),"",MAX(0,$O31-$J31))</f>
        <v/>
      </c>
      <c r="U31" s="33" t="str">
        <f aca="true">IF($E31="","",IF($N31="Cancelada","Cancelada",IF($N31="Concluída",IF($R31=1,"No prazo","Concluída com atraso"),IF($J31="","Na carteira",IF($J31&lt;TODAY(),"VENCIDA",IF($J31=TODAY(),"Hoje","Programada"))))))</f>
        <v/>
      </c>
    </row>
    <row r="32" customFormat="false" ht="15.75" hidden="false" customHeight="true" outlineLevel="0" collapsed="false">
      <c r="A32" s="28" t="str">
        <f aca="false">IF($E32="","",COUNTA($E$4:$E32))</f>
        <v/>
      </c>
      <c r="B32" s="29"/>
      <c r="C32" s="29"/>
      <c r="D32" s="29"/>
      <c r="E32" s="29"/>
      <c r="F32" s="30"/>
      <c r="G32" s="29"/>
      <c r="H32" s="30"/>
      <c r="I32" s="29"/>
      <c r="J32" s="31"/>
      <c r="K32" s="31"/>
      <c r="L32" s="30"/>
      <c r="M32" s="29"/>
      <c r="N32" s="30"/>
      <c r="O32" s="31"/>
      <c r="P32" s="32" t="str">
        <f aca="false">IF($J32="","",$J32-WEEKDAY($J32,3))</f>
        <v/>
      </c>
      <c r="Q32" s="32" t="str">
        <f aca="false">IF($J32="","",IF($K32="",$J32,$K32))</f>
        <v/>
      </c>
      <c r="R32" s="28" t="str">
        <f aca="false">IF($E32="","",IF(OR($N32&lt;&gt;"Concluída",$O32="",$J32=""),0,IF($O32&lt;=$J32,1,0)))</f>
        <v/>
      </c>
      <c r="S32" s="28" t="str">
        <f aca="false">IF($E32="","",IF(OR($N32&lt;&gt;"Concluída",$O32="",$Q32=""),0,IF($O32&lt;=$Q32,1,0)))</f>
        <v/>
      </c>
      <c r="T32" s="28" t="str">
        <f aca="false">IF(OR($J32="",$N32&lt;&gt;"Concluída",$O32=""),"",MAX(0,$O32-$J32))</f>
        <v/>
      </c>
      <c r="U32" s="33" t="str">
        <f aca="true">IF($E32="","",IF($N32="Cancelada","Cancelada",IF($N32="Concluída",IF($R32=1,"No prazo","Concluída com atraso"),IF($J32="","Na carteira",IF($J32&lt;TODAY(),"VENCIDA",IF($J32=TODAY(),"Hoje","Programada"))))))</f>
        <v/>
      </c>
    </row>
    <row r="33" customFormat="false" ht="15.75" hidden="false" customHeight="true" outlineLevel="0" collapsed="false">
      <c r="A33" s="28" t="str">
        <f aca="false">IF($E33="","",COUNTA($E$4:$E33))</f>
        <v/>
      </c>
      <c r="B33" s="34"/>
      <c r="C33" s="34"/>
      <c r="D33" s="34"/>
      <c r="E33" s="34"/>
      <c r="F33" s="35"/>
      <c r="G33" s="34"/>
      <c r="H33" s="35"/>
      <c r="I33" s="34"/>
      <c r="J33" s="36"/>
      <c r="K33" s="36"/>
      <c r="L33" s="35"/>
      <c r="M33" s="34"/>
      <c r="N33" s="35"/>
      <c r="O33" s="36"/>
      <c r="P33" s="32" t="str">
        <f aca="false">IF($J33="","",$J33-WEEKDAY($J33,3))</f>
        <v/>
      </c>
      <c r="Q33" s="32" t="str">
        <f aca="false">IF($J33="","",IF($K33="",$J33,$K33))</f>
        <v/>
      </c>
      <c r="R33" s="28" t="str">
        <f aca="false">IF($E33="","",IF(OR($N33&lt;&gt;"Concluída",$O33="",$J33=""),0,IF($O33&lt;=$J33,1,0)))</f>
        <v/>
      </c>
      <c r="S33" s="28" t="str">
        <f aca="false">IF($E33="","",IF(OR($N33&lt;&gt;"Concluída",$O33="",$Q33=""),0,IF($O33&lt;=$Q33,1,0)))</f>
        <v/>
      </c>
      <c r="T33" s="28" t="str">
        <f aca="false">IF(OR($J33="",$N33&lt;&gt;"Concluída",$O33=""),"",MAX(0,$O33-$J33))</f>
        <v/>
      </c>
      <c r="U33" s="33" t="str">
        <f aca="true">IF($E33="","",IF($N33="Cancelada","Cancelada",IF($N33="Concluída",IF($R33=1,"No prazo","Concluída com atraso"),IF($J33="","Na carteira",IF($J33&lt;TODAY(),"VENCIDA",IF($J33=TODAY(),"Hoje","Programada"))))))</f>
        <v/>
      </c>
    </row>
    <row r="34" customFormat="false" ht="15.75" hidden="false" customHeight="true" outlineLevel="0" collapsed="false">
      <c r="A34" s="28" t="str">
        <f aca="false">IF($E34="","",COUNTA($E$4:$E34))</f>
        <v/>
      </c>
      <c r="B34" s="29"/>
      <c r="C34" s="29"/>
      <c r="D34" s="29"/>
      <c r="E34" s="29"/>
      <c r="F34" s="30"/>
      <c r="G34" s="29"/>
      <c r="H34" s="30"/>
      <c r="I34" s="29"/>
      <c r="J34" s="31"/>
      <c r="K34" s="31"/>
      <c r="L34" s="30"/>
      <c r="M34" s="29"/>
      <c r="N34" s="30"/>
      <c r="O34" s="31"/>
      <c r="P34" s="32" t="str">
        <f aca="false">IF($J34="","",$J34-WEEKDAY($J34,3))</f>
        <v/>
      </c>
      <c r="Q34" s="32" t="str">
        <f aca="false">IF($J34="","",IF($K34="",$J34,$K34))</f>
        <v/>
      </c>
      <c r="R34" s="28" t="str">
        <f aca="false">IF($E34="","",IF(OR($N34&lt;&gt;"Concluída",$O34="",$J34=""),0,IF($O34&lt;=$J34,1,0)))</f>
        <v/>
      </c>
      <c r="S34" s="28" t="str">
        <f aca="false">IF($E34="","",IF(OR($N34&lt;&gt;"Concluída",$O34="",$Q34=""),0,IF($O34&lt;=$Q34,1,0)))</f>
        <v/>
      </c>
      <c r="T34" s="28" t="str">
        <f aca="false">IF(OR($J34="",$N34&lt;&gt;"Concluída",$O34=""),"",MAX(0,$O34-$J34))</f>
        <v/>
      </c>
      <c r="U34" s="33" t="str">
        <f aca="true">IF($E34="","",IF($N34="Cancelada","Cancelada",IF($N34="Concluída",IF($R34=1,"No prazo","Concluída com atraso"),IF($J34="","Na carteira",IF($J34&lt;TODAY(),"VENCIDA",IF($J34=TODAY(),"Hoje","Programada"))))))</f>
        <v/>
      </c>
    </row>
    <row r="35" customFormat="false" ht="15.75" hidden="false" customHeight="true" outlineLevel="0" collapsed="false">
      <c r="A35" s="28" t="str">
        <f aca="false">IF($E35="","",COUNTA($E$4:$E35))</f>
        <v/>
      </c>
      <c r="B35" s="34"/>
      <c r="C35" s="34"/>
      <c r="D35" s="34"/>
      <c r="E35" s="34"/>
      <c r="F35" s="35"/>
      <c r="G35" s="34"/>
      <c r="H35" s="35"/>
      <c r="I35" s="34"/>
      <c r="J35" s="36"/>
      <c r="K35" s="36"/>
      <c r="L35" s="35"/>
      <c r="M35" s="34"/>
      <c r="N35" s="35"/>
      <c r="O35" s="36"/>
      <c r="P35" s="32" t="str">
        <f aca="false">IF($J35="","",$J35-WEEKDAY($J35,3))</f>
        <v/>
      </c>
      <c r="Q35" s="32" t="str">
        <f aca="false">IF($J35="","",IF($K35="",$J35,$K35))</f>
        <v/>
      </c>
      <c r="R35" s="28" t="str">
        <f aca="false">IF($E35="","",IF(OR($N35&lt;&gt;"Concluída",$O35="",$J35=""),0,IF($O35&lt;=$J35,1,0)))</f>
        <v/>
      </c>
      <c r="S35" s="28" t="str">
        <f aca="false">IF($E35="","",IF(OR($N35&lt;&gt;"Concluída",$O35="",$Q35=""),0,IF($O35&lt;=$Q35,1,0)))</f>
        <v/>
      </c>
      <c r="T35" s="28" t="str">
        <f aca="false">IF(OR($J35="",$N35&lt;&gt;"Concluída",$O35=""),"",MAX(0,$O35-$J35))</f>
        <v/>
      </c>
      <c r="U35" s="33" t="str">
        <f aca="true">IF($E35="","",IF($N35="Cancelada","Cancelada",IF($N35="Concluída",IF($R35=1,"No prazo","Concluída com atraso"),IF($J35="","Na carteira",IF($J35&lt;TODAY(),"VENCIDA",IF($J35=TODAY(),"Hoje","Programada"))))))</f>
        <v/>
      </c>
    </row>
    <row r="36" customFormat="false" ht="15.75" hidden="false" customHeight="true" outlineLevel="0" collapsed="false">
      <c r="A36" s="28" t="str">
        <f aca="false">IF($E36="","",COUNTA($E$4:$E36))</f>
        <v/>
      </c>
      <c r="B36" s="29"/>
      <c r="C36" s="29"/>
      <c r="D36" s="29"/>
      <c r="E36" s="29"/>
      <c r="F36" s="30"/>
      <c r="G36" s="29"/>
      <c r="H36" s="30"/>
      <c r="I36" s="29"/>
      <c r="J36" s="31"/>
      <c r="K36" s="31"/>
      <c r="L36" s="30"/>
      <c r="M36" s="29"/>
      <c r="N36" s="30"/>
      <c r="O36" s="31"/>
      <c r="P36" s="32" t="str">
        <f aca="false">IF($J36="","",$J36-WEEKDAY($J36,3))</f>
        <v/>
      </c>
      <c r="Q36" s="32" t="str">
        <f aca="false">IF($J36="","",IF($K36="",$J36,$K36))</f>
        <v/>
      </c>
      <c r="R36" s="28" t="str">
        <f aca="false">IF($E36="","",IF(OR($N36&lt;&gt;"Concluída",$O36="",$J36=""),0,IF($O36&lt;=$J36,1,0)))</f>
        <v/>
      </c>
      <c r="S36" s="28" t="str">
        <f aca="false">IF($E36="","",IF(OR($N36&lt;&gt;"Concluída",$O36="",$Q36=""),0,IF($O36&lt;=$Q36,1,0)))</f>
        <v/>
      </c>
      <c r="T36" s="28" t="str">
        <f aca="false">IF(OR($J36="",$N36&lt;&gt;"Concluída",$O36=""),"",MAX(0,$O36-$J36))</f>
        <v/>
      </c>
      <c r="U36" s="33" t="str">
        <f aca="true">IF($E36="","",IF($N36="Cancelada","Cancelada",IF($N36="Concluída",IF($R36=1,"No prazo","Concluída com atraso"),IF($J36="","Na carteira",IF($J36&lt;TODAY(),"VENCIDA",IF($J36=TODAY(),"Hoje","Programada"))))))</f>
        <v/>
      </c>
    </row>
    <row r="37" customFormat="false" ht="15.75" hidden="false" customHeight="true" outlineLevel="0" collapsed="false">
      <c r="A37" s="28" t="str">
        <f aca="false">IF($E37="","",COUNTA($E$4:$E37))</f>
        <v/>
      </c>
      <c r="B37" s="34"/>
      <c r="C37" s="34"/>
      <c r="D37" s="34"/>
      <c r="E37" s="34"/>
      <c r="F37" s="35"/>
      <c r="G37" s="34"/>
      <c r="H37" s="35"/>
      <c r="I37" s="34"/>
      <c r="J37" s="36"/>
      <c r="K37" s="36"/>
      <c r="L37" s="35"/>
      <c r="M37" s="34"/>
      <c r="N37" s="35"/>
      <c r="O37" s="36"/>
      <c r="P37" s="32" t="str">
        <f aca="false">IF($J37="","",$J37-WEEKDAY($J37,3))</f>
        <v/>
      </c>
      <c r="Q37" s="32" t="str">
        <f aca="false">IF($J37="","",IF($K37="",$J37,$K37))</f>
        <v/>
      </c>
      <c r="R37" s="28" t="str">
        <f aca="false">IF($E37="","",IF(OR($N37&lt;&gt;"Concluída",$O37="",$J37=""),0,IF($O37&lt;=$J37,1,0)))</f>
        <v/>
      </c>
      <c r="S37" s="28" t="str">
        <f aca="false">IF($E37="","",IF(OR($N37&lt;&gt;"Concluída",$O37="",$Q37=""),0,IF($O37&lt;=$Q37,1,0)))</f>
        <v/>
      </c>
      <c r="T37" s="28" t="str">
        <f aca="false">IF(OR($J37="",$N37&lt;&gt;"Concluída",$O37=""),"",MAX(0,$O37-$J37))</f>
        <v/>
      </c>
      <c r="U37" s="33" t="str">
        <f aca="true">IF($E37="","",IF($N37="Cancelada","Cancelada",IF($N37="Concluída",IF($R37=1,"No prazo","Concluída com atraso"),IF($J37="","Na carteira",IF($J37&lt;TODAY(),"VENCIDA",IF($J37=TODAY(),"Hoje","Programada"))))))</f>
        <v/>
      </c>
    </row>
    <row r="38" customFormat="false" ht="15.75" hidden="false" customHeight="true" outlineLevel="0" collapsed="false">
      <c r="A38" s="28" t="str">
        <f aca="false">IF($E38="","",COUNTA($E$4:$E38))</f>
        <v/>
      </c>
      <c r="B38" s="29"/>
      <c r="C38" s="29"/>
      <c r="D38" s="29"/>
      <c r="E38" s="29"/>
      <c r="F38" s="30"/>
      <c r="G38" s="29"/>
      <c r="H38" s="30"/>
      <c r="I38" s="29"/>
      <c r="J38" s="31"/>
      <c r="K38" s="31"/>
      <c r="L38" s="30"/>
      <c r="M38" s="29"/>
      <c r="N38" s="30"/>
      <c r="O38" s="31"/>
      <c r="P38" s="32" t="str">
        <f aca="false">IF($J38="","",$J38-WEEKDAY($J38,3))</f>
        <v/>
      </c>
      <c r="Q38" s="32" t="str">
        <f aca="false">IF($J38="","",IF($K38="",$J38,$K38))</f>
        <v/>
      </c>
      <c r="R38" s="28" t="str">
        <f aca="false">IF($E38="","",IF(OR($N38&lt;&gt;"Concluída",$O38="",$J38=""),0,IF($O38&lt;=$J38,1,0)))</f>
        <v/>
      </c>
      <c r="S38" s="28" t="str">
        <f aca="false">IF($E38="","",IF(OR($N38&lt;&gt;"Concluída",$O38="",$Q38=""),0,IF($O38&lt;=$Q38,1,0)))</f>
        <v/>
      </c>
      <c r="T38" s="28" t="str">
        <f aca="false">IF(OR($J38="",$N38&lt;&gt;"Concluída",$O38=""),"",MAX(0,$O38-$J38))</f>
        <v/>
      </c>
      <c r="U38" s="33" t="str">
        <f aca="true">IF($E38="","",IF($N38="Cancelada","Cancelada",IF($N38="Concluída",IF($R38=1,"No prazo","Concluída com atraso"),IF($J38="","Na carteira",IF($J38&lt;TODAY(),"VENCIDA",IF($J38=TODAY(),"Hoje","Programada"))))))</f>
        <v/>
      </c>
    </row>
    <row r="39" customFormat="false" ht="15.75" hidden="false" customHeight="true" outlineLevel="0" collapsed="false">
      <c r="A39" s="28" t="str">
        <f aca="false">IF($E39="","",COUNTA($E$4:$E39))</f>
        <v/>
      </c>
      <c r="B39" s="34"/>
      <c r="C39" s="34"/>
      <c r="D39" s="34"/>
      <c r="E39" s="34"/>
      <c r="F39" s="35"/>
      <c r="G39" s="34"/>
      <c r="H39" s="35"/>
      <c r="I39" s="34"/>
      <c r="J39" s="36"/>
      <c r="K39" s="36"/>
      <c r="L39" s="35"/>
      <c r="M39" s="34"/>
      <c r="N39" s="35"/>
      <c r="O39" s="36"/>
      <c r="P39" s="32" t="str">
        <f aca="false">IF($J39="","",$J39-WEEKDAY($J39,3))</f>
        <v/>
      </c>
      <c r="Q39" s="32" t="str">
        <f aca="false">IF($J39="","",IF($K39="",$J39,$K39))</f>
        <v/>
      </c>
      <c r="R39" s="28" t="str">
        <f aca="false">IF($E39="","",IF(OR($N39&lt;&gt;"Concluída",$O39="",$J39=""),0,IF($O39&lt;=$J39,1,0)))</f>
        <v/>
      </c>
      <c r="S39" s="28" t="str">
        <f aca="false">IF($E39="","",IF(OR($N39&lt;&gt;"Concluída",$O39="",$Q39=""),0,IF($O39&lt;=$Q39,1,0)))</f>
        <v/>
      </c>
      <c r="T39" s="28" t="str">
        <f aca="false">IF(OR($J39="",$N39&lt;&gt;"Concluída",$O39=""),"",MAX(0,$O39-$J39))</f>
        <v/>
      </c>
      <c r="U39" s="33" t="str">
        <f aca="true">IF($E39="","",IF($N39="Cancelada","Cancelada",IF($N39="Concluída",IF($R39=1,"No prazo","Concluída com atraso"),IF($J39="","Na carteira",IF($J39&lt;TODAY(),"VENCIDA",IF($J39=TODAY(),"Hoje","Programada"))))))</f>
        <v/>
      </c>
    </row>
    <row r="40" customFormat="false" ht="15.75" hidden="false" customHeight="true" outlineLevel="0" collapsed="false">
      <c r="A40" s="28" t="str">
        <f aca="false">IF($E40="","",COUNTA($E$4:$E40))</f>
        <v/>
      </c>
      <c r="B40" s="29"/>
      <c r="C40" s="29"/>
      <c r="D40" s="29"/>
      <c r="E40" s="29"/>
      <c r="F40" s="30"/>
      <c r="G40" s="29"/>
      <c r="H40" s="30"/>
      <c r="I40" s="29"/>
      <c r="J40" s="31"/>
      <c r="K40" s="31"/>
      <c r="L40" s="30"/>
      <c r="M40" s="29"/>
      <c r="N40" s="30"/>
      <c r="O40" s="31"/>
      <c r="P40" s="32" t="str">
        <f aca="false">IF($J40="","",$J40-WEEKDAY($J40,3))</f>
        <v/>
      </c>
      <c r="Q40" s="32" t="str">
        <f aca="false">IF($J40="","",IF($K40="",$J40,$K40))</f>
        <v/>
      </c>
      <c r="R40" s="28" t="str">
        <f aca="false">IF($E40="","",IF(OR($N40&lt;&gt;"Concluída",$O40="",$J40=""),0,IF($O40&lt;=$J40,1,0)))</f>
        <v/>
      </c>
      <c r="S40" s="28" t="str">
        <f aca="false">IF($E40="","",IF(OR($N40&lt;&gt;"Concluída",$O40="",$Q40=""),0,IF($O40&lt;=$Q40,1,0)))</f>
        <v/>
      </c>
      <c r="T40" s="28" t="str">
        <f aca="false">IF(OR($J40="",$N40&lt;&gt;"Concluída",$O40=""),"",MAX(0,$O40-$J40))</f>
        <v/>
      </c>
      <c r="U40" s="33" t="str">
        <f aca="true">IF($E40="","",IF($N40="Cancelada","Cancelada",IF($N40="Concluída",IF($R40=1,"No prazo","Concluída com atraso"),IF($J40="","Na carteira",IF($J40&lt;TODAY(),"VENCIDA",IF($J40=TODAY(),"Hoje","Programada"))))))</f>
        <v/>
      </c>
    </row>
    <row r="41" customFormat="false" ht="15.75" hidden="false" customHeight="true" outlineLevel="0" collapsed="false">
      <c r="A41" s="28" t="str">
        <f aca="false">IF($E41="","",COUNTA($E$4:$E41))</f>
        <v/>
      </c>
      <c r="B41" s="34"/>
      <c r="C41" s="34"/>
      <c r="D41" s="34"/>
      <c r="E41" s="34"/>
      <c r="F41" s="35"/>
      <c r="G41" s="34"/>
      <c r="H41" s="35"/>
      <c r="I41" s="34"/>
      <c r="J41" s="36"/>
      <c r="K41" s="36"/>
      <c r="L41" s="35"/>
      <c r="M41" s="34"/>
      <c r="N41" s="35"/>
      <c r="O41" s="36"/>
      <c r="P41" s="32" t="str">
        <f aca="false">IF($J41="","",$J41-WEEKDAY($J41,3))</f>
        <v/>
      </c>
      <c r="Q41" s="32" t="str">
        <f aca="false">IF($J41="","",IF($K41="",$J41,$K41))</f>
        <v/>
      </c>
      <c r="R41" s="28" t="str">
        <f aca="false">IF($E41="","",IF(OR($N41&lt;&gt;"Concluída",$O41="",$J41=""),0,IF($O41&lt;=$J41,1,0)))</f>
        <v/>
      </c>
      <c r="S41" s="28" t="str">
        <f aca="false">IF($E41="","",IF(OR($N41&lt;&gt;"Concluída",$O41="",$Q41=""),0,IF($O41&lt;=$Q41,1,0)))</f>
        <v/>
      </c>
      <c r="T41" s="28" t="str">
        <f aca="false">IF(OR($J41="",$N41&lt;&gt;"Concluída",$O41=""),"",MAX(0,$O41-$J41))</f>
        <v/>
      </c>
      <c r="U41" s="33" t="str">
        <f aca="true">IF($E41="","",IF($N41="Cancelada","Cancelada",IF($N41="Concluída",IF($R41=1,"No prazo","Concluída com atraso"),IF($J41="","Na carteira",IF($J41&lt;TODAY(),"VENCIDA",IF($J41=TODAY(),"Hoje","Programada"))))))</f>
        <v/>
      </c>
    </row>
    <row r="42" customFormat="false" ht="15.75" hidden="false" customHeight="true" outlineLevel="0" collapsed="false">
      <c r="A42" s="28" t="str">
        <f aca="false">IF($E42="","",COUNTA($E$4:$E42))</f>
        <v/>
      </c>
      <c r="B42" s="29"/>
      <c r="C42" s="29"/>
      <c r="D42" s="29"/>
      <c r="E42" s="29"/>
      <c r="F42" s="30"/>
      <c r="G42" s="29"/>
      <c r="H42" s="30"/>
      <c r="I42" s="29"/>
      <c r="J42" s="31"/>
      <c r="K42" s="31"/>
      <c r="L42" s="30"/>
      <c r="M42" s="29"/>
      <c r="N42" s="30"/>
      <c r="O42" s="31"/>
      <c r="P42" s="32" t="str">
        <f aca="false">IF($J42="","",$J42-WEEKDAY($J42,3))</f>
        <v/>
      </c>
      <c r="Q42" s="32" t="str">
        <f aca="false">IF($J42="","",IF($K42="",$J42,$K42))</f>
        <v/>
      </c>
      <c r="R42" s="28" t="str">
        <f aca="false">IF($E42="","",IF(OR($N42&lt;&gt;"Concluída",$O42="",$J42=""),0,IF($O42&lt;=$J42,1,0)))</f>
        <v/>
      </c>
      <c r="S42" s="28" t="str">
        <f aca="false">IF($E42="","",IF(OR($N42&lt;&gt;"Concluída",$O42="",$Q42=""),0,IF($O42&lt;=$Q42,1,0)))</f>
        <v/>
      </c>
      <c r="T42" s="28" t="str">
        <f aca="false">IF(OR($J42="",$N42&lt;&gt;"Concluída",$O42=""),"",MAX(0,$O42-$J42))</f>
        <v/>
      </c>
      <c r="U42" s="33" t="str">
        <f aca="true">IF($E42="","",IF($N42="Cancelada","Cancelada",IF($N42="Concluída",IF($R42=1,"No prazo","Concluída com atraso"),IF($J42="","Na carteira",IF($J42&lt;TODAY(),"VENCIDA",IF($J42=TODAY(),"Hoje","Programada"))))))</f>
        <v/>
      </c>
    </row>
    <row r="43" customFormat="false" ht="15.75" hidden="false" customHeight="true" outlineLevel="0" collapsed="false">
      <c r="A43" s="28" t="str">
        <f aca="false">IF($E43="","",COUNTA($E$4:$E43))</f>
        <v/>
      </c>
      <c r="B43" s="34"/>
      <c r="C43" s="34"/>
      <c r="D43" s="34"/>
      <c r="E43" s="34"/>
      <c r="F43" s="35"/>
      <c r="G43" s="34"/>
      <c r="H43" s="35"/>
      <c r="I43" s="34"/>
      <c r="J43" s="36"/>
      <c r="K43" s="36"/>
      <c r="L43" s="35"/>
      <c r="M43" s="34"/>
      <c r="N43" s="35"/>
      <c r="O43" s="36"/>
      <c r="P43" s="32" t="str">
        <f aca="false">IF($J43="","",$J43-WEEKDAY($J43,3))</f>
        <v/>
      </c>
      <c r="Q43" s="32" t="str">
        <f aca="false">IF($J43="","",IF($K43="",$J43,$K43))</f>
        <v/>
      </c>
      <c r="R43" s="28" t="str">
        <f aca="false">IF($E43="","",IF(OR($N43&lt;&gt;"Concluída",$O43="",$J43=""),0,IF($O43&lt;=$J43,1,0)))</f>
        <v/>
      </c>
      <c r="S43" s="28" t="str">
        <f aca="false">IF($E43="","",IF(OR($N43&lt;&gt;"Concluída",$O43="",$Q43=""),0,IF($O43&lt;=$Q43,1,0)))</f>
        <v/>
      </c>
      <c r="T43" s="28" t="str">
        <f aca="false">IF(OR($J43="",$N43&lt;&gt;"Concluída",$O43=""),"",MAX(0,$O43-$J43))</f>
        <v/>
      </c>
      <c r="U43" s="33" t="str">
        <f aca="true">IF($E43="","",IF($N43="Cancelada","Cancelada",IF($N43="Concluída",IF($R43=1,"No prazo","Concluída com atraso"),IF($J43="","Na carteira",IF($J43&lt;TODAY(),"VENCIDA",IF($J43=TODAY(),"Hoje","Programada"))))))</f>
        <v/>
      </c>
    </row>
    <row r="44" customFormat="false" ht="15.75" hidden="false" customHeight="true" outlineLevel="0" collapsed="false">
      <c r="A44" s="28" t="str">
        <f aca="false">IF($E44="","",COUNTA($E$4:$E44))</f>
        <v/>
      </c>
      <c r="B44" s="29"/>
      <c r="C44" s="29"/>
      <c r="D44" s="29"/>
      <c r="E44" s="29"/>
      <c r="F44" s="30"/>
      <c r="G44" s="29"/>
      <c r="H44" s="30"/>
      <c r="I44" s="29"/>
      <c r="J44" s="31"/>
      <c r="K44" s="31"/>
      <c r="L44" s="30"/>
      <c r="M44" s="29"/>
      <c r="N44" s="30"/>
      <c r="O44" s="31"/>
      <c r="P44" s="32" t="str">
        <f aca="false">IF($J44="","",$J44-WEEKDAY($J44,3))</f>
        <v/>
      </c>
      <c r="Q44" s="32" t="str">
        <f aca="false">IF($J44="","",IF($K44="",$J44,$K44))</f>
        <v/>
      </c>
      <c r="R44" s="28" t="str">
        <f aca="false">IF($E44="","",IF(OR($N44&lt;&gt;"Concluída",$O44="",$J44=""),0,IF($O44&lt;=$J44,1,0)))</f>
        <v/>
      </c>
      <c r="S44" s="28" t="str">
        <f aca="false">IF($E44="","",IF(OR($N44&lt;&gt;"Concluída",$O44="",$Q44=""),0,IF($O44&lt;=$Q44,1,0)))</f>
        <v/>
      </c>
      <c r="T44" s="28" t="str">
        <f aca="false">IF(OR($J44="",$N44&lt;&gt;"Concluída",$O44=""),"",MAX(0,$O44-$J44))</f>
        <v/>
      </c>
      <c r="U44" s="33" t="str">
        <f aca="true">IF($E44="","",IF($N44="Cancelada","Cancelada",IF($N44="Concluída",IF($R44=1,"No prazo","Concluída com atraso"),IF($J44="","Na carteira",IF($J44&lt;TODAY(),"VENCIDA",IF($J44=TODAY(),"Hoje","Programada"))))))</f>
        <v/>
      </c>
    </row>
    <row r="45" customFormat="false" ht="15.75" hidden="false" customHeight="true" outlineLevel="0" collapsed="false">
      <c r="A45" s="28" t="str">
        <f aca="false">IF($E45="","",COUNTA($E$4:$E45))</f>
        <v/>
      </c>
      <c r="B45" s="34"/>
      <c r="C45" s="34"/>
      <c r="D45" s="34"/>
      <c r="E45" s="34"/>
      <c r="F45" s="35"/>
      <c r="G45" s="34"/>
      <c r="H45" s="35"/>
      <c r="I45" s="34"/>
      <c r="J45" s="36"/>
      <c r="K45" s="36"/>
      <c r="L45" s="35"/>
      <c r="M45" s="34"/>
      <c r="N45" s="35"/>
      <c r="O45" s="36"/>
      <c r="P45" s="32" t="str">
        <f aca="false">IF($J45="","",$J45-WEEKDAY($J45,3))</f>
        <v/>
      </c>
      <c r="Q45" s="32" t="str">
        <f aca="false">IF($J45="","",IF($K45="",$J45,$K45))</f>
        <v/>
      </c>
      <c r="R45" s="28" t="str">
        <f aca="false">IF($E45="","",IF(OR($N45&lt;&gt;"Concluída",$O45="",$J45=""),0,IF($O45&lt;=$J45,1,0)))</f>
        <v/>
      </c>
      <c r="S45" s="28" t="str">
        <f aca="false">IF($E45="","",IF(OR($N45&lt;&gt;"Concluída",$O45="",$Q45=""),0,IF($O45&lt;=$Q45,1,0)))</f>
        <v/>
      </c>
      <c r="T45" s="28" t="str">
        <f aca="false">IF(OR($J45="",$N45&lt;&gt;"Concluída",$O45=""),"",MAX(0,$O45-$J45))</f>
        <v/>
      </c>
      <c r="U45" s="33" t="str">
        <f aca="true">IF($E45="","",IF($N45="Cancelada","Cancelada",IF($N45="Concluída",IF($R45=1,"No prazo","Concluída com atraso"),IF($J45="","Na carteira",IF($J45&lt;TODAY(),"VENCIDA",IF($J45=TODAY(),"Hoje","Programada"))))))</f>
        <v/>
      </c>
    </row>
    <row r="46" customFormat="false" ht="15.75" hidden="false" customHeight="true" outlineLevel="0" collapsed="false">
      <c r="A46" s="28" t="str">
        <f aca="false">IF($E46="","",COUNTA($E$4:$E46))</f>
        <v/>
      </c>
      <c r="B46" s="29"/>
      <c r="C46" s="29"/>
      <c r="D46" s="29"/>
      <c r="E46" s="29"/>
      <c r="F46" s="30"/>
      <c r="G46" s="29"/>
      <c r="H46" s="30"/>
      <c r="I46" s="29"/>
      <c r="J46" s="31"/>
      <c r="K46" s="31"/>
      <c r="L46" s="30"/>
      <c r="M46" s="29"/>
      <c r="N46" s="30"/>
      <c r="O46" s="31"/>
      <c r="P46" s="32" t="str">
        <f aca="false">IF($J46="","",$J46-WEEKDAY($J46,3))</f>
        <v/>
      </c>
      <c r="Q46" s="32" t="str">
        <f aca="false">IF($J46="","",IF($K46="",$J46,$K46))</f>
        <v/>
      </c>
      <c r="R46" s="28" t="str">
        <f aca="false">IF($E46="","",IF(OR($N46&lt;&gt;"Concluída",$O46="",$J46=""),0,IF($O46&lt;=$J46,1,0)))</f>
        <v/>
      </c>
      <c r="S46" s="28" t="str">
        <f aca="false">IF($E46="","",IF(OR($N46&lt;&gt;"Concluída",$O46="",$Q46=""),0,IF($O46&lt;=$Q46,1,0)))</f>
        <v/>
      </c>
      <c r="T46" s="28" t="str">
        <f aca="false">IF(OR($J46="",$N46&lt;&gt;"Concluída",$O46=""),"",MAX(0,$O46-$J46))</f>
        <v/>
      </c>
      <c r="U46" s="33" t="str">
        <f aca="true">IF($E46="","",IF($N46="Cancelada","Cancelada",IF($N46="Concluída",IF($R46=1,"No prazo","Concluída com atraso"),IF($J46="","Na carteira",IF($J46&lt;TODAY(),"VENCIDA",IF($J46=TODAY(),"Hoje","Programada"))))))</f>
        <v/>
      </c>
    </row>
    <row r="47" customFormat="false" ht="15.75" hidden="false" customHeight="true" outlineLevel="0" collapsed="false">
      <c r="A47" s="28" t="str">
        <f aca="false">IF($E47="","",COUNTA($E$4:$E47))</f>
        <v/>
      </c>
      <c r="B47" s="34"/>
      <c r="C47" s="34"/>
      <c r="D47" s="34"/>
      <c r="E47" s="34"/>
      <c r="F47" s="35"/>
      <c r="G47" s="34"/>
      <c r="H47" s="35"/>
      <c r="I47" s="34"/>
      <c r="J47" s="36"/>
      <c r="K47" s="36"/>
      <c r="L47" s="35"/>
      <c r="M47" s="34"/>
      <c r="N47" s="35"/>
      <c r="O47" s="36"/>
      <c r="P47" s="32" t="str">
        <f aca="false">IF($J47="","",$J47-WEEKDAY($J47,3))</f>
        <v/>
      </c>
      <c r="Q47" s="32" t="str">
        <f aca="false">IF($J47="","",IF($K47="",$J47,$K47))</f>
        <v/>
      </c>
      <c r="R47" s="28" t="str">
        <f aca="false">IF($E47="","",IF(OR($N47&lt;&gt;"Concluída",$O47="",$J47=""),0,IF($O47&lt;=$J47,1,0)))</f>
        <v/>
      </c>
      <c r="S47" s="28" t="str">
        <f aca="false">IF($E47="","",IF(OR($N47&lt;&gt;"Concluída",$O47="",$Q47=""),0,IF($O47&lt;=$Q47,1,0)))</f>
        <v/>
      </c>
      <c r="T47" s="28" t="str">
        <f aca="false">IF(OR($J47="",$N47&lt;&gt;"Concluída",$O47=""),"",MAX(0,$O47-$J47))</f>
        <v/>
      </c>
      <c r="U47" s="33" t="str">
        <f aca="true">IF($E47="","",IF($N47="Cancelada","Cancelada",IF($N47="Concluída",IF($R47=1,"No prazo","Concluída com atraso"),IF($J47="","Na carteira",IF($J47&lt;TODAY(),"VENCIDA",IF($J47=TODAY(),"Hoje","Programada"))))))</f>
        <v/>
      </c>
    </row>
    <row r="48" customFormat="false" ht="15.75" hidden="false" customHeight="true" outlineLevel="0" collapsed="false">
      <c r="A48" s="28" t="str">
        <f aca="false">IF($E48="","",COUNTA($E$4:$E48))</f>
        <v/>
      </c>
      <c r="B48" s="29"/>
      <c r="C48" s="29"/>
      <c r="D48" s="29"/>
      <c r="E48" s="29"/>
      <c r="F48" s="30"/>
      <c r="G48" s="29"/>
      <c r="H48" s="30"/>
      <c r="I48" s="29"/>
      <c r="J48" s="31"/>
      <c r="K48" s="31"/>
      <c r="L48" s="30"/>
      <c r="M48" s="29"/>
      <c r="N48" s="30"/>
      <c r="O48" s="31"/>
      <c r="P48" s="32" t="str">
        <f aca="false">IF($J48="","",$J48-WEEKDAY($J48,3))</f>
        <v/>
      </c>
      <c r="Q48" s="32" t="str">
        <f aca="false">IF($J48="","",IF($K48="",$J48,$K48))</f>
        <v/>
      </c>
      <c r="R48" s="28" t="str">
        <f aca="false">IF($E48="","",IF(OR($N48&lt;&gt;"Concluída",$O48="",$J48=""),0,IF($O48&lt;=$J48,1,0)))</f>
        <v/>
      </c>
      <c r="S48" s="28" t="str">
        <f aca="false">IF($E48="","",IF(OR($N48&lt;&gt;"Concluída",$O48="",$Q48=""),0,IF($O48&lt;=$Q48,1,0)))</f>
        <v/>
      </c>
      <c r="T48" s="28" t="str">
        <f aca="false">IF(OR($J48="",$N48&lt;&gt;"Concluída",$O48=""),"",MAX(0,$O48-$J48))</f>
        <v/>
      </c>
      <c r="U48" s="33" t="str">
        <f aca="true">IF($E48="","",IF($N48="Cancelada","Cancelada",IF($N48="Concluída",IF($R48=1,"No prazo","Concluída com atraso"),IF($J48="","Na carteira",IF($J48&lt;TODAY(),"VENCIDA",IF($J48=TODAY(),"Hoje","Programada"))))))</f>
        <v/>
      </c>
    </row>
    <row r="49" customFormat="false" ht="15.75" hidden="false" customHeight="true" outlineLevel="0" collapsed="false">
      <c r="A49" s="28" t="str">
        <f aca="false">IF($E49="","",COUNTA($E$4:$E49))</f>
        <v/>
      </c>
      <c r="B49" s="34"/>
      <c r="C49" s="34"/>
      <c r="D49" s="34"/>
      <c r="E49" s="34"/>
      <c r="F49" s="35"/>
      <c r="G49" s="34"/>
      <c r="H49" s="35"/>
      <c r="I49" s="34"/>
      <c r="J49" s="36"/>
      <c r="K49" s="36"/>
      <c r="L49" s="35"/>
      <c r="M49" s="34"/>
      <c r="N49" s="35"/>
      <c r="O49" s="36"/>
      <c r="P49" s="32" t="str">
        <f aca="false">IF($J49="","",$J49-WEEKDAY($J49,3))</f>
        <v/>
      </c>
      <c r="Q49" s="32" t="str">
        <f aca="false">IF($J49="","",IF($K49="",$J49,$K49))</f>
        <v/>
      </c>
      <c r="R49" s="28" t="str">
        <f aca="false">IF($E49="","",IF(OR($N49&lt;&gt;"Concluída",$O49="",$J49=""),0,IF($O49&lt;=$J49,1,0)))</f>
        <v/>
      </c>
      <c r="S49" s="28" t="str">
        <f aca="false">IF($E49="","",IF(OR($N49&lt;&gt;"Concluída",$O49="",$Q49=""),0,IF($O49&lt;=$Q49,1,0)))</f>
        <v/>
      </c>
      <c r="T49" s="28" t="str">
        <f aca="false">IF(OR($J49="",$N49&lt;&gt;"Concluída",$O49=""),"",MAX(0,$O49-$J49))</f>
        <v/>
      </c>
      <c r="U49" s="33" t="str">
        <f aca="true">IF($E49="","",IF($N49="Cancelada","Cancelada",IF($N49="Concluída",IF($R49=1,"No prazo","Concluída com atraso"),IF($J49="","Na carteira",IF($J49&lt;TODAY(),"VENCIDA",IF($J49=TODAY(),"Hoje","Programada"))))))</f>
        <v/>
      </c>
    </row>
    <row r="50" customFormat="false" ht="15.75" hidden="false" customHeight="true" outlineLevel="0" collapsed="false">
      <c r="A50" s="28" t="str">
        <f aca="false">IF($E50="","",COUNTA($E$4:$E50))</f>
        <v/>
      </c>
      <c r="B50" s="29"/>
      <c r="C50" s="29"/>
      <c r="D50" s="29"/>
      <c r="E50" s="29"/>
      <c r="F50" s="30"/>
      <c r="G50" s="29"/>
      <c r="H50" s="30"/>
      <c r="I50" s="29"/>
      <c r="J50" s="31"/>
      <c r="K50" s="31"/>
      <c r="L50" s="30"/>
      <c r="M50" s="29"/>
      <c r="N50" s="30"/>
      <c r="O50" s="31"/>
      <c r="P50" s="32" t="str">
        <f aca="false">IF($J50="","",$J50-WEEKDAY($J50,3))</f>
        <v/>
      </c>
      <c r="Q50" s="32" t="str">
        <f aca="false">IF($J50="","",IF($K50="",$J50,$K50))</f>
        <v/>
      </c>
      <c r="R50" s="28" t="str">
        <f aca="false">IF($E50="","",IF(OR($N50&lt;&gt;"Concluída",$O50="",$J50=""),0,IF($O50&lt;=$J50,1,0)))</f>
        <v/>
      </c>
      <c r="S50" s="28" t="str">
        <f aca="false">IF($E50="","",IF(OR($N50&lt;&gt;"Concluída",$O50="",$Q50=""),0,IF($O50&lt;=$Q50,1,0)))</f>
        <v/>
      </c>
      <c r="T50" s="28" t="str">
        <f aca="false">IF(OR($J50="",$N50&lt;&gt;"Concluída",$O50=""),"",MAX(0,$O50-$J50))</f>
        <v/>
      </c>
      <c r="U50" s="33" t="str">
        <f aca="true">IF($E50="","",IF($N50="Cancelada","Cancelada",IF($N50="Concluída",IF($R50=1,"No prazo","Concluída com atraso"),IF($J50="","Na carteira",IF($J50&lt;TODAY(),"VENCIDA",IF($J50=TODAY(),"Hoje","Programada"))))))</f>
        <v/>
      </c>
    </row>
    <row r="51" customFormat="false" ht="15.75" hidden="false" customHeight="true" outlineLevel="0" collapsed="false">
      <c r="A51" s="28" t="str">
        <f aca="false">IF($E51="","",COUNTA($E$4:$E51))</f>
        <v/>
      </c>
      <c r="B51" s="34"/>
      <c r="C51" s="34"/>
      <c r="D51" s="34"/>
      <c r="E51" s="34"/>
      <c r="F51" s="35"/>
      <c r="G51" s="34"/>
      <c r="H51" s="35"/>
      <c r="I51" s="34"/>
      <c r="J51" s="36"/>
      <c r="K51" s="36"/>
      <c r="L51" s="35"/>
      <c r="M51" s="34"/>
      <c r="N51" s="35"/>
      <c r="O51" s="36"/>
      <c r="P51" s="32" t="str">
        <f aca="false">IF($J51="","",$J51-WEEKDAY($J51,3))</f>
        <v/>
      </c>
      <c r="Q51" s="32" t="str">
        <f aca="false">IF($J51="","",IF($K51="",$J51,$K51))</f>
        <v/>
      </c>
      <c r="R51" s="28" t="str">
        <f aca="false">IF($E51="","",IF(OR($N51&lt;&gt;"Concluída",$O51="",$J51=""),0,IF($O51&lt;=$J51,1,0)))</f>
        <v/>
      </c>
      <c r="S51" s="28" t="str">
        <f aca="false">IF($E51="","",IF(OR($N51&lt;&gt;"Concluída",$O51="",$Q51=""),0,IF($O51&lt;=$Q51,1,0)))</f>
        <v/>
      </c>
      <c r="T51" s="28" t="str">
        <f aca="false">IF(OR($J51="",$N51&lt;&gt;"Concluída",$O51=""),"",MAX(0,$O51-$J51))</f>
        <v/>
      </c>
      <c r="U51" s="33" t="str">
        <f aca="true">IF($E51="","",IF($N51="Cancelada","Cancelada",IF($N51="Concluída",IF($R51=1,"No prazo","Concluída com atraso"),IF($J51="","Na carteira",IF($J51&lt;TODAY(),"VENCIDA",IF($J51=TODAY(),"Hoje","Programada"))))))</f>
        <v/>
      </c>
    </row>
    <row r="52" customFormat="false" ht="15.75" hidden="false" customHeight="true" outlineLevel="0" collapsed="false">
      <c r="A52" s="28" t="str">
        <f aca="false">IF($E52="","",COUNTA($E$4:$E52))</f>
        <v/>
      </c>
      <c r="B52" s="29"/>
      <c r="C52" s="29"/>
      <c r="D52" s="29"/>
      <c r="E52" s="29"/>
      <c r="F52" s="30"/>
      <c r="G52" s="29"/>
      <c r="H52" s="30"/>
      <c r="I52" s="29"/>
      <c r="J52" s="31"/>
      <c r="K52" s="31"/>
      <c r="L52" s="30"/>
      <c r="M52" s="29"/>
      <c r="N52" s="30"/>
      <c r="O52" s="31"/>
      <c r="P52" s="32" t="str">
        <f aca="false">IF($J52="","",$J52-WEEKDAY($J52,3))</f>
        <v/>
      </c>
      <c r="Q52" s="32" t="str">
        <f aca="false">IF($J52="","",IF($K52="",$J52,$K52))</f>
        <v/>
      </c>
      <c r="R52" s="28" t="str">
        <f aca="false">IF($E52="","",IF(OR($N52&lt;&gt;"Concluída",$O52="",$J52=""),0,IF($O52&lt;=$J52,1,0)))</f>
        <v/>
      </c>
      <c r="S52" s="28" t="str">
        <f aca="false">IF($E52="","",IF(OR($N52&lt;&gt;"Concluída",$O52="",$Q52=""),0,IF($O52&lt;=$Q52,1,0)))</f>
        <v/>
      </c>
      <c r="T52" s="28" t="str">
        <f aca="false">IF(OR($J52="",$N52&lt;&gt;"Concluída",$O52=""),"",MAX(0,$O52-$J52))</f>
        <v/>
      </c>
      <c r="U52" s="33" t="str">
        <f aca="true">IF($E52="","",IF($N52="Cancelada","Cancelada",IF($N52="Concluída",IF($R52=1,"No prazo","Concluída com atraso"),IF($J52="","Na carteira",IF($J52&lt;TODAY(),"VENCIDA",IF($J52=TODAY(),"Hoje","Programada"))))))</f>
        <v/>
      </c>
    </row>
    <row r="53" customFormat="false" ht="15.75" hidden="false" customHeight="true" outlineLevel="0" collapsed="false">
      <c r="A53" s="28" t="str">
        <f aca="false">IF($E53="","",COUNTA($E$4:$E53))</f>
        <v/>
      </c>
      <c r="B53" s="34"/>
      <c r="C53" s="34"/>
      <c r="D53" s="34"/>
      <c r="E53" s="34"/>
      <c r="F53" s="35"/>
      <c r="G53" s="34"/>
      <c r="H53" s="35"/>
      <c r="I53" s="34"/>
      <c r="J53" s="36"/>
      <c r="K53" s="36"/>
      <c r="L53" s="35"/>
      <c r="M53" s="34"/>
      <c r="N53" s="35"/>
      <c r="O53" s="36"/>
      <c r="P53" s="32" t="str">
        <f aca="false">IF($J53="","",$J53-WEEKDAY($J53,3))</f>
        <v/>
      </c>
      <c r="Q53" s="32" t="str">
        <f aca="false">IF($J53="","",IF($K53="",$J53,$K53))</f>
        <v/>
      </c>
      <c r="R53" s="28" t="str">
        <f aca="false">IF($E53="","",IF(OR($N53&lt;&gt;"Concluída",$O53="",$J53=""),0,IF($O53&lt;=$J53,1,0)))</f>
        <v/>
      </c>
      <c r="S53" s="28" t="str">
        <f aca="false">IF($E53="","",IF(OR($N53&lt;&gt;"Concluída",$O53="",$Q53=""),0,IF($O53&lt;=$Q53,1,0)))</f>
        <v/>
      </c>
      <c r="T53" s="28" t="str">
        <f aca="false">IF(OR($J53="",$N53&lt;&gt;"Concluída",$O53=""),"",MAX(0,$O53-$J53))</f>
        <v/>
      </c>
      <c r="U53" s="33" t="str">
        <f aca="true">IF($E53="","",IF($N53="Cancelada","Cancelada",IF($N53="Concluída",IF($R53=1,"No prazo","Concluída com atraso"),IF($J53="","Na carteira",IF($J53&lt;TODAY(),"VENCIDA",IF($J53=TODAY(),"Hoje","Programada"))))))</f>
        <v/>
      </c>
    </row>
    <row r="54" customFormat="false" ht="15.75" hidden="false" customHeight="true" outlineLevel="0" collapsed="false">
      <c r="A54" s="28" t="str">
        <f aca="false">IF($E54="","",COUNTA($E$4:$E54))</f>
        <v/>
      </c>
      <c r="B54" s="29"/>
      <c r="C54" s="29"/>
      <c r="D54" s="29"/>
      <c r="E54" s="29"/>
      <c r="F54" s="30"/>
      <c r="G54" s="29"/>
      <c r="H54" s="30"/>
      <c r="I54" s="29"/>
      <c r="J54" s="31"/>
      <c r="K54" s="31"/>
      <c r="L54" s="30"/>
      <c r="M54" s="29"/>
      <c r="N54" s="30"/>
      <c r="O54" s="31"/>
      <c r="P54" s="32" t="str">
        <f aca="false">IF($J54="","",$J54-WEEKDAY($J54,3))</f>
        <v/>
      </c>
      <c r="Q54" s="32" t="str">
        <f aca="false">IF($J54="","",IF($K54="",$J54,$K54))</f>
        <v/>
      </c>
      <c r="R54" s="28" t="str">
        <f aca="false">IF($E54="","",IF(OR($N54&lt;&gt;"Concluída",$O54="",$J54=""),0,IF($O54&lt;=$J54,1,0)))</f>
        <v/>
      </c>
      <c r="S54" s="28" t="str">
        <f aca="false">IF($E54="","",IF(OR($N54&lt;&gt;"Concluída",$O54="",$Q54=""),0,IF($O54&lt;=$Q54,1,0)))</f>
        <v/>
      </c>
      <c r="T54" s="28" t="str">
        <f aca="false">IF(OR($J54="",$N54&lt;&gt;"Concluída",$O54=""),"",MAX(0,$O54-$J54))</f>
        <v/>
      </c>
      <c r="U54" s="33" t="str">
        <f aca="true">IF($E54="","",IF($N54="Cancelada","Cancelada",IF($N54="Concluída",IF($R54=1,"No prazo","Concluída com atraso"),IF($J54="","Na carteira",IF($J54&lt;TODAY(),"VENCIDA",IF($J54=TODAY(),"Hoje","Programada"))))))</f>
        <v/>
      </c>
    </row>
    <row r="55" customFormat="false" ht="15.75" hidden="false" customHeight="true" outlineLevel="0" collapsed="false">
      <c r="A55" s="28" t="str">
        <f aca="false">IF($E55="","",COUNTA($E$4:$E55))</f>
        <v/>
      </c>
      <c r="B55" s="34"/>
      <c r="C55" s="34"/>
      <c r="D55" s="34"/>
      <c r="E55" s="34"/>
      <c r="F55" s="35"/>
      <c r="G55" s="34"/>
      <c r="H55" s="35"/>
      <c r="I55" s="34"/>
      <c r="J55" s="36"/>
      <c r="K55" s="36"/>
      <c r="L55" s="35"/>
      <c r="M55" s="34"/>
      <c r="N55" s="35"/>
      <c r="O55" s="36"/>
      <c r="P55" s="32" t="str">
        <f aca="false">IF($J55="","",$J55-WEEKDAY($J55,3))</f>
        <v/>
      </c>
      <c r="Q55" s="32" t="str">
        <f aca="false">IF($J55="","",IF($K55="",$J55,$K55))</f>
        <v/>
      </c>
      <c r="R55" s="28" t="str">
        <f aca="false">IF($E55="","",IF(OR($N55&lt;&gt;"Concluída",$O55="",$J55=""),0,IF($O55&lt;=$J55,1,0)))</f>
        <v/>
      </c>
      <c r="S55" s="28" t="str">
        <f aca="false">IF($E55="","",IF(OR($N55&lt;&gt;"Concluída",$O55="",$Q55=""),0,IF($O55&lt;=$Q55,1,0)))</f>
        <v/>
      </c>
      <c r="T55" s="28" t="str">
        <f aca="false">IF(OR($J55="",$N55&lt;&gt;"Concluída",$O55=""),"",MAX(0,$O55-$J55))</f>
        <v/>
      </c>
      <c r="U55" s="33" t="str">
        <f aca="true">IF($E55="","",IF($N55="Cancelada","Cancelada",IF($N55="Concluída",IF($R55=1,"No prazo","Concluída com atraso"),IF($J55="","Na carteira",IF($J55&lt;TODAY(),"VENCIDA",IF($J55=TODAY(),"Hoje","Programada"))))))</f>
        <v/>
      </c>
    </row>
    <row r="56" customFormat="false" ht="15.75" hidden="false" customHeight="true" outlineLevel="0" collapsed="false">
      <c r="A56" s="28" t="str">
        <f aca="false">IF($E56="","",COUNTA($E$4:$E56))</f>
        <v/>
      </c>
      <c r="B56" s="29"/>
      <c r="C56" s="29"/>
      <c r="D56" s="29"/>
      <c r="E56" s="29"/>
      <c r="F56" s="30"/>
      <c r="G56" s="29"/>
      <c r="H56" s="30"/>
      <c r="I56" s="29"/>
      <c r="J56" s="31"/>
      <c r="K56" s="31"/>
      <c r="L56" s="30"/>
      <c r="M56" s="29"/>
      <c r="N56" s="30"/>
      <c r="O56" s="31"/>
      <c r="P56" s="32" t="str">
        <f aca="false">IF($J56="","",$J56-WEEKDAY($J56,3))</f>
        <v/>
      </c>
      <c r="Q56" s="32" t="str">
        <f aca="false">IF($J56="","",IF($K56="",$J56,$K56))</f>
        <v/>
      </c>
      <c r="R56" s="28" t="str">
        <f aca="false">IF($E56="","",IF(OR($N56&lt;&gt;"Concluída",$O56="",$J56=""),0,IF($O56&lt;=$J56,1,0)))</f>
        <v/>
      </c>
      <c r="S56" s="28" t="str">
        <f aca="false">IF($E56="","",IF(OR($N56&lt;&gt;"Concluída",$O56="",$Q56=""),0,IF($O56&lt;=$Q56,1,0)))</f>
        <v/>
      </c>
      <c r="T56" s="28" t="str">
        <f aca="false">IF(OR($J56="",$N56&lt;&gt;"Concluída",$O56=""),"",MAX(0,$O56-$J56))</f>
        <v/>
      </c>
      <c r="U56" s="33" t="str">
        <f aca="true">IF($E56="","",IF($N56="Cancelada","Cancelada",IF($N56="Concluída",IF($R56=1,"No prazo","Concluída com atraso"),IF($J56="","Na carteira",IF($J56&lt;TODAY(),"VENCIDA",IF($J56=TODAY(),"Hoje","Programada"))))))</f>
        <v/>
      </c>
    </row>
    <row r="57" customFormat="false" ht="15.75" hidden="false" customHeight="true" outlineLevel="0" collapsed="false">
      <c r="A57" s="28" t="str">
        <f aca="false">IF($E57="","",COUNTA($E$4:$E57))</f>
        <v/>
      </c>
      <c r="B57" s="34"/>
      <c r="C57" s="34"/>
      <c r="D57" s="34"/>
      <c r="E57" s="34"/>
      <c r="F57" s="35"/>
      <c r="G57" s="34"/>
      <c r="H57" s="35"/>
      <c r="I57" s="34"/>
      <c r="J57" s="36"/>
      <c r="K57" s="36"/>
      <c r="L57" s="35"/>
      <c r="M57" s="34"/>
      <c r="N57" s="35"/>
      <c r="O57" s="36"/>
      <c r="P57" s="32" t="str">
        <f aca="false">IF($J57="","",$J57-WEEKDAY($J57,3))</f>
        <v/>
      </c>
      <c r="Q57" s="32" t="str">
        <f aca="false">IF($J57="","",IF($K57="",$J57,$K57))</f>
        <v/>
      </c>
      <c r="R57" s="28" t="str">
        <f aca="false">IF($E57="","",IF(OR($N57&lt;&gt;"Concluída",$O57="",$J57=""),0,IF($O57&lt;=$J57,1,0)))</f>
        <v/>
      </c>
      <c r="S57" s="28" t="str">
        <f aca="false">IF($E57="","",IF(OR($N57&lt;&gt;"Concluída",$O57="",$Q57=""),0,IF($O57&lt;=$Q57,1,0)))</f>
        <v/>
      </c>
      <c r="T57" s="28" t="str">
        <f aca="false">IF(OR($J57="",$N57&lt;&gt;"Concluída",$O57=""),"",MAX(0,$O57-$J57))</f>
        <v/>
      </c>
      <c r="U57" s="33" t="str">
        <f aca="true">IF($E57="","",IF($N57="Cancelada","Cancelada",IF($N57="Concluída",IF($R57=1,"No prazo","Concluída com atraso"),IF($J57="","Na carteira",IF($J57&lt;TODAY(),"VENCIDA",IF($J57=TODAY(),"Hoje","Programada"))))))</f>
        <v/>
      </c>
    </row>
    <row r="58" customFormat="false" ht="15.75" hidden="false" customHeight="true" outlineLevel="0" collapsed="false">
      <c r="A58" s="28" t="str">
        <f aca="false">IF($E58="","",COUNTA($E$4:$E58))</f>
        <v/>
      </c>
      <c r="B58" s="29"/>
      <c r="C58" s="29"/>
      <c r="D58" s="29"/>
      <c r="E58" s="29"/>
      <c r="F58" s="30"/>
      <c r="G58" s="29"/>
      <c r="H58" s="30"/>
      <c r="I58" s="29"/>
      <c r="J58" s="31"/>
      <c r="K58" s="31"/>
      <c r="L58" s="30"/>
      <c r="M58" s="29"/>
      <c r="N58" s="30"/>
      <c r="O58" s="31"/>
      <c r="P58" s="32" t="str">
        <f aca="false">IF($J58="","",$J58-WEEKDAY($J58,3))</f>
        <v/>
      </c>
      <c r="Q58" s="32" t="str">
        <f aca="false">IF($J58="","",IF($K58="",$J58,$K58))</f>
        <v/>
      </c>
      <c r="R58" s="28" t="str">
        <f aca="false">IF($E58="","",IF(OR($N58&lt;&gt;"Concluída",$O58="",$J58=""),0,IF($O58&lt;=$J58,1,0)))</f>
        <v/>
      </c>
      <c r="S58" s="28" t="str">
        <f aca="false">IF($E58="","",IF(OR($N58&lt;&gt;"Concluída",$O58="",$Q58=""),0,IF($O58&lt;=$Q58,1,0)))</f>
        <v/>
      </c>
      <c r="T58" s="28" t="str">
        <f aca="false">IF(OR($J58="",$N58&lt;&gt;"Concluída",$O58=""),"",MAX(0,$O58-$J58))</f>
        <v/>
      </c>
      <c r="U58" s="33" t="str">
        <f aca="true">IF($E58="","",IF($N58="Cancelada","Cancelada",IF($N58="Concluída",IF($R58=1,"No prazo","Concluída com atraso"),IF($J58="","Na carteira",IF($J58&lt;TODAY(),"VENCIDA",IF($J58=TODAY(),"Hoje","Programada"))))))</f>
        <v/>
      </c>
    </row>
    <row r="59" customFormat="false" ht="15.75" hidden="false" customHeight="true" outlineLevel="0" collapsed="false">
      <c r="A59" s="28" t="str">
        <f aca="false">IF($E59="","",COUNTA($E$4:$E59))</f>
        <v/>
      </c>
      <c r="B59" s="34"/>
      <c r="C59" s="34"/>
      <c r="D59" s="34"/>
      <c r="E59" s="34"/>
      <c r="F59" s="35"/>
      <c r="G59" s="34"/>
      <c r="H59" s="35"/>
      <c r="I59" s="34"/>
      <c r="J59" s="36"/>
      <c r="K59" s="36"/>
      <c r="L59" s="35"/>
      <c r="M59" s="34"/>
      <c r="N59" s="35"/>
      <c r="O59" s="36"/>
      <c r="P59" s="32" t="str">
        <f aca="false">IF($J59="","",$J59-WEEKDAY($J59,3))</f>
        <v/>
      </c>
      <c r="Q59" s="32" t="str">
        <f aca="false">IF($J59="","",IF($K59="",$J59,$K59))</f>
        <v/>
      </c>
      <c r="R59" s="28" t="str">
        <f aca="false">IF($E59="","",IF(OR($N59&lt;&gt;"Concluída",$O59="",$J59=""),0,IF($O59&lt;=$J59,1,0)))</f>
        <v/>
      </c>
      <c r="S59" s="28" t="str">
        <f aca="false">IF($E59="","",IF(OR($N59&lt;&gt;"Concluída",$O59="",$Q59=""),0,IF($O59&lt;=$Q59,1,0)))</f>
        <v/>
      </c>
      <c r="T59" s="28" t="str">
        <f aca="false">IF(OR($J59="",$N59&lt;&gt;"Concluída",$O59=""),"",MAX(0,$O59-$J59))</f>
        <v/>
      </c>
      <c r="U59" s="33" t="str">
        <f aca="true">IF($E59="","",IF($N59="Cancelada","Cancelada",IF($N59="Concluída",IF($R59=1,"No prazo","Concluída com atraso"),IF($J59="","Na carteira",IF($J59&lt;TODAY(),"VENCIDA",IF($J59=TODAY(),"Hoje","Programada"))))))</f>
        <v/>
      </c>
    </row>
    <row r="60" customFormat="false" ht="15.75" hidden="false" customHeight="true" outlineLevel="0" collapsed="false">
      <c r="A60" s="28" t="str">
        <f aca="false">IF($E60="","",COUNTA($E$4:$E60))</f>
        <v/>
      </c>
      <c r="B60" s="29"/>
      <c r="C60" s="29"/>
      <c r="D60" s="29"/>
      <c r="E60" s="29"/>
      <c r="F60" s="30"/>
      <c r="G60" s="29"/>
      <c r="H60" s="30"/>
      <c r="I60" s="29"/>
      <c r="J60" s="31"/>
      <c r="K60" s="31"/>
      <c r="L60" s="30"/>
      <c r="M60" s="29"/>
      <c r="N60" s="30"/>
      <c r="O60" s="31"/>
      <c r="P60" s="32" t="str">
        <f aca="false">IF($J60="","",$J60-WEEKDAY($J60,3))</f>
        <v/>
      </c>
      <c r="Q60" s="32" t="str">
        <f aca="false">IF($J60="","",IF($K60="",$J60,$K60))</f>
        <v/>
      </c>
      <c r="R60" s="28" t="str">
        <f aca="false">IF($E60="","",IF(OR($N60&lt;&gt;"Concluída",$O60="",$J60=""),0,IF($O60&lt;=$J60,1,0)))</f>
        <v/>
      </c>
      <c r="S60" s="28" t="str">
        <f aca="false">IF($E60="","",IF(OR($N60&lt;&gt;"Concluída",$O60="",$Q60=""),0,IF($O60&lt;=$Q60,1,0)))</f>
        <v/>
      </c>
      <c r="T60" s="28" t="str">
        <f aca="false">IF(OR($J60="",$N60&lt;&gt;"Concluída",$O60=""),"",MAX(0,$O60-$J60))</f>
        <v/>
      </c>
      <c r="U60" s="33" t="str">
        <f aca="true">IF($E60="","",IF($N60="Cancelada","Cancelada",IF($N60="Concluída",IF($R60=1,"No prazo","Concluída com atraso"),IF($J60="","Na carteira",IF($J60&lt;TODAY(),"VENCIDA",IF($J60=TODAY(),"Hoje","Programada"))))))</f>
        <v/>
      </c>
    </row>
    <row r="61" customFormat="false" ht="15.75" hidden="false" customHeight="true" outlineLevel="0" collapsed="false">
      <c r="A61" s="28" t="str">
        <f aca="false">IF($E61="","",COUNTA($E$4:$E61))</f>
        <v/>
      </c>
      <c r="B61" s="34"/>
      <c r="C61" s="34"/>
      <c r="D61" s="34"/>
      <c r="E61" s="34"/>
      <c r="F61" s="35"/>
      <c r="G61" s="34"/>
      <c r="H61" s="35"/>
      <c r="I61" s="34"/>
      <c r="J61" s="36"/>
      <c r="K61" s="36"/>
      <c r="L61" s="35"/>
      <c r="M61" s="34"/>
      <c r="N61" s="35"/>
      <c r="O61" s="36"/>
      <c r="P61" s="32" t="str">
        <f aca="false">IF($J61="","",$J61-WEEKDAY($J61,3))</f>
        <v/>
      </c>
      <c r="Q61" s="32" t="str">
        <f aca="false">IF($J61="","",IF($K61="",$J61,$K61))</f>
        <v/>
      </c>
      <c r="R61" s="28" t="str">
        <f aca="false">IF($E61="","",IF(OR($N61&lt;&gt;"Concluída",$O61="",$J61=""),0,IF($O61&lt;=$J61,1,0)))</f>
        <v/>
      </c>
      <c r="S61" s="28" t="str">
        <f aca="false">IF($E61="","",IF(OR($N61&lt;&gt;"Concluída",$O61="",$Q61=""),0,IF($O61&lt;=$Q61,1,0)))</f>
        <v/>
      </c>
      <c r="T61" s="28" t="str">
        <f aca="false">IF(OR($J61="",$N61&lt;&gt;"Concluída",$O61=""),"",MAX(0,$O61-$J61))</f>
        <v/>
      </c>
      <c r="U61" s="33" t="str">
        <f aca="true">IF($E61="","",IF($N61="Cancelada","Cancelada",IF($N61="Concluída",IF($R61=1,"No prazo","Concluída com atraso"),IF($J61="","Na carteira",IF($J61&lt;TODAY(),"VENCIDA",IF($J61=TODAY(),"Hoje","Programada"))))))</f>
        <v/>
      </c>
    </row>
    <row r="62" customFormat="false" ht="15.75" hidden="false" customHeight="true" outlineLevel="0" collapsed="false">
      <c r="A62" s="28" t="str">
        <f aca="false">IF($E62="","",COUNTA($E$4:$E62))</f>
        <v/>
      </c>
      <c r="B62" s="29"/>
      <c r="C62" s="29"/>
      <c r="D62" s="29"/>
      <c r="E62" s="29"/>
      <c r="F62" s="30"/>
      <c r="G62" s="29"/>
      <c r="H62" s="30"/>
      <c r="I62" s="29"/>
      <c r="J62" s="31"/>
      <c r="K62" s="31"/>
      <c r="L62" s="30"/>
      <c r="M62" s="29"/>
      <c r="N62" s="30"/>
      <c r="O62" s="31"/>
      <c r="P62" s="32" t="str">
        <f aca="false">IF($J62="","",$J62-WEEKDAY($J62,3))</f>
        <v/>
      </c>
      <c r="Q62" s="32" t="str">
        <f aca="false">IF($J62="","",IF($K62="",$J62,$K62))</f>
        <v/>
      </c>
      <c r="R62" s="28" t="str">
        <f aca="false">IF($E62="","",IF(OR($N62&lt;&gt;"Concluída",$O62="",$J62=""),0,IF($O62&lt;=$J62,1,0)))</f>
        <v/>
      </c>
      <c r="S62" s="28" t="str">
        <f aca="false">IF($E62="","",IF(OR($N62&lt;&gt;"Concluída",$O62="",$Q62=""),0,IF($O62&lt;=$Q62,1,0)))</f>
        <v/>
      </c>
      <c r="T62" s="28" t="str">
        <f aca="false">IF(OR($J62="",$N62&lt;&gt;"Concluída",$O62=""),"",MAX(0,$O62-$J62))</f>
        <v/>
      </c>
      <c r="U62" s="33" t="str">
        <f aca="true">IF($E62="","",IF($N62="Cancelada","Cancelada",IF($N62="Concluída",IF($R62=1,"No prazo","Concluída com atraso"),IF($J62="","Na carteira",IF($J62&lt;TODAY(),"VENCIDA",IF($J62=TODAY(),"Hoje","Programada"))))))</f>
        <v/>
      </c>
    </row>
    <row r="63" customFormat="false" ht="15.75" hidden="false" customHeight="true" outlineLevel="0" collapsed="false">
      <c r="A63" s="28" t="str">
        <f aca="false">IF($E63="","",COUNTA($E$4:$E63))</f>
        <v/>
      </c>
      <c r="B63" s="34"/>
      <c r="C63" s="34"/>
      <c r="D63" s="34"/>
      <c r="E63" s="34"/>
      <c r="F63" s="35"/>
      <c r="G63" s="34"/>
      <c r="H63" s="35"/>
      <c r="I63" s="34"/>
      <c r="J63" s="36"/>
      <c r="K63" s="36"/>
      <c r="L63" s="35"/>
      <c r="M63" s="34"/>
      <c r="N63" s="35"/>
      <c r="O63" s="36"/>
      <c r="P63" s="32" t="str">
        <f aca="false">IF($J63="","",$J63-WEEKDAY($J63,3))</f>
        <v/>
      </c>
      <c r="Q63" s="32" t="str">
        <f aca="false">IF($J63="","",IF($K63="",$J63,$K63))</f>
        <v/>
      </c>
      <c r="R63" s="28" t="str">
        <f aca="false">IF($E63="","",IF(OR($N63&lt;&gt;"Concluída",$O63="",$J63=""),0,IF($O63&lt;=$J63,1,0)))</f>
        <v/>
      </c>
      <c r="S63" s="28" t="str">
        <f aca="false">IF($E63="","",IF(OR($N63&lt;&gt;"Concluída",$O63="",$Q63=""),0,IF($O63&lt;=$Q63,1,0)))</f>
        <v/>
      </c>
      <c r="T63" s="28" t="str">
        <f aca="false">IF(OR($J63="",$N63&lt;&gt;"Concluída",$O63=""),"",MAX(0,$O63-$J63))</f>
        <v/>
      </c>
      <c r="U63" s="33" t="str">
        <f aca="true">IF($E63="","",IF($N63="Cancelada","Cancelada",IF($N63="Concluída",IF($R63=1,"No prazo","Concluída com atraso"),IF($J63="","Na carteira",IF($J63&lt;TODAY(),"VENCIDA",IF($J63=TODAY(),"Hoje","Programada"))))))</f>
        <v/>
      </c>
    </row>
    <row r="64" customFormat="false" ht="15.75" hidden="false" customHeight="true" outlineLevel="0" collapsed="false">
      <c r="A64" s="28" t="str">
        <f aca="false">IF($E64="","",COUNTA($E$4:$E64))</f>
        <v/>
      </c>
      <c r="B64" s="29"/>
      <c r="C64" s="29"/>
      <c r="D64" s="29"/>
      <c r="E64" s="29"/>
      <c r="F64" s="30"/>
      <c r="G64" s="29"/>
      <c r="H64" s="30"/>
      <c r="I64" s="29"/>
      <c r="J64" s="31"/>
      <c r="K64" s="31"/>
      <c r="L64" s="30"/>
      <c r="M64" s="29"/>
      <c r="N64" s="30"/>
      <c r="O64" s="31"/>
      <c r="P64" s="32" t="str">
        <f aca="false">IF($J64="","",$J64-WEEKDAY($J64,3))</f>
        <v/>
      </c>
      <c r="Q64" s="32" t="str">
        <f aca="false">IF($J64="","",IF($K64="",$J64,$K64))</f>
        <v/>
      </c>
      <c r="R64" s="28" t="str">
        <f aca="false">IF($E64="","",IF(OR($N64&lt;&gt;"Concluída",$O64="",$J64=""),0,IF($O64&lt;=$J64,1,0)))</f>
        <v/>
      </c>
      <c r="S64" s="28" t="str">
        <f aca="false">IF($E64="","",IF(OR($N64&lt;&gt;"Concluída",$O64="",$Q64=""),0,IF($O64&lt;=$Q64,1,0)))</f>
        <v/>
      </c>
      <c r="T64" s="28" t="str">
        <f aca="false">IF(OR($J64="",$N64&lt;&gt;"Concluída",$O64=""),"",MAX(0,$O64-$J64))</f>
        <v/>
      </c>
      <c r="U64" s="33" t="str">
        <f aca="true">IF($E64="","",IF($N64="Cancelada","Cancelada",IF($N64="Concluída",IF($R64=1,"No prazo","Concluída com atraso"),IF($J64="","Na carteira",IF($J64&lt;TODAY(),"VENCIDA",IF($J64=TODAY(),"Hoje","Programada"))))))</f>
        <v/>
      </c>
    </row>
    <row r="65" customFormat="false" ht="15.75" hidden="false" customHeight="true" outlineLevel="0" collapsed="false">
      <c r="A65" s="28" t="str">
        <f aca="false">IF($E65="","",COUNTA($E$4:$E65))</f>
        <v/>
      </c>
      <c r="B65" s="34"/>
      <c r="C65" s="34"/>
      <c r="D65" s="34"/>
      <c r="E65" s="34"/>
      <c r="F65" s="35"/>
      <c r="G65" s="34"/>
      <c r="H65" s="35"/>
      <c r="I65" s="34"/>
      <c r="J65" s="36"/>
      <c r="K65" s="36"/>
      <c r="L65" s="35"/>
      <c r="M65" s="34"/>
      <c r="N65" s="35"/>
      <c r="O65" s="36"/>
      <c r="P65" s="32" t="str">
        <f aca="false">IF($J65="","",$J65-WEEKDAY($J65,3))</f>
        <v/>
      </c>
      <c r="Q65" s="32" t="str">
        <f aca="false">IF($J65="","",IF($K65="",$J65,$K65))</f>
        <v/>
      </c>
      <c r="R65" s="28" t="str">
        <f aca="false">IF($E65="","",IF(OR($N65&lt;&gt;"Concluída",$O65="",$J65=""),0,IF($O65&lt;=$J65,1,0)))</f>
        <v/>
      </c>
      <c r="S65" s="28" t="str">
        <f aca="false">IF($E65="","",IF(OR($N65&lt;&gt;"Concluída",$O65="",$Q65=""),0,IF($O65&lt;=$Q65,1,0)))</f>
        <v/>
      </c>
      <c r="T65" s="28" t="str">
        <f aca="false">IF(OR($J65="",$N65&lt;&gt;"Concluída",$O65=""),"",MAX(0,$O65-$J65))</f>
        <v/>
      </c>
      <c r="U65" s="33" t="str">
        <f aca="true">IF($E65="","",IF($N65="Cancelada","Cancelada",IF($N65="Concluída",IF($R65=1,"No prazo","Concluída com atraso"),IF($J65="","Na carteira",IF($J65&lt;TODAY(),"VENCIDA",IF($J65=TODAY(),"Hoje","Programada"))))))</f>
        <v/>
      </c>
    </row>
    <row r="66" customFormat="false" ht="15.75" hidden="false" customHeight="true" outlineLevel="0" collapsed="false">
      <c r="A66" s="28" t="str">
        <f aca="false">IF($E66="","",COUNTA($E$4:$E66))</f>
        <v/>
      </c>
      <c r="B66" s="29"/>
      <c r="C66" s="29"/>
      <c r="D66" s="29"/>
      <c r="E66" s="29"/>
      <c r="F66" s="30"/>
      <c r="G66" s="29"/>
      <c r="H66" s="30"/>
      <c r="I66" s="29"/>
      <c r="J66" s="31"/>
      <c r="K66" s="31"/>
      <c r="L66" s="30"/>
      <c r="M66" s="29"/>
      <c r="N66" s="30"/>
      <c r="O66" s="31"/>
      <c r="P66" s="32" t="str">
        <f aca="false">IF($J66="","",$J66-WEEKDAY($J66,3))</f>
        <v/>
      </c>
      <c r="Q66" s="32" t="str">
        <f aca="false">IF($J66="","",IF($K66="",$J66,$K66))</f>
        <v/>
      </c>
      <c r="R66" s="28" t="str">
        <f aca="false">IF($E66="","",IF(OR($N66&lt;&gt;"Concluída",$O66="",$J66=""),0,IF($O66&lt;=$J66,1,0)))</f>
        <v/>
      </c>
      <c r="S66" s="28" t="str">
        <f aca="false">IF($E66="","",IF(OR($N66&lt;&gt;"Concluída",$O66="",$Q66=""),0,IF($O66&lt;=$Q66,1,0)))</f>
        <v/>
      </c>
      <c r="T66" s="28" t="str">
        <f aca="false">IF(OR($J66="",$N66&lt;&gt;"Concluída",$O66=""),"",MAX(0,$O66-$J66))</f>
        <v/>
      </c>
      <c r="U66" s="33" t="str">
        <f aca="true">IF($E66="","",IF($N66="Cancelada","Cancelada",IF($N66="Concluída",IF($R66=1,"No prazo","Concluída com atraso"),IF($J66="","Na carteira",IF($J66&lt;TODAY(),"VENCIDA",IF($J66=TODAY(),"Hoje","Programada"))))))</f>
        <v/>
      </c>
    </row>
    <row r="67" customFormat="false" ht="15.75" hidden="false" customHeight="true" outlineLevel="0" collapsed="false">
      <c r="A67" s="28" t="str">
        <f aca="false">IF($E67="","",COUNTA($E$4:$E67))</f>
        <v/>
      </c>
      <c r="B67" s="34"/>
      <c r="C67" s="34"/>
      <c r="D67" s="34"/>
      <c r="E67" s="34"/>
      <c r="F67" s="35"/>
      <c r="G67" s="34"/>
      <c r="H67" s="35"/>
      <c r="I67" s="34"/>
      <c r="J67" s="36"/>
      <c r="K67" s="36"/>
      <c r="L67" s="35"/>
      <c r="M67" s="34"/>
      <c r="N67" s="35"/>
      <c r="O67" s="36"/>
      <c r="P67" s="32" t="str">
        <f aca="false">IF($J67="","",$J67-WEEKDAY($J67,3))</f>
        <v/>
      </c>
      <c r="Q67" s="32" t="str">
        <f aca="false">IF($J67="","",IF($K67="",$J67,$K67))</f>
        <v/>
      </c>
      <c r="R67" s="28" t="str">
        <f aca="false">IF($E67="","",IF(OR($N67&lt;&gt;"Concluída",$O67="",$J67=""),0,IF($O67&lt;=$J67,1,0)))</f>
        <v/>
      </c>
      <c r="S67" s="28" t="str">
        <f aca="false">IF($E67="","",IF(OR($N67&lt;&gt;"Concluída",$O67="",$Q67=""),0,IF($O67&lt;=$Q67,1,0)))</f>
        <v/>
      </c>
      <c r="T67" s="28" t="str">
        <f aca="false">IF(OR($J67="",$N67&lt;&gt;"Concluída",$O67=""),"",MAX(0,$O67-$J67))</f>
        <v/>
      </c>
      <c r="U67" s="33" t="str">
        <f aca="true">IF($E67="","",IF($N67="Cancelada","Cancelada",IF($N67="Concluída",IF($R67=1,"No prazo","Concluída com atraso"),IF($J67="","Na carteira",IF($J67&lt;TODAY(),"VENCIDA",IF($J67=TODAY(),"Hoje","Programada"))))))</f>
        <v/>
      </c>
    </row>
    <row r="68" customFormat="false" ht="15.75" hidden="false" customHeight="true" outlineLevel="0" collapsed="false">
      <c r="A68" s="28" t="str">
        <f aca="false">IF($E68="","",COUNTA($E$4:$E68))</f>
        <v/>
      </c>
      <c r="B68" s="29"/>
      <c r="C68" s="29"/>
      <c r="D68" s="29"/>
      <c r="E68" s="29"/>
      <c r="F68" s="30"/>
      <c r="G68" s="29"/>
      <c r="H68" s="30"/>
      <c r="I68" s="29"/>
      <c r="J68" s="31"/>
      <c r="K68" s="31"/>
      <c r="L68" s="30"/>
      <c r="M68" s="29"/>
      <c r="N68" s="30"/>
      <c r="O68" s="31"/>
      <c r="P68" s="32" t="str">
        <f aca="false">IF($J68="","",$J68-WEEKDAY($J68,3))</f>
        <v/>
      </c>
      <c r="Q68" s="32" t="str">
        <f aca="false">IF($J68="","",IF($K68="",$J68,$K68))</f>
        <v/>
      </c>
      <c r="R68" s="28" t="str">
        <f aca="false">IF($E68="","",IF(OR($N68&lt;&gt;"Concluída",$O68="",$J68=""),0,IF($O68&lt;=$J68,1,0)))</f>
        <v/>
      </c>
      <c r="S68" s="28" t="str">
        <f aca="false">IF($E68="","",IF(OR($N68&lt;&gt;"Concluída",$O68="",$Q68=""),0,IF($O68&lt;=$Q68,1,0)))</f>
        <v/>
      </c>
      <c r="T68" s="28" t="str">
        <f aca="false">IF(OR($J68="",$N68&lt;&gt;"Concluída",$O68=""),"",MAX(0,$O68-$J68))</f>
        <v/>
      </c>
      <c r="U68" s="33" t="str">
        <f aca="true">IF($E68="","",IF($N68="Cancelada","Cancelada",IF($N68="Concluída",IF($R68=1,"No prazo","Concluída com atraso"),IF($J68="","Na carteira",IF($J68&lt;TODAY(),"VENCIDA",IF($J68=TODAY(),"Hoje","Programada"))))))</f>
        <v/>
      </c>
    </row>
    <row r="69" customFormat="false" ht="15.75" hidden="false" customHeight="true" outlineLevel="0" collapsed="false">
      <c r="A69" s="28" t="str">
        <f aca="false">IF($E69="","",COUNTA($E$4:$E69))</f>
        <v/>
      </c>
      <c r="B69" s="34"/>
      <c r="C69" s="34"/>
      <c r="D69" s="34"/>
      <c r="E69" s="34"/>
      <c r="F69" s="35"/>
      <c r="G69" s="34"/>
      <c r="H69" s="35"/>
      <c r="I69" s="34"/>
      <c r="J69" s="36"/>
      <c r="K69" s="36"/>
      <c r="L69" s="35"/>
      <c r="M69" s="34"/>
      <c r="N69" s="35"/>
      <c r="O69" s="36"/>
      <c r="P69" s="32" t="str">
        <f aca="false">IF($J69="","",$J69-WEEKDAY($J69,3))</f>
        <v/>
      </c>
      <c r="Q69" s="32" t="str">
        <f aca="false">IF($J69="","",IF($K69="",$J69,$K69))</f>
        <v/>
      </c>
      <c r="R69" s="28" t="str">
        <f aca="false">IF($E69="","",IF(OR($N69&lt;&gt;"Concluída",$O69="",$J69=""),0,IF($O69&lt;=$J69,1,0)))</f>
        <v/>
      </c>
      <c r="S69" s="28" t="str">
        <f aca="false">IF($E69="","",IF(OR($N69&lt;&gt;"Concluída",$O69="",$Q69=""),0,IF($O69&lt;=$Q69,1,0)))</f>
        <v/>
      </c>
      <c r="T69" s="28" t="str">
        <f aca="false">IF(OR($J69="",$N69&lt;&gt;"Concluída",$O69=""),"",MAX(0,$O69-$J69))</f>
        <v/>
      </c>
      <c r="U69" s="33" t="str">
        <f aca="true">IF($E69="","",IF($N69="Cancelada","Cancelada",IF($N69="Concluída",IF($R69=1,"No prazo","Concluída com atraso"),IF($J69="","Na carteira",IF($J69&lt;TODAY(),"VENCIDA",IF($J69=TODAY(),"Hoje","Programada"))))))</f>
        <v/>
      </c>
    </row>
    <row r="70" customFormat="false" ht="15.75" hidden="false" customHeight="true" outlineLevel="0" collapsed="false">
      <c r="A70" s="28" t="str">
        <f aca="false">IF($E70="","",COUNTA($E$4:$E70))</f>
        <v/>
      </c>
      <c r="B70" s="29"/>
      <c r="C70" s="29"/>
      <c r="D70" s="29"/>
      <c r="E70" s="29"/>
      <c r="F70" s="30"/>
      <c r="G70" s="29"/>
      <c r="H70" s="30"/>
      <c r="I70" s="29"/>
      <c r="J70" s="31"/>
      <c r="K70" s="31"/>
      <c r="L70" s="30"/>
      <c r="M70" s="29"/>
      <c r="N70" s="30"/>
      <c r="O70" s="31"/>
      <c r="P70" s="32" t="str">
        <f aca="false">IF($J70="","",$J70-WEEKDAY($J70,3))</f>
        <v/>
      </c>
      <c r="Q70" s="32" t="str">
        <f aca="false">IF($J70="","",IF($K70="",$J70,$K70))</f>
        <v/>
      </c>
      <c r="R70" s="28" t="str">
        <f aca="false">IF($E70="","",IF(OR($N70&lt;&gt;"Concluída",$O70="",$J70=""),0,IF($O70&lt;=$J70,1,0)))</f>
        <v/>
      </c>
      <c r="S70" s="28" t="str">
        <f aca="false">IF($E70="","",IF(OR($N70&lt;&gt;"Concluída",$O70="",$Q70=""),0,IF($O70&lt;=$Q70,1,0)))</f>
        <v/>
      </c>
      <c r="T70" s="28" t="str">
        <f aca="false">IF(OR($J70="",$N70&lt;&gt;"Concluída",$O70=""),"",MAX(0,$O70-$J70))</f>
        <v/>
      </c>
      <c r="U70" s="33" t="str">
        <f aca="true">IF($E70="","",IF($N70="Cancelada","Cancelada",IF($N70="Concluída",IF($R70=1,"No prazo","Concluída com atraso"),IF($J70="","Na carteira",IF($J70&lt;TODAY(),"VENCIDA",IF($J70=TODAY(),"Hoje","Programada"))))))</f>
        <v/>
      </c>
    </row>
    <row r="71" customFormat="false" ht="15.75" hidden="false" customHeight="true" outlineLevel="0" collapsed="false">
      <c r="A71" s="28" t="str">
        <f aca="false">IF($E71="","",COUNTA($E$4:$E71))</f>
        <v/>
      </c>
      <c r="B71" s="34"/>
      <c r="C71" s="34"/>
      <c r="D71" s="34"/>
      <c r="E71" s="34"/>
      <c r="F71" s="35"/>
      <c r="G71" s="34"/>
      <c r="H71" s="35"/>
      <c r="I71" s="34"/>
      <c r="J71" s="36"/>
      <c r="K71" s="36"/>
      <c r="L71" s="35"/>
      <c r="M71" s="34"/>
      <c r="N71" s="35"/>
      <c r="O71" s="36"/>
      <c r="P71" s="32" t="str">
        <f aca="false">IF($J71="","",$J71-WEEKDAY($J71,3))</f>
        <v/>
      </c>
      <c r="Q71" s="32" t="str">
        <f aca="false">IF($J71="","",IF($K71="",$J71,$K71))</f>
        <v/>
      </c>
      <c r="R71" s="28" t="str">
        <f aca="false">IF($E71="","",IF(OR($N71&lt;&gt;"Concluída",$O71="",$J71=""),0,IF($O71&lt;=$J71,1,0)))</f>
        <v/>
      </c>
      <c r="S71" s="28" t="str">
        <f aca="false">IF($E71="","",IF(OR($N71&lt;&gt;"Concluída",$O71="",$Q71=""),0,IF($O71&lt;=$Q71,1,0)))</f>
        <v/>
      </c>
      <c r="T71" s="28" t="str">
        <f aca="false">IF(OR($J71="",$N71&lt;&gt;"Concluída",$O71=""),"",MAX(0,$O71-$J71))</f>
        <v/>
      </c>
      <c r="U71" s="33" t="str">
        <f aca="true">IF($E71="","",IF($N71="Cancelada","Cancelada",IF($N71="Concluída",IF($R71=1,"No prazo","Concluída com atraso"),IF($J71="","Na carteira",IF($J71&lt;TODAY(),"VENCIDA",IF($J71=TODAY(),"Hoje","Programada"))))))</f>
        <v/>
      </c>
    </row>
    <row r="72" customFormat="false" ht="15.75" hidden="false" customHeight="true" outlineLevel="0" collapsed="false">
      <c r="A72" s="28" t="str">
        <f aca="false">IF($E72="","",COUNTA($E$4:$E72))</f>
        <v/>
      </c>
      <c r="B72" s="29"/>
      <c r="C72" s="29"/>
      <c r="D72" s="29"/>
      <c r="E72" s="29"/>
      <c r="F72" s="30"/>
      <c r="G72" s="29"/>
      <c r="H72" s="30"/>
      <c r="I72" s="29"/>
      <c r="J72" s="31"/>
      <c r="K72" s="31"/>
      <c r="L72" s="30"/>
      <c r="M72" s="29"/>
      <c r="N72" s="30"/>
      <c r="O72" s="31"/>
      <c r="P72" s="32" t="str">
        <f aca="false">IF($J72="","",$J72-WEEKDAY($J72,3))</f>
        <v/>
      </c>
      <c r="Q72" s="32" t="str">
        <f aca="false">IF($J72="","",IF($K72="",$J72,$K72))</f>
        <v/>
      </c>
      <c r="R72" s="28" t="str">
        <f aca="false">IF($E72="","",IF(OR($N72&lt;&gt;"Concluída",$O72="",$J72=""),0,IF($O72&lt;=$J72,1,0)))</f>
        <v/>
      </c>
      <c r="S72" s="28" t="str">
        <f aca="false">IF($E72="","",IF(OR($N72&lt;&gt;"Concluída",$O72="",$Q72=""),0,IF($O72&lt;=$Q72,1,0)))</f>
        <v/>
      </c>
      <c r="T72" s="28" t="str">
        <f aca="false">IF(OR($J72="",$N72&lt;&gt;"Concluída",$O72=""),"",MAX(0,$O72-$J72))</f>
        <v/>
      </c>
      <c r="U72" s="33" t="str">
        <f aca="true">IF($E72="","",IF($N72="Cancelada","Cancelada",IF($N72="Concluída",IF($R72=1,"No prazo","Concluída com atraso"),IF($J72="","Na carteira",IF($J72&lt;TODAY(),"VENCIDA",IF($J72=TODAY(),"Hoje","Programada"))))))</f>
        <v/>
      </c>
    </row>
    <row r="73" customFormat="false" ht="15.75" hidden="false" customHeight="true" outlineLevel="0" collapsed="false">
      <c r="A73" s="28" t="str">
        <f aca="false">IF($E73="","",COUNTA($E$4:$E73))</f>
        <v/>
      </c>
      <c r="B73" s="34"/>
      <c r="C73" s="34"/>
      <c r="D73" s="34"/>
      <c r="E73" s="34"/>
      <c r="F73" s="35"/>
      <c r="G73" s="34"/>
      <c r="H73" s="35"/>
      <c r="I73" s="34"/>
      <c r="J73" s="36"/>
      <c r="K73" s="36"/>
      <c r="L73" s="35"/>
      <c r="M73" s="34"/>
      <c r="N73" s="35"/>
      <c r="O73" s="36"/>
      <c r="P73" s="32" t="str">
        <f aca="false">IF($J73="","",$J73-WEEKDAY($J73,3))</f>
        <v/>
      </c>
      <c r="Q73" s="32" t="str">
        <f aca="false">IF($J73="","",IF($K73="",$J73,$K73))</f>
        <v/>
      </c>
      <c r="R73" s="28" t="str">
        <f aca="false">IF($E73="","",IF(OR($N73&lt;&gt;"Concluída",$O73="",$J73=""),0,IF($O73&lt;=$J73,1,0)))</f>
        <v/>
      </c>
      <c r="S73" s="28" t="str">
        <f aca="false">IF($E73="","",IF(OR($N73&lt;&gt;"Concluída",$O73="",$Q73=""),0,IF($O73&lt;=$Q73,1,0)))</f>
        <v/>
      </c>
      <c r="T73" s="28" t="str">
        <f aca="false">IF(OR($J73="",$N73&lt;&gt;"Concluída",$O73=""),"",MAX(0,$O73-$J73))</f>
        <v/>
      </c>
      <c r="U73" s="33" t="str">
        <f aca="true">IF($E73="","",IF($N73="Cancelada","Cancelada",IF($N73="Concluída",IF($R73=1,"No prazo","Concluída com atraso"),IF($J73="","Na carteira",IF($J73&lt;TODAY(),"VENCIDA",IF($J73=TODAY(),"Hoje","Programada"))))))</f>
        <v/>
      </c>
    </row>
    <row r="74" customFormat="false" ht="15.75" hidden="false" customHeight="true" outlineLevel="0" collapsed="false">
      <c r="A74" s="28" t="str">
        <f aca="false">IF($E74="","",COUNTA($E$4:$E74))</f>
        <v/>
      </c>
      <c r="B74" s="29"/>
      <c r="C74" s="29"/>
      <c r="D74" s="29"/>
      <c r="E74" s="29"/>
      <c r="F74" s="30"/>
      <c r="G74" s="29"/>
      <c r="H74" s="30"/>
      <c r="I74" s="29"/>
      <c r="J74" s="31"/>
      <c r="K74" s="31"/>
      <c r="L74" s="30"/>
      <c r="M74" s="29"/>
      <c r="N74" s="30"/>
      <c r="O74" s="31"/>
      <c r="P74" s="32" t="str">
        <f aca="false">IF($J74="","",$J74-WEEKDAY($J74,3))</f>
        <v/>
      </c>
      <c r="Q74" s="32" t="str">
        <f aca="false">IF($J74="","",IF($K74="",$J74,$K74))</f>
        <v/>
      </c>
      <c r="R74" s="28" t="str">
        <f aca="false">IF($E74="","",IF(OR($N74&lt;&gt;"Concluída",$O74="",$J74=""),0,IF($O74&lt;=$J74,1,0)))</f>
        <v/>
      </c>
      <c r="S74" s="28" t="str">
        <f aca="false">IF($E74="","",IF(OR($N74&lt;&gt;"Concluída",$O74="",$Q74=""),0,IF($O74&lt;=$Q74,1,0)))</f>
        <v/>
      </c>
      <c r="T74" s="28" t="str">
        <f aca="false">IF(OR($J74="",$N74&lt;&gt;"Concluída",$O74=""),"",MAX(0,$O74-$J74))</f>
        <v/>
      </c>
      <c r="U74" s="33" t="str">
        <f aca="true">IF($E74="","",IF($N74="Cancelada","Cancelada",IF($N74="Concluída",IF($R74=1,"No prazo","Concluída com atraso"),IF($J74="","Na carteira",IF($J74&lt;TODAY(),"VENCIDA",IF($J74=TODAY(),"Hoje","Programada"))))))</f>
        <v/>
      </c>
    </row>
    <row r="75" customFormat="false" ht="15.75" hidden="false" customHeight="true" outlineLevel="0" collapsed="false">
      <c r="A75" s="28" t="str">
        <f aca="false">IF($E75="","",COUNTA($E$4:$E75))</f>
        <v/>
      </c>
      <c r="B75" s="34"/>
      <c r="C75" s="34"/>
      <c r="D75" s="34"/>
      <c r="E75" s="34"/>
      <c r="F75" s="35"/>
      <c r="G75" s="34"/>
      <c r="H75" s="35"/>
      <c r="I75" s="34"/>
      <c r="J75" s="36"/>
      <c r="K75" s="36"/>
      <c r="L75" s="35"/>
      <c r="M75" s="34"/>
      <c r="N75" s="35"/>
      <c r="O75" s="36"/>
      <c r="P75" s="32" t="str">
        <f aca="false">IF($J75="","",$J75-WEEKDAY($J75,3))</f>
        <v/>
      </c>
      <c r="Q75" s="32" t="str">
        <f aca="false">IF($J75="","",IF($K75="",$J75,$K75))</f>
        <v/>
      </c>
      <c r="R75" s="28" t="str">
        <f aca="false">IF($E75="","",IF(OR($N75&lt;&gt;"Concluída",$O75="",$J75=""),0,IF($O75&lt;=$J75,1,0)))</f>
        <v/>
      </c>
      <c r="S75" s="28" t="str">
        <f aca="false">IF($E75="","",IF(OR($N75&lt;&gt;"Concluída",$O75="",$Q75=""),0,IF($O75&lt;=$Q75,1,0)))</f>
        <v/>
      </c>
      <c r="T75" s="28" t="str">
        <f aca="false">IF(OR($J75="",$N75&lt;&gt;"Concluída",$O75=""),"",MAX(0,$O75-$J75))</f>
        <v/>
      </c>
      <c r="U75" s="33" t="str">
        <f aca="true">IF($E75="","",IF($N75="Cancelada","Cancelada",IF($N75="Concluída",IF($R75=1,"No prazo","Concluída com atraso"),IF($J75="","Na carteira",IF($J75&lt;TODAY(),"VENCIDA",IF($J75=TODAY(),"Hoje","Programada"))))))</f>
        <v/>
      </c>
    </row>
    <row r="76" customFormat="false" ht="15.75" hidden="false" customHeight="true" outlineLevel="0" collapsed="false">
      <c r="A76" s="28" t="str">
        <f aca="false">IF($E76="","",COUNTA($E$4:$E76))</f>
        <v/>
      </c>
      <c r="B76" s="29"/>
      <c r="C76" s="29"/>
      <c r="D76" s="29"/>
      <c r="E76" s="29"/>
      <c r="F76" s="30"/>
      <c r="G76" s="29"/>
      <c r="H76" s="30"/>
      <c r="I76" s="29"/>
      <c r="J76" s="31"/>
      <c r="K76" s="31"/>
      <c r="L76" s="30"/>
      <c r="M76" s="29"/>
      <c r="N76" s="30"/>
      <c r="O76" s="31"/>
      <c r="P76" s="32" t="str">
        <f aca="false">IF($J76="","",$J76-WEEKDAY($J76,3))</f>
        <v/>
      </c>
      <c r="Q76" s="32" t="str">
        <f aca="false">IF($J76="","",IF($K76="",$J76,$K76))</f>
        <v/>
      </c>
      <c r="R76" s="28" t="str">
        <f aca="false">IF($E76="","",IF(OR($N76&lt;&gt;"Concluída",$O76="",$J76=""),0,IF($O76&lt;=$J76,1,0)))</f>
        <v/>
      </c>
      <c r="S76" s="28" t="str">
        <f aca="false">IF($E76="","",IF(OR($N76&lt;&gt;"Concluída",$O76="",$Q76=""),0,IF($O76&lt;=$Q76,1,0)))</f>
        <v/>
      </c>
      <c r="T76" s="28" t="str">
        <f aca="false">IF(OR($J76="",$N76&lt;&gt;"Concluída",$O76=""),"",MAX(0,$O76-$J76))</f>
        <v/>
      </c>
      <c r="U76" s="33" t="str">
        <f aca="true">IF($E76="","",IF($N76="Cancelada","Cancelada",IF($N76="Concluída",IF($R76=1,"No prazo","Concluída com atraso"),IF($J76="","Na carteira",IF($J76&lt;TODAY(),"VENCIDA",IF($J76=TODAY(),"Hoje","Programada"))))))</f>
        <v/>
      </c>
    </row>
    <row r="77" customFormat="false" ht="15.75" hidden="false" customHeight="true" outlineLevel="0" collapsed="false">
      <c r="A77" s="28" t="str">
        <f aca="false">IF($E77="","",COUNTA($E$4:$E77))</f>
        <v/>
      </c>
      <c r="B77" s="34"/>
      <c r="C77" s="34"/>
      <c r="D77" s="34"/>
      <c r="E77" s="34"/>
      <c r="F77" s="35"/>
      <c r="G77" s="34"/>
      <c r="H77" s="35"/>
      <c r="I77" s="34"/>
      <c r="J77" s="36"/>
      <c r="K77" s="36"/>
      <c r="L77" s="35"/>
      <c r="M77" s="34"/>
      <c r="N77" s="35"/>
      <c r="O77" s="36"/>
      <c r="P77" s="32" t="str">
        <f aca="false">IF($J77="","",$J77-WEEKDAY($J77,3))</f>
        <v/>
      </c>
      <c r="Q77" s="32" t="str">
        <f aca="false">IF($J77="","",IF($K77="",$J77,$K77))</f>
        <v/>
      </c>
      <c r="R77" s="28" t="str">
        <f aca="false">IF($E77="","",IF(OR($N77&lt;&gt;"Concluída",$O77="",$J77=""),0,IF($O77&lt;=$J77,1,0)))</f>
        <v/>
      </c>
      <c r="S77" s="28" t="str">
        <f aca="false">IF($E77="","",IF(OR($N77&lt;&gt;"Concluída",$O77="",$Q77=""),0,IF($O77&lt;=$Q77,1,0)))</f>
        <v/>
      </c>
      <c r="T77" s="28" t="str">
        <f aca="false">IF(OR($J77="",$N77&lt;&gt;"Concluída",$O77=""),"",MAX(0,$O77-$J77))</f>
        <v/>
      </c>
      <c r="U77" s="33" t="str">
        <f aca="true">IF($E77="","",IF($N77="Cancelada","Cancelada",IF($N77="Concluída",IF($R77=1,"No prazo","Concluída com atraso"),IF($J77="","Na carteira",IF($J77&lt;TODAY(),"VENCIDA",IF($J77=TODAY(),"Hoje","Programada"))))))</f>
        <v/>
      </c>
    </row>
    <row r="78" customFormat="false" ht="15.75" hidden="false" customHeight="true" outlineLevel="0" collapsed="false">
      <c r="A78" s="28" t="str">
        <f aca="false">IF($E78="","",COUNTA($E$4:$E78))</f>
        <v/>
      </c>
      <c r="B78" s="29"/>
      <c r="C78" s="29"/>
      <c r="D78" s="29"/>
      <c r="E78" s="29"/>
      <c r="F78" s="30"/>
      <c r="G78" s="29"/>
      <c r="H78" s="30"/>
      <c r="I78" s="29"/>
      <c r="J78" s="31"/>
      <c r="K78" s="31"/>
      <c r="L78" s="30"/>
      <c r="M78" s="29"/>
      <c r="N78" s="30"/>
      <c r="O78" s="31"/>
      <c r="P78" s="32" t="str">
        <f aca="false">IF($J78="","",$J78-WEEKDAY($J78,3))</f>
        <v/>
      </c>
      <c r="Q78" s="32" t="str">
        <f aca="false">IF($J78="","",IF($K78="",$J78,$K78))</f>
        <v/>
      </c>
      <c r="R78" s="28" t="str">
        <f aca="false">IF($E78="","",IF(OR($N78&lt;&gt;"Concluída",$O78="",$J78=""),0,IF($O78&lt;=$J78,1,0)))</f>
        <v/>
      </c>
      <c r="S78" s="28" t="str">
        <f aca="false">IF($E78="","",IF(OR($N78&lt;&gt;"Concluída",$O78="",$Q78=""),0,IF($O78&lt;=$Q78,1,0)))</f>
        <v/>
      </c>
      <c r="T78" s="28" t="str">
        <f aca="false">IF(OR($J78="",$N78&lt;&gt;"Concluída",$O78=""),"",MAX(0,$O78-$J78))</f>
        <v/>
      </c>
      <c r="U78" s="33" t="str">
        <f aca="true">IF($E78="","",IF($N78="Cancelada","Cancelada",IF($N78="Concluída",IF($R78=1,"No prazo","Concluída com atraso"),IF($J78="","Na carteira",IF($J78&lt;TODAY(),"VENCIDA",IF($J78=TODAY(),"Hoje","Programada"))))))</f>
        <v/>
      </c>
    </row>
    <row r="79" customFormat="false" ht="15.75" hidden="false" customHeight="true" outlineLevel="0" collapsed="false">
      <c r="A79" s="28" t="str">
        <f aca="false">IF($E79="","",COUNTA($E$4:$E79))</f>
        <v/>
      </c>
      <c r="B79" s="34"/>
      <c r="C79" s="34"/>
      <c r="D79" s="34"/>
      <c r="E79" s="34"/>
      <c r="F79" s="35"/>
      <c r="G79" s="34"/>
      <c r="H79" s="35"/>
      <c r="I79" s="34"/>
      <c r="J79" s="36"/>
      <c r="K79" s="36"/>
      <c r="L79" s="35"/>
      <c r="M79" s="34"/>
      <c r="N79" s="35"/>
      <c r="O79" s="36"/>
      <c r="P79" s="32" t="str">
        <f aca="false">IF($J79="","",$J79-WEEKDAY($J79,3))</f>
        <v/>
      </c>
      <c r="Q79" s="32" t="str">
        <f aca="false">IF($J79="","",IF($K79="",$J79,$K79))</f>
        <v/>
      </c>
      <c r="R79" s="28" t="str">
        <f aca="false">IF($E79="","",IF(OR($N79&lt;&gt;"Concluída",$O79="",$J79=""),0,IF($O79&lt;=$J79,1,0)))</f>
        <v/>
      </c>
      <c r="S79" s="28" t="str">
        <f aca="false">IF($E79="","",IF(OR($N79&lt;&gt;"Concluída",$O79="",$Q79=""),0,IF($O79&lt;=$Q79,1,0)))</f>
        <v/>
      </c>
      <c r="T79" s="28" t="str">
        <f aca="false">IF(OR($J79="",$N79&lt;&gt;"Concluída",$O79=""),"",MAX(0,$O79-$J79))</f>
        <v/>
      </c>
      <c r="U79" s="33" t="str">
        <f aca="true">IF($E79="","",IF($N79="Cancelada","Cancelada",IF($N79="Concluída",IF($R79=1,"No prazo","Concluída com atraso"),IF($J79="","Na carteira",IF($J79&lt;TODAY(),"VENCIDA",IF($J79=TODAY(),"Hoje","Programada"))))))</f>
        <v/>
      </c>
    </row>
    <row r="80" customFormat="false" ht="15.75" hidden="false" customHeight="true" outlineLevel="0" collapsed="false">
      <c r="A80" s="28" t="str">
        <f aca="false">IF($E80="","",COUNTA($E$4:$E80))</f>
        <v/>
      </c>
      <c r="B80" s="29"/>
      <c r="C80" s="29"/>
      <c r="D80" s="29"/>
      <c r="E80" s="29"/>
      <c r="F80" s="30"/>
      <c r="G80" s="29"/>
      <c r="H80" s="30"/>
      <c r="I80" s="29"/>
      <c r="J80" s="31"/>
      <c r="K80" s="31"/>
      <c r="L80" s="30"/>
      <c r="M80" s="29"/>
      <c r="N80" s="30"/>
      <c r="O80" s="31"/>
      <c r="P80" s="32" t="str">
        <f aca="false">IF($J80="","",$J80-WEEKDAY($J80,3))</f>
        <v/>
      </c>
      <c r="Q80" s="32" t="str">
        <f aca="false">IF($J80="","",IF($K80="",$J80,$K80))</f>
        <v/>
      </c>
      <c r="R80" s="28" t="str">
        <f aca="false">IF($E80="","",IF(OR($N80&lt;&gt;"Concluída",$O80="",$J80=""),0,IF($O80&lt;=$J80,1,0)))</f>
        <v/>
      </c>
      <c r="S80" s="28" t="str">
        <f aca="false">IF($E80="","",IF(OR($N80&lt;&gt;"Concluída",$O80="",$Q80=""),0,IF($O80&lt;=$Q80,1,0)))</f>
        <v/>
      </c>
      <c r="T80" s="28" t="str">
        <f aca="false">IF(OR($J80="",$N80&lt;&gt;"Concluída",$O80=""),"",MAX(0,$O80-$J80))</f>
        <v/>
      </c>
      <c r="U80" s="33" t="str">
        <f aca="true">IF($E80="","",IF($N80="Cancelada","Cancelada",IF($N80="Concluída",IF($R80=1,"No prazo","Concluída com atraso"),IF($J80="","Na carteira",IF($J80&lt;TODAY(),"VENCIDA",IF($J80=TODAY(),"Hoje","Programada"))))))</f>
        <v/>
      </c>
    </row>
    <row r="81" customFormat="false" ht="15.75" hidden="false" customHeight="true" outlineLevel="0" collapsed="false">
      <c r="A81" s="28" t="str">
        <f aca="false">IF($E81="","",COUNTA($E$4:$E81))</f>
        <v/>
      </c>
      <c r="B81" s="34"/>
      <c r="C81" s="34"/>
      <c r="D81" s="34"/>
      <c r="E81" s="34"/>
      <c r="F81" s="35"/>
      <c r="G81" s="34"/>
      <c r="H81" s="35"/>
      <c r="I81" s="34"/>
      <c r="J81" s="36"/>
      <c r="K81" s="36"/>
      <c r="L81" s="35"/>
      <c r="M81" s="34"/>
      <c r="N81" s="35"/>
      <c r="O81" s="36"/>
      <c r="P81" s="32" t="str">
        <f aca="false">IF($J81="","",$J81-WEEKDAY($J81,3))</f>
        <v/>
      </c>
      <c r="Q81" s="32" t="str">
        <f aca="false">IF($J81="","",IF($K81="",$J81,$K81))</f>
        <v/>
      </c>
      <c r="R81" s="28" t="str">
        <f aca="false">IF($E81="","",IF(OR($N81&lt;&gt;"Concluída",$O81="",$J81=""),0,IF($O81&lt;=$J81,1,0)))</f>
        <v/>
      </c>
      <c r="S81" s="28" t="str">
        <f aca="false">IF($E81="","",IF(OR($N81&lt;&gt;"Concluída",$O81="",$Q81=""),0,IF($O81&lt;=$Q81,1,0)))</f>
        <v/>
      </c>
      <c r="T81" s="28" t="str">
        <f aca="false">IF(OR($J81="",$N81&lt;&gt;"Concluída",$O81=""),"",MAX(0,$O81-$J81))</f>
        <v/>
      </c>
      <c r="U81" s="33" t="str">
        <f aca="true">IF($E81="","",IF($N81="Cancelada","Cancelada",IF($N81="Concluída",IF($R81=1,"No prazo","Concluída com atraso"),IF($J81="","Na carteira",IF($J81&lt;TODAY(),"VENCIDA",IF($J81=TODAY(),"Hoje","Programada"))))))</f>
        <v/>
      </c>
    </row>
    <row r="82" customFormat="false" ht="15.75" hidden="false" customHeight="true" outlineLevel="0" collapsed="false">
      <c r="A82" s="28" t="str">
        <f aca="false">IF($E82="","",COUNTA($E$4:$E82))</f>
        <v/>
      </c>
      <c r="B82" s="29"/>
      <c r="C82" s="29"/>
      <c r="D82" s="29"/>
      <c r="E82" s="29"/>
      <c r="F82" s="30"/>
      <c r="G82" s="29"/>
      <c r="H82" s="30"/>
      <c r="I82" s="29"/>
      <c r="J82" s="31"/>
      <c r="K82" s="31"/>
      <c r="L82" s="30"/>
      <c r="M82" s="29"/>
      <c r="N82" s="30"/>
      <c r="O82" s="31"/>
      <c r="P82" s="32" t="str">
        <f aca="false">IF($J82="","",$J82-WEEKDAY($J82,3))</f>
        <v/>
      </c>
      <c r="Q82" s="32" t="str">
        <f aca="false">IF($J82="","",IF($K82="",$J82,$K82))</f>
        <v/>
      </c>
      <c r="R82" s="28" t="str">
        <f aca="false">IF($E82="","",IF(OR($N82&lt;&gt;"Concluída",$O82="",$J82=""),0,IF($O82&lt;=$J82,1,0)))</f>
        <v/>
      </c>
      <c r="S82" s="28" t="str">
        <f aca="false">IF($E82="","",IF(OR($N82&lt;&gt;"Concluída",$O82="",$Q82=""),0,IF($O82&lt;=$Q82,1,0)))</f>
        <v/>
      </c>
      <c r="T82" s="28" t="str">
        <f aca="false">IF(OR($J82="",$N82&lt;&gt;"Concluída",$O82=""),"",MAX(0,$O82-$J82))</f>
        <v/>
      </c>
      <c r="U82" s="33" t="str">
        <f aca="true">IF($E82="","",IF($N82="Cancelada","Cancelada",IF($N82="Concluída",IF($R82=1,"No prazo","Concluída com atraso"),IF($J82="","Na carteira",IF($J82&lt;TODAY(),"VENCIDA",IF($J82=TODAY(),"Hoje","Programada"))))))</f>
        <v/>
      </c>
    </row>
    <row r="83" customFormat="false" ht="15.75" hidden="false" customHeight="true" outlineLevel="0" collapsed="false">
      <c r="A83" s="28" t="str">
        <f aca="false">IF($E83="","",COUNTA($E$4:$E83))</f>
        <v/>
      </c>
      <c r="B83" s="34"/>
      <c r="C83" s="34"/>
      <c r="D83" s="34"/>
      <c r="E83" s="34"/>
      <c r="F83" s="35"/>
      <c r="G83" s="34"/>
      <c r="H83" s="35"/>
      <c r="I83" s="34"/>
      <c r="J83" s="36"/>
      <c r="K83" s="36"/>
      <c r="L83" s="35"/>
      <c r="M83" s="34"/>
      <c r="N83" s="35"/>
      <c r="O83" s="36"/>
      <c r="P83" s="32" t="str">
        <f aca="false">IF($J83="","",$J83-WEEKDAY($J83,3))</f>
        <v/>
      </c>
      <c r="Q83" s="32" t="str">
        <f aca="false">IF($J83="","",IF($K83="",$J83,$K83))</f>
        <v/>
      </c>
      <c r="R83" s="28" t="str">
        <f aca="false">IF($E83="","",IF(OR($N83&lt;&gt;"Concluída",$O83="",$J83=""),0,IF($O83&lt;=$J83,1,0)))</f>
        <v/>
      </c>
      <c r="S83" s="28" t="str">
        <f aca="false">IF($E83="","",IF(OR($N83&lt;&gt;"Concluída",$O83="",$Q83=""),0,IF($O83&lt;=$Q83,1,0)))</f>
        <v/>
      </c>
      <c r="T83" s="28" t="str">
        <f aca="false">IF(OR($J83="",$N83&lt;&gt;"Concluída",$O83=""),"",MAX(0,$O83-$J83))</f>
        <v/>
      </c>
      <c r="U83" s="33" t="str">
        <f aca="true">IF($E83="","",IF($N83="Cancelada","Cancelada",IF($N83="Concluída",IF($R83=1,"No prazo","Concluída com atraso"),IF($J83="","Na carteira",IF($J83&lt;TODAY(),"VENCIDA",IF($J83=TODAY(),"Hoje","Programada"))))))</f>
        <v/>
      </c>
    </row>
    <row r="84" customFormat="false" ht="15.75" hidden="false" customHeight="true" outlineLevel="0" collapsed="false">
      <c r="A84" s="28" t="str">
        <f aca="false">IF($E84="","",COUNTA($E$4:$E84))</f>
        <v/>
      </c>
      <c r="B84" s="29"/>
      <c r="C84" s="29"/>
      <c r="D84" s="29"/>
      <c r="E84" s="29"/>
      <c r="F84" s="30"/>
      <c r="G84" s="29"/>
      <c r="H84" s="30"/>
      <c r="I84" s="29"/>
      <c r="J84" s="31"/>
      <c r="K84" s="31"/>
      <c r="L84" s="30"/>
      <c r="M84" s="29"/>
      <c r="N84" s="30"/>
      <c r="O84" s="31"/>
      <c r="P84" s="32" t="str">
        <f aca="false">IF($J84="","",$J84-WEEKDAY($J84,3))</f>
        <v/>
      </c>
      <c r="Q84" s="32" t="str">
        <f aca="false">IF($J84="","",IF($K84="",$J84,$K84))</f>
        <v/>
      </c>
      <c r="R84" s="28" t="str">
        <f aca="false">IF($E84="","",IF(OR($N84&lt;&gt;"Concluída",$O84="",$J84=""),0,IF($O84&lt;=$J84,1,0)))</f>
        <v/>
      </c>
      <c r="S84" s="28" t="str">
        <f aca="false">IF($E84="","",IF(OR($N84&lt;&gt;"Concluída",$O84="",$Q84=""),0,IF($O84&lt;=$Q84,1,0)))</f>
        <v/>
      </c>
      <c r="T84" s="28" t="str">
        <f aca="false">IF(OR($J84="",$N84&lt;&gt;"Concluída",$O84=""),"",MAX(0,$O84-$J84))</f>
        <v/>
      </c>
      <c r="U84" s="33" t="str">
        <f aca="true">IF($E84="","",IF($N84="Cancelada","Cancelada",IF($N84="Concluída",IF($R84=1,"No prazo","Concluída com atraso"),IF($J84="","Na carteira",IF($J84&lt;TODAY(),"VENCIDA",IF($J84=TODAY(),"Hoje","Programada"))))))</f>
        <v/>
      </c>
    </row>
    <row r="85" customFormat="false" ht="15.75" hidden="false" customHeight="true" outlineLevel="0" collapsed="false">
      <c r="A85" s="28" t="str">
        <f aca="false">IF($E85="","",COUNTA($E$4:$E85))</f>
        <v/>
      </c>
      <c r="B85" s="34"/>
      <c r="C85" s="34"/>
      <c r="D85" s="34"/>
      <c r="E85" s="34"/>
      <c r="F85" s="35"/>
      <c r="G85" s="34"/>
      <c r="H85" s="35"/>
      <c r="I85" s="34"/>
      <c r="J85" s="36"/>
      <c r="K85" s="36"/>
      <c r="L85" s="35"/>
      <c r="M85" s="34"/>
      <c r="N85" s="35"/>
      <c r="O85" s="36"/>
      <c r="P85" s="32" t="str">
        <f aca="false">IF($J85="","",$J85-WEEKDAY($J85,3))</f>
        <v/>
      </c>
      <c r="Q85" s="32" t="str">
        <f aca="false">IF($J85="","",IF($K85="",$J85,$K85))</f>
        <v/>
      </c>
      <c r="R85" s="28" t="str">
        <f aca="false">IF($E85="","",IF(OR($N85&lt;&gt;"Concluída",$O85="",$J85=""),0,IF($O85&lt;=$J85,1,0)))</f>
        <v/>
      </c>
      <c r="S85" s="28" t="str">
        <f aca="false">IF($E85="","",IF(OR($N85&lt;&gt;"Concluída",$O85="",$Q85=""),0,IF($O85&lt;=$Q85,1,0)))</f>
        <v/>
      </c>
      <c r="T85" s="28" t="str">
        <f aca="false">IF(OR($J85="",$N85&lt;&gt;"Concluída",$O85=""),"",MAX(0,$O85-$J85))</f>
        <v/>
      </c>
      <c r="U85" s="33" t="str">
        <f aca="true">IF($E85="","",IF($N85="Cancelada","Cancelada",IF($N85="Concluída",IF($R85=1,"No prazo","Concluída com atraso"),IF($J85="","Na carteira",IF($J85&lt;TODAY(),"VENCIDA",IF($J85=TODAY(),"Hoje","Programada"))))))</f>
        <v/>
      </c>
    </row>
    <row r="86" customFormat="false" ht="15.75" hidden="false" customHeight="true" outlineLevel="0" collapsed="false">
      <c r="A86" s="28" t="str">
        <f aca="false">IF($E86="","",COUNTA($E$4:$E86))</f>
        <v/>
      </c>
      <c r="B86" s="29"/>
      <c r="C86" s="29"/>
      <c r="D86" s="29"/>
      <c r="E86" s="29"/>
      <c r="F86" s="30"/>
      <c r="G86" s="29"/>
      <c r="H86" s="30"/>
      <c r="I86" s="29"/>
      <c r="J86" s="31"/>
      <c r="K86" s="31"/>
      <c r="L86" s="30"/>
      <c r="M86" s="29"/>
      <c r="N86" s="30"/>
      <c r="O86" s="31"/>
      <c r="P86" s="32" t="str">
        <f aca="false">IF($J86="","",$J86-WEEKDAY($J86,3))</f>
        <v/>
      </c>
      <c r="Q86" s="32" t="str">
        <f aca="false">IF($J86="","",IF($K86="",$J86,$K86))</f>
        <v/>
      </c>
      <c r="R86" s="28" t="str">
        <f aca="false">IF($E86="","",IF(OR($N86&lt;&gt;"Concluída",$O86="",$J86=""),0,IF($O86&lt;=$J86,1,0)))</f>
        <v/>
      </c>
      <c r="S86" s="28" t="str">
        <f aca="false">IF($E86="","",IF(OR($N86&lt;&gt;"Concluída",$O86="",$Q86=""),0,IF($O86&lt;=$Q86,1,0)))</f>
        <v/>
      </c>
      <c r="T86" s="28" t="str">
        <f aca="false">IF(OR($J86="",$N86&lt;&gt;"Concluída",$O86=""),"",MAX(0,$O86-$J86))</f>
        <v/>
      </c>
      <c r="U86" s="33" t="str">
        <f aca="true">IF($E86="","",IF($N86="Cancelada","Cancelada",IF($N86="Concluída",IF($R86=1,"No prazo","Concluída com atraso"),IF($J86="","Na carteira",IF($J86&lt;TODAY(),"VENCIDA",IF($J86=TODAY(),"Hoje","Programada"))))))</f>
        <v/>
      </c>
    </row>
    <row r="87" customFormat="false" ht="15.75" hidden="false" customHeight="true" outlineLevel="0" collapsed="false">
      <c r="A87" s="28" t="str">
        <f aca="false">IF($E87="","",COUNTA($E$4:$E87))</f>
        <v/>
      </c>
      <c r="B87" s="34"/>
      <c r="C87" s="34"/>
      <c r="D87" s="34"/>
      <c r="E87" s="34"/>
      <c r="F87" s="35"/>
      <c r="G87" s="34"/>
      <c r="H87" s="35"/>
      <c r="I87" s="34"/>
      <c r="J87" s="36"/>
      <c r="K87" s="36"/>
      <c r="L87" s="35"/>
      <c r="M87" s="34"/>
      <c r="N87" s="35"/>
      <c r="O87" s="36"/>
      <c r="P87" s="32" t="str">
        <f aca="false">IF($J87="","",$J87-WEEKDAY($J87,3))</f>
        <v/>
      </c>
      <c r="Q87" s="32" t="str">
        <f aca="false">IF($J87="","",IF($K87="",$J87,$K87))</f>
        <v/>
      </c>
      <c r="R87" s="28" t="str">
        <f aca="false">IF($E87="","",IF(OR($N87&lt;&gt;"Concluída",$O87="",$J87=""),0,IF($O87&lt;=$J87,1,0)))</f>
        <v/>
      </c>
      <c r="S87" s="28" t="str">
        <f aca="false">IF($E87="","",IF(OR($N87&lt;&gt;"Concluída",$O87="",$Q87=""),0,IF($O87&lt;=$Q87,1,0)))</f>
        <v/>
      </c>
      <c r="T87" s="28" t="str">
        <f aca="false">IF(OR($J87="",$N87&lt;&gt;"Concluída",$O87=""),"",MAX(0,$O87-$J87))</f>
        <v/>
      </c>
      <c r="U87" s="33" t="str">
        <f aca="true">IF($E87="","",IF($N87="Cancelada","Cancelada",IF($N87="Concluída",IF($R87=1,"No prazo","Concluída com atraso"),IF($J87="","Na carteira",IF($J87&lt;TODAY(),"VENCIDA",IF($J87=TODAY(),"Hoje","Programada"))))))</f>
        <v/>
      </c>
    </row>
    <row r="88" customFormat="false" ht="15.75" hidden="false" customHeight="true" outlineLevel="0" collapsed="false">
      <c r="A88" s="28" t="str">
        <f aca="false">IF($E88="","",COUNTA($E$4:$E88))</f>
        <v/>
      </c>
      <c r="B88" s="29"/>
      <c r="C88" s="29"/>
      <c r="D88" s="29"/>
      <c r="E88" s="29"/>
      <c r="F88" s="30"/>
      <c r="G88" s="29"/>
      <c r="H88" s="30"/>
      <c r="I88" s="29"/>
      <c r="J88" s="31"/>
      <c r="K88" s="31"/>
      <c r="L88" s="30"/>
      <c r="M88" s="29"/>
      <c r="N88" s="30"/>
      <c r="O88" s="31"/>
      <c r="P88" s="32" t="str">
        <f aca="false">IF($J88="","",$J88-WEEKDAY($J88,3))</f>
        <v/>
      </c>
      <c r="Q88" s="32" t="str">
        <f aca="false">IF($J88="","",IF($K88="",$J88,$K88))</f>
        <v/>
      </c>
      <c r="R88" s="28" t="str">
        <f aca="false">IF($E88="","",IF(OR($N88&lt;&gt;"Concluída",$O88="",$J88=""),0,IF($O88&lt;=$J88,1,0)))</f>
        <v/>
      </c>
      <c r="S88" s="28" t="str">
        <f aca="false">IF($E88="","",IF(OR($N88&lt;&gt;"Concluída",$O88="",$Q88=""),0,IF($O88&lt;=$Q88,1,0)))</f>
        <v/>
      </c>
      <c r="T88" s="28" t="str">
        <f aca="false">IF(OR($J88="",$N88&lt;&gt;"Concluída",$O88=""),"",MAX(0,$O88-$J88))</f>
        <v/>
      </c>
      <c r="U88" s="33" t="str">
        <f aca="true">IF($E88="","",IF($N88="Cancelada","Cancelada",IF($N88="Concluída",IF($R88=1,"No prazo","Concluída com atraso"),IF($J88="","Na carteira",IF($J88&lt;TODAY(),"VENCIDA",IF($J88=TODAY(),"Hoje","Programada"))))))</f>
        <v/>
      </c>
    </row>
    <row r="89" customFormat="false" ht="15.75" hidden="false" customHeight="true" outlineLevel="0" collapsed="false">
      <c r="A89" s="28" t="str">
        <f aca="false">IF($E89="","",COUNTA($E$4:$E89))</f>
        <v/>
      </c>
      <c r="B89" s="34"/>
      <c r="C89" s="34"/>
      <c r="D89" s="34"/>
      <c r="E89" s="34"/>
      <c r="F89" s="35"/>
      <c r="G89" s="34"/>
      <c r="H89" s="35"/>
      <c r="I89" s="34"/>
      <c r="J89" s="36"/>
      <c r="K89" s="36"/>
      <c r="L89" s="35"/>
      <c r="M89" s="34"/>
      <c r="N89" s="35"/>
      <c r="O89" s="36"/>
      <c r="P89" s="32" t="str">
        <f aca="false">IF($J89="","",$J89-WEEKDAY($J89,3))</f>
        <v/>
      </c>
      <c r="Q89" s="32" t="str">
        <f aca="false">IF($J89="","",IF($K89="",$J89,$K89))</f>
        <v/>
      </c>
      <c r="R89" s="28" t="str">
        <f aca="false">IF($E89="","",IF(OR($N89&lt;&gt;"Concluída",$O89="",$J89=""),0,IF($O89&lt;=$J89,1,0)))</f>
        <v/>
      </c>
      <c r="S89" s="28" t="str">
        <f aca="false">IF($E89="","",IF(OR($N89&lt;&gt;"Concluída",$O89="",$Q89=""),0,IF($O89&lt;=$Q89,1,0)))</f>
        <v/>
      </c>
      <c r="T89" s="28" t="str">
        <f aca="false">IF(OR($J89="",$N89&lt;&gt;"Concluída",$O89=""),"",MAX(0,$O89-$J89))</f>
        <v/>
      </c>
      <c r="U89" s="33" t="str">
        <f aca="true">IF($E89="","",IF($N89="Cancelada","Cancelada",IF($N89="Concluída",IF($R89=1,"No prazo","Concluída com atraso"),IF($J89="","Na carteira",IF($J89&lt;TODAY(),"VENCIDA",IF($J89=TODAY(),"Hoje","Programada"))))))</f>
        <v/>
      </c>
    </row>
    <row r="90" customFormat="false" ht="15.75" hidden="false" customHeight="true" outlineLevel="0" collapsed="false">
      <c r="A90" s="28" t="str">
        <f aca="false">IF($E90="","",COUNTA($E$4:$E90))</f>
        <v/>
      </c>
      <c r="B90" s="29"/>
      <c r="C90" s="29"/>
      <c r="D90" s="29"/>
      <c r="E90" s="29"/>
      <c r="F90" s="30"/>
      <c r="G90" s="29"/>
      <c r="H90" s="30"/>
      <c r="I90" s="29"/>
      <c r="J90" s="31"/>
      <c r="K90" s="31"/>
      <c r="L90" s="30"/>
      <c r="M90" s="29"/>
      <c r="N90" s="30"/>
      <c r="O90" s="31"/>
      <c r="P90" s="32" t="str">
        <f aca="false">IF($J90="","",$J90-WEEKDAY($J90,3))</f>
        <v/>
      </c>
      <c r="Q90" s="32" t="str">
        <f aca="false">IF($J90="","",IF($K90="",$J90,$K90))</f>
        <v/>
      </c>
      <c r="R90" s="28" t="str">
        <f aca="false">IF($E90="","",IF(OR($N90&lt;&gt;"Concluída",$O90="",$J90=""),0,IF($O90&lt;=$J90,1,0)))</f>
        <v/>
      </c>
      <c r="S90" s="28" t="str">
        <f aca="false">IF($E90="","",IF(OR($N90&lt;&gt;"Concluída",$O90="",$Q90=""),0,IF($O90&lt;=$Q90,1,0)))</f>
        <v/>
      </c>
      <c r="T90" s="28" t="str">
        <f aca="false">IF(OR($J90="",$N90&lt;&gt;"Concluída",$O90=""),"",MAX(0,$O90-$J90))</f>
        <v/>
      </c>
      <c r="U90" s="33" t="str">
        <f aca="true">IF($E90="","",IF($N90="Cancelada","Cancelada",IF($N90="Concluída",IF($R90=1,"No prazo","Concluída com atraso"),IF($J90="","Na carteira",IF($J90&lt;TODAY(),"VENCIDA",IF($J90=TODAY(),"Hoje","Programada"))))))</f>
        <v/>
      </c>
    </row>
    <row r="91" customFormat="false" ht="15.75" hidden="false" customHeight="true" outlineLevel="0" collapsed="false">
      <c r="A91" s="28" t="str">
        <f aca="false">IF($E91="","",COUNTA($E$4:$E91))</f>
        <v/>
      </c>
      <c r="B91" s="34"/>
      <c r="C91" s="34"/>
      <c r="D91" s="34"/>
      <c r="E91" s="34"/>
      <c r="F91" s="35"/>
      <c r="G91" s="34"/>
      <c r="H91" s="35"/>
      <c r="I91" s="34"/>
      <c r="J91" s="36"/>
      <c r="K91" s="36"/>
      <c r="L91" s="35"/>
      <c r="M91" s="34"/>
      <c r="N91" s="35"/>
      <c r="O91" s="36"/>
      <c r="P91" s="32" t="str">
        <f aca="false">IF($J91="","",$J91-WEEKDAY($J91,3))</f>
        <v/>
      </c>
      <c r="Q91" s="32" t="str">
        <f aca="false">IF($J91="","",IF($K91="",$J91,$K91))</f>
        <v/>
      </c>
      <c r="R91" s="28" t="str">
        <f aca="false">IF($E91="","",IF(OR($N91&lt;&gt;"Concluída",$O91="",$J91=""),0,IF($O91&lt;=$J91,1,0)))</f>
        <v/>
      </c>
      <c r="S91" s="28" t="str">
        <f aca="false">IF($E91="","",IF(OR($N91&lt;&gt;"Concluída",$O91="",$Q91=""),0,IF($O91&lt;=$Q91,1,0)))</f>
        <v/>
      </c>
      <c r="T91" s="28" t="str">
        <f aca="false">IF(OR($J91="",$N91&lt;&gt;"Concluída",$O91=""),"",MAX(0,$O91-$J91))</f>
        <v/>
      </c>
      <c r="U91" s="33" t="str">
        <f aca="true">IF($E91="","",IF($N91="Cancelada","Cancelada",IF($N91="Concluída",IF($R91=1,"No prazo","Concluída com atraso"),IF($J91="","Na carteira",IF($J91&lt;TODAY(),"VENCIDA",IF($J91=TODAY(),"Hoje","Programada"))))))</f>
        <v/>
      </c>
    </row>
    <row r="92" customFormat="false" ht="15.75" hidden="false" customHeight="true" outlineLevel="0" collapsed="false">
      <c r="A92" s="28" t="str">
        <f aca="false">IF($E92="","",COUNTA($E$4:$E92))</f>
        <v/>
      </c>
      <c r="B92" s="29"/>
      <c r="C92" s="29"/>
      <c r="D92" s="29"/>
      <c r="E92" s="29"/>
      <c r="F92" s="30"/>
      <c r="G92" s="29"/>
      <c r="H92" s="30"/>
      <c r="I92" s="29"/>
      <c r="J92" s="31"/>
      <c r="K92" s="31"/>
      <c r="L92" s="30"/>
      <c r="M92" s="29"/>
      <c r="N92" s="30"/>
      <c r="O92" s="31"/>
      <c r="P92" s="32" t="str">
        <f aca="false">IF($J92="","",$J92-WEEKDAY($J92,3))</f>
        <v/>
      </c>
      <c r="Q92" s="32" t="str">
        <f aca="false">IF($J92="","",IF($K92="",$J92,$K92))</f>
        <v/>
      </c>
      <c r="R92" s="28" t="str">
        <f aca="false">IF($E92="","",IF(OR($N92&lt;&gt;"Concluída",$O92="",$J92=""),0,IF($O92&lt;=$J92,1,0)))</f>
        <v/>
      </c>
      <c r="S92" s="28" t="str">
        <f aca="false">IF($E92="","",IF(OR($N92&lt;&gt;"Concluída",$O92="",$Q92=""),0,IF($O92&lt;=$Q92,1,0)))</f>
        <v/>
      </c>
      <c r="T92" s="28" t="str">
        <f aca="false">IF(OR($J92="",$N92&lt;&gt;"Concluída",$O92=""),"",MAX(0,$O92-$J92))</f>
        <v/>
      </c>
      <c r="U92" s="33" t="str">
        <f aca="true">IF($E92="","",IF($N92="Cancelada","Cancelada",IF($N92="Concluída",IF($R92=1,"No prazo","Concluída com atraso"),IF($J92="","Na carteira",IF($J92&lt;TODAY(),"VENCIDA",IF($J92=TODAY(),"Hoje","Programada"))))))</f>
        <v/>
      </c>
    </row>
    <row r="93" customFormat="false" ht="15.75" hidden="false" customHeight="true" outlineLevel="0" collapsed="false">
      <c r="A93" s="28" t="str">
        <f aca="false">IF($E93="","",COUNTA($E$4:$E93))</f>
        <v/>
      </c>
      <c r="B93" s="34"/>
      <c r="C93" s="34"/>
      <c r="D93" s="34"/>
      <c r="E93" s="34"/>
      <c r="F93" s="35"/>
      <c r="G93" s="34"/>
      <c r="H93" s="35"/>
      <c r="I93" s="34"/>
      <c r="J93" s="36"/>
      <c r="K93" s="36"/>
      <c r="L93" s="35"/>
      <c r="M93" s="34"/>
      <c r="N93" s="35"/>
      <c r="O93" s="36"/>
      <c r="P93" s="32" t="str">
        <f aca="false">IF($J93="","",$J93-WEEKDAY($J93,3))</f>
        <v/>
      </c>
      <c r="Q93" s="32" t="str">
        <f aca="false">IF($J93="","",IF($K93="",$J93,$K93))</f>
        <v/>
      </c>
      <c r="R93" s="28" t="str">
        <f aca="false">IF($E93="","",IF(OR($N93&lt;&gt;"Concluída",$O93="",$J93=""),0,IF($O93&lt;=$J93,1,0)))</f>
        <v/>
      </c>
      <c r="S93" s="28" t="str">
        <f aca="false">IF($E93="","",IF(OR($N93&lt;&gt;"Concluída",$O93="",$Q93=""),0,IF($O93&lt;=$Q93,1,0)))</f>
        <v/>
      </c>
      <c r="T93" s="28" t="str">
        <f aca="false">IF(OR($J93="",$N93&lt;&gt;"Concluída",$O93=""),"",MAX(0,$O93-$J93))</f>
        <v/>
      </c>
      <c r="U93" s="33" t="str">
        <f aca="true">IF($E93="","",IF($N93="Cancelada","Cancelada",IF($N93="Concluída",IF($R93=1,"No prazo","Concluída com atraso"),IF($J93="","Na carteira",IF($J93&lt;TODAY(),"VENCIDA",IF($J93=TODAY(),"Hoje","Programada"))))))</f>
        <v/>
      </c>
    </row>
    <row r="94" customFormat="false" ht="15.75" hidden="false" customHeight="true" outlineLevel="0" collapsed="false">
      <c r="A94" s="28" t="str">
        <f aca="false">IF($E94="","",COUNTA($E$4:$E94))</f>
        <v/>
      </c>
      <c r="B94" s="29"/>
      <c r="C94" s="29"/>
      <c r="D94" s="29"/>
      <c r="E94" s="29"/>
      <c r="F94" s="30"/>
      <c r="G94" s="29"/>
      <c r="H94" s="30"/>
      <c r="I94" s="29"/>
      <c r="J94" s="31"/>
      <c r="K94" s="31"/>
      <c r="L94" s="30"/>
      <c r="M94" s="29"/>
      <c r="N94" s="30"/>
      <c r="O94" s="31"/>
      <c r="P94" s="32" t="str">
        <f aca="false">IF($J94="","",$J94-WEEKDAY($J94,3))</f>
        <v/>
      </c>
      <c r="Q94" s="32" t="str">
        <f aca="false">IF($J94="","",IF($K94="",$J94,$K94))</f>
        <v/>
      </c>
      <c r="R94" s="28" t="str">
        <f aca="false">IF($E94="","",IF(OR($N94&lt;&gt;"Concluída",$O94="",$J94=""),0,IF($O94&lt;=$J94,1,0)))</f>
        <v/>
      </c>
      <c r="S94" s="28" t="str">
        <f aca="false">IF($E94="","",IF(OR($N94&lt;&gt;"Concluída",$O94="",$Q94=""),0,IF($O94&lt;=$Q94,1,0)))</f>
        <v/>
      </c>
      <c r="T94" s="28" t="str">
        <f aca="false">IF(OR($J94="",$N94&lt;&gt;"Concluída",$O94=""),"",MAX(0,$O94-$J94))</f>
        <v/>
      </c>
      <c r="U94" s="33" t="str">
        <f aca="true">IF($E94="","",IF($N94="Cancelada","Cancelada",IF($N94="Concluída",IF($R94=1,"No prazo","Concluída com atraso"),IF($J94="","Na carteira",IF($J94&lt;TODAY(),"VENCIDA",IF($J94=TODAY(),"Hoje","Programada"))))))</f>
        <v/>
      </c>
    </row>
    <row r="95" customFormat="false" ht="15.75" hidden="false" customHeight="true" outlineLevel="0" collapsed="false">
      <c r="A95" s="28" t="str">
        <f aca="false">IF($E95="","",COUNTA($E$4:$E95))</f>
        <v/>
      </c>
      <c r="B95" s="34"/>
      <c r="C95" s="34"/>
      <c r="D95" s="34"/>
      <c r="E95" s="34"/>
      <c r="F95" s="35"/>
      <c r="G95" s="34"/>
      <c r="H95" s="35"/>
      <c r="I95" s="34"/>
      <c r="J95" s="36"/>
      <c r="K95" s="36"/>
      <c r="L95" s="35"/>
      <c r="M95" s="34"/>
      <c r="N95" s="35"/>
      <c r="O95" s="36"/>
      <c r="P95" s="32" t="str">
        <f aca="false">IF($J95="","",$J95-WEEKDAY($J95,3))</f>
        <v/>
      </c>
      <c r="Q95" s="32" t="str">
        <f aca="false">IF($J95="","",IF($K95="",$J95,$K95))</f>
        <v/>
      </c>
      <c r="R95" s="28" t="str">
        <f aca="false">IF($E95="","",IF(OR($N95&lt;&gt;"Concluída",$O95="",$J95=""),0,IF($O95&lt;=$J95,1,0)))</f>
        <v/>
      </c>
      <c r="S95" s="28" t="str">
        <f aca="false">IF($E95="","",IF(OR($N95&lt;&gt;"Concluída",$O95="",$Q95=""),0,IF($O95&lt;=$Q95,1,0)))</f>
        <v/>
      </c>
      <c r="T95" s="28" t="str">
        <f aca="false">IF(OR($J95="",$N95&lt;&gt;"Concluída",$O95=""),"",MAX(0,$O95-$J95))</f>
        <v/>
      </c>
      <c r="U95" s="33" t="str">
        <f aca="true">IF($E95="","",IF($N95="Cancelada","Cancelada",IF($N95="Concluída",IF($R95=1,"No prazo","Concluída com atraso"),IF($J95="","Na carteira",IF($J95&lt;TODAY(),"VENCIDA",IF($J95=TODAY(),"Hoje","Programada"))))))</f>
        <v/>
      </c>
    </row>
    <row r="96" customFormat="false" ht="15.75" hidden="false" customHeight="true" outlineLevel="0" collapsed="false">
      <c r="A96" s="28" t="str">
        <f aca="false">IF($E96="","",COUNTA($E$4:$E96))</f>
        <v/>
      </c>
      <c r="B96" s="29"/>
      <c r="C96" s="29"/>
      <c r="D96" s="29"/>
      <c r="E96" s="29"/>
      <c r="F96" s="30"/>
      <c r="G96" s="29"/>
      <c r="H96" s="30"/>
      <c r="I96" s="29"/>
      <c r="J96" s="31"/>
      <c r="K96" s="31"/>
      <c r="L96" s="30"/>
      <c r="M96" s="29"/>
      <c r="N96" s="30"/>
      <c r="O96" s="31"/>
      <c r="P96" s="32" t="str">
        <f aca="false">IF($J96="","",$J96-WEEKDAY($J96,3))</f>
        <v/>
      </c>
      <c r="Q96" s="32" t="str">
        <f aca="false">IF($J96="","",IF($K96="",$J96,$K96))</f>
        <v/>
      </c>
      <c r="R96" s="28" t="str">
        <f aca="false">IF($E96="","",IF(OR($N96&lt;&gt;"Concluída",$O96="",$J96=""),0,IF($O96&lt;=$J96,1,0)))</f>
        <v/>
      </c>
      <c r="S96" s="28" t="str">
        <f aca="false">IF($E96="","",IF(OR($N96&lt;&gt;"Concluída",$O96="",$Q96=""),0,IF($O96&lt;=$Q96,1,0)))</f>
        <v/>
      </c>
      <c r="T96" s="28" t="str">
        <f aca="false">IF(OR($J96="",$N96&lt;&gt;"Concluída",$O96=""),"",MAX(0,$O96-$J96))</f>
        <v/>
      </c>
      <c r="U96" s="33" t="str">
        <f aca="true">IF($E96="","",IF($N96="Cancelada","Cancelada",IF($N96="Concluída",IF($R96=1,"No prazo","Concluída com atraso"),IF($J96="","Na carteira",IF($J96&lt;TODAY(),"VENCIDA",IF($J96=TODAY(),"Hoje","Programada"))))))</f>
        <v/>
      </c>
    </row>
    <row r="97" customFormat="false" ht="15.75" hidden="false" customHeight="true" outlineLevel="0" collapsed="false">
      <c r="A97" s="28" t="str">
        <f aca="false">IF($E97="","",COUNTA($E$4:$E97))</f>
        <v/>
      </c>
      <c r="B97" s="34"/>
      <c r="C97" s="34"/>
      <c r="D97" s="34"/>
      <c r="E97" s="34"/>
      <c r="F97" s="35"/>
      <c r="G97" s="34"/>
      <c r="H97" s="35"/>
      <c r="I97" s="34"/>
      <c r="J97" s="36"/>
      <c r="K97" s="36"/>
      <c r="L97" s="35"/>
      <c r="M97" s="34"/>
      <c r="N97" s="35"/>
      <c r="O97" s="36"/>
      <c r="P97" s="32" t="str">
        <f aca="false">IF($J97="","",$J97-WEEKDAY($J97,3))</f>
        <v/>
      </c>
      <c r="Q97" s="32" t="str">
        <f aca="false">IF($J97="","",IF($K97="",$J97,$K97))</f>
        <v/>
      </c>
      <c r="R97" s="28" t="str">
        <f aca="false">IF($E97="","",IF(OR($N97&lt;&gt;"Concluída",$O97="",$J97=""),0,IF($O97&lt;=$J97,1,0)))</f>
        <v/>
      </c>
      <c r="S97" s="28" t="str">
        <f aca="false">IF($E97="","",IF(OR($N97&lt;&gt;"Concluída",$O97="",$Q97=""),0,IF($O97&lt;=$Q97,1,0)))</f>
        <v/>
      </c>
      <c r="T97" s="28" t="str">
        <f aca="false">IF(OR($J97="",$N97&lt;&gt;"Concluída",$O97=""),"",MAX(0,$O97-$J97))</f>
        <v/>
      </c>
      <c r="U97" s="33" t="str">
        <f aca="true">IF($E97="","",IF($N97="Cancelada","Cancelada",IF($N97="Concluída",IF($R97=1,"No prazo","Concluída com atraso"),IF($J97="","Na carteira",IF($J97&lt;TODAY(),"VENCIDA",IF($J97=TODAY(),"Hoje","Programada"))))))</f>
        <v/>
      </c>
    </row>
    <row r="98" customFormat="false" ht="15.75" hidden="false" customHeight="true" outlineLevel="0" collapsed="false">
      <c r="A98" s="28" t="str">
        <f aca="false">IF($E98="","",COUNTA($E$4:$E98))</f>
        <v/>
      </c>
      <c r="B98" s="29"/>
      <c r="C98" s="29"/>
      <c r="D98" s="29"/>
      <c r="E98" s="29"/>
      <c r="F98" s="30"/>
      <c r="G98" s="29"/>
      <c r="H98" s="30"/>
      <c r="I98" s="29"/>
      <c r="J98" s="31"/>
      <c r="K98" s="31"/>
      <c r="L98" s="30"/>
      <c r="M98" s="29"/>
      <c r="N98" s="30"/>
      <c r="O98" s="31"/>
      <c r="P98" s="32" t="str">
        <f aca="false">IF($J98="","",$J98-WEEKDAY($J98,3))</f>
        <v/>
      </c>
      <c r="Q98" s="32" t="str">
        <f aca="false">IF($J98="","",IF($K98="",$J98,$K98))</f>
        <v/>
      </c>
      <c r="R98" s="28" t="str">
        <f aca="false">IF($E98="","",IF(OR($N98&lt;&gt;"Concluída",$O98="",$J98=""),0,IF($O98&lt;=$J98,1,0)))</f>
        <v/>
      </c>
      <c r="S98" s="28" t="str">
        <f aca="false">IF($E98="","",IF(OR($N98&lt;&gt;"Concluída",$O98="",$Q98=""),0,IF($O98&lt;=$Q98,1,0)))</f>
        <v/>
      </c>
      <c r="T98" s="28" t="str">
        <f aca="false">IF(OR($J98="",$N98&lt;&gt;"Concluída",$O98=""),"",MAX(0,$O98-$J98))</f>
        <v/>
      </c>
      <c r="U98" s="33" t="str">
        <f aca="true">IF($E98="","",IF($N98="Cancelada","Cancelada",IF($N98="Concluída",IF($R98=1,"No prazo","Concluída com atraso"),IF($J98="","Na carteira",IF($J98&lt;TODAY(),"VENCIDA",IF($J98=TODAY(),"Hoje","Programada"))))))</f>
        <v/>
      </c>
    </row>
    <row r="99" customFormat="false" ht="15.75" hidden="false" customHeight="true" outlineLevel="0" collapsed="false">
      <c r="A99" s="28" t="str">
        <f aca="false">IF($E99="","",COUNTA($E$4:$E99))</f>
        <v/>
      </c>
      <c r="B99" s="34"/>
      <c r="C99" s="34"/>
      <c r="D99" s="34"/>
      <c r="E99" s="34"/>
      <c r="F99" s="35"/>
      <c r="G99" s="34"/>
      <c r="H99" s="35"/>
      <c r="I99" s="34"/>
      <c r="J99" s="36"/>
      <c r="K99" s="36"/>
      <c r="L99" s="35"/>
      <c r="M99" s="34"/>
      <c r="N99" s="35"/>
      <c r="O99" s="36"/>
      <c r="P99" s="32" t="str">
        <f aca="false">IF($J99="","",$J99-WEEKDAY($J99,3))</f>
        <v/>
      </c>
      <c r="Q99" s="32" t="str">
        <f aca="false">IF($J99="","",IF($K99="",$J99,$K99))</f>
        <v/>
      </c>
      <c r="R99" s="28" t="str">
        <f aca="false">IF($E99="","",IF(OR($N99&lt;&gt;"Concluída",$O99="",$J99=""),0,IF($O99&lt;=$J99,1,0)))</f>
        <v/>
      </c>
      <c r="S99" s="28" t="str">
        <f aca="false">IF($E99="","",IF(OR($N99&lt;&gt;"Concluída",$O99="",$Q99=""),0,IF($O99&lt;=$Q99,1,0)))</f>
        <v/>
      </c>
      <c r="T99" s="28" t="str">
        <f aca="false">IF(OR($J99="",$N99&lt;&gt;"Concluída",$O99=""),"",MAX(0,$O99-$J99))</f>
        <v/>
      </c>
      <c r="U99" s="33" t="str">
        <f aca="true">IF($E99="","",IF($N99="Cancelada","Cancelada",IF($N99="Concluída",IF($R99=1,"No prazo","Concluída com atraso"),IF($J99="","Na carteira",IF($J99&lt;TODAY(),"VENCIDA",IF($J99=TODAY(),"Hoje","Programada"))))))</f>
        <v/>
      </c>
    </row>
    <row r="100" customFormat="false" ht="15.75" hidden="false" customHeight="true" outlineLevel="0" collapsed="false">
      <c r="A100" s="28" t="str">
        <f aca="false">IF($E100="","",COUNTA($E$4:$E100))</f>
        <v/>
      </c>
      <c r="B100" s="29"/>
      <c r="C100" s="29"/>
      <c r="D100" s="29"/>
      <c r="E100" s="29"/>
      <c r="F100" s="30"/>
      <c r="G100" s="29"/>
      <c r="H100" s="30"/>
      <c r="I100" s="29"/>
      <c r="J100" s="31"/>
      <c r="K100" s="31"/>
      <c r="L100" s="30"/>
      <c r="M100" s="29"/>
      <c r="N100" s="30"/>
      <c r="O100" s="31"/>
      <c r="P100" s="32" t="str">
        <f aca="false">IF($J100="","",$J100-WEEKDAY($J100,3))</f>
        <v/>
      </c>
      <c r="Q100" s="32" t="str">
        <f aca="false">IF($J100="","",IF($K100="",$J100,$K100))</f>
        <v/>
      </c>
      <c r="R100" s="28" t="str">
        <f aca="false">IF($E100="","",IF(OR($N100&lt;&gt;"Concluída",$O100="",$J100=""),0,IF($O100&lt;=$J100,1,0)))</f>
        <v/>
      </c>
      <c r="S100" s="28" t="str">
        <f aca="false">IF($E100="","",IF(OR($N100&lt;&gt;"Concluída",$O100="",$Q100=""),0,IF($O100&lt;=$Q100,1,0)))</f>
        <v/>
      </c>
      <c r="T100" s="28" t="str">
        <f aca="false">IF(OR($J100="",$N100&lt;&gt;"Concluída",$O100=""),"",MAX(0,$O100-$J100))</f>
        <v/>
      </c>
      <c r="U100" s="33" t="str">
        <f aca="true">IF($E100="","",IF($N100="Cancelada","Cancelada",IF($N100="Concluída",IF($R100=1,"No prazo","Concluída com atraso"),IF($J100="","Na carteira",IF($J100&lt;TODAY(),"VENCIDA",IF($J100=TODAY(),"Hoje","Programada"))))))</f>
        <v/>
      </c>
    </row>
    <row r="101" customFormat="false" ht="15.75" hidden="false" customHeight="true" outlineLevel="0" collapsed="false">
      <c r="A101" s="28" t="str">
        <f aca="false">IF($E101="","",COUNTA($E$4:$E101))</f>
        <v/>
      </c>
      <c r="B101" s="34"/>
      <c r="C101" s="34"/>
      <c r="D101" s="34"/>
      <c r="E101" s="34"/>
      <c r="F101" s="35"/>
      <c r="G101" s="34"/>
      <c r="H101" s="35"/>
      <c r="I101" s="34"/>
      <c r="J101" s="36"/>
      <c r="K101" s="36"/>
      <c r="L101" s="35"/>
      <c r="M101" s="34"/>
      <c r="N101" s="35"/>
      <c r="O101" s="36"/>
      <c r="P101" s="32" t="str">
        <f aca="false">IF($J101="","",$J101-WEEKDAY($J101,3))</f>
        <v/>
      </c>
      <c r="Q101" s="32" t="str">
        <f aca="false">IF($J101="","",IF($K101="",$J101,$K101))</f>
        <v/>
      </c>
      <c r="R101" s="28" t="str">
        <f aca="false">IF($E101="","",IF(OR($N101&lt;&gt;"Concluída",$O101="",$J101=""),0,IF($O101&lt;=$J101,1,0)))</f>
        <v/>
      </c>
      <c r="S101" s="28" t="str">
        <f aca="false">IF($E101="","",IF(OR($N101&lt;&gt;"Concluída",$O101="",$Q101=""),0,IF($O101&lt;=$Q101,1,0)))</f>
        <v/>
      </c>
      <c r="T101" s="28" t="str">
        <f aca="false">IF(OR($J101="",$N101&lt;&gt;"Concluída",$O101=""),"",MAX(0,$O101-$J101))</f>
        <v/>
      </c>
      <c r="U101" s="33" t="str">
        <f aca="true">IF($E101="","",IF($N101="Cancelada","Cancelada",IF($N101="Concluída",IF($R101=1,"No prazo","Concluída com atraso"),IF($J101="","Na carteira",IF($J101&lt;TODAY(),"VENCIDA",IF($J101=TODAY(),"Hoje","Programada"))))))</f>
        <v/>
      </c>
    </row>
    <row r="102" customFormat="false" ht="15.75" hidden="false" customHeight="true" outlineLevel="0" collapsed="false">
      <c r="A102" s="28" t="str">
        <f aca="false">IF($E102="","",COUNTA($E$4:$E102))</f>
        <v/>
      </c>
      <c r="B102" s="29"/>
      <c r="C102" s="29"/>
      <c r="D102" s="29"/>
      <c r="E102" s="29"/>
      <c r="F102" s="30"/>
      <c r="G102" s="29"/>
      <c r="H102" s="30"/>
      <c r="I102" s="29"/>
      <c r="J102" s="31"/>
      <c r="K102" s="31"/>
      <c r="L102" s="30"/>
      <c r="M102" s="29"/>
      <c r="N102" s="30"/>
      <c r="O102" s="31"/>
      <c r="P102" s="32" t="str">
        <f aca="false">IF($J102="","",$J102-WEEKDAY($J102,3))</f>
        <v/>
      </c>
      <c r="Q102" s="32" t="str">
        <f aca="false">IF($J102="","",IF($K102="",$J102,$K102))</f>
        <v/>
      </c>
      <c r="R102" s="28" t="str">
        <f aca="false">IF($E102="","",IF(OR($N102&lt;&gt;"Concluída",$O102="",$J102=""),0,IF($O102&lt;=$J102,1,0)))</f>
        <v/>
      </c>
      <c r="S102" s="28" t="str">
        <f aca="false">IF($E102="","",IF(OR($N102&lt;&gt;"Concluída",$O102="",$Q102=""),0,IF($O102&lt;=$Q102,1,0)))</f>
        <v/>
      </c>
      <c r="T102" s="28" t="str">
        <f aca="false">IF(OR($J102="",$N102&lt;&gt;"Concluída",$O102=""),"",MAX(0,$O102-$J102))</f>
        <v/>
      </c>
      <c r="U102" s="33" t="str">
        <f aca="true">IF($E102="","",IF($N102="Cancelada","Cancelada",IF($N102="Concluída",IF($R102=1,"No prazo","Concluída com atraso"),IF($J102="","Na carteira",IF($J102&lt;TODAY(),"VENCIDA",IF($J102=TODAY(),"Hoje","Programada"))))))</f>
        <v/>
      </c>
    </row>
    <row r="103" customFormat="false" ht="15.75" hidden="false" customHeight="true" outlineLevel="0" collapsed="false">
      <c r="A103" s="28" t="str">
        <f aca="false">IF($E103="","",COUNTA($E$4:$E103))</f>
        <v/>
      </c>
      <c r="B103" s="34"/>
      <c r="C103" s="34"/>
      <c r="D103" s="34"/>
      <c r="E103" s="34"/>
      <c r="F103" s="35"/>
      <c r="G103" s="34"/>
      <c r="H103" s="35"/>
      <c r="I103" s="34"/>
      <c r="J103" s="36"/>
      <c r="K103" s="36"/>
      <c r="L103" s="35"/>
      <c r="M103" s="34"/>
      <c r="N103" s="35"/>
      <c r="O103" s="36"/>
      <c r="P103" s="32" t="str">
        <f aca="false">IF($J103="","",$J103-WEEKDAY($J103,3))</f>
        <v/>
      </c>
      <c r="Q103" s="32" t="str">
        <f aca="false">IF($J103="","",IF($K103="",$J103,$K103))</f>
        <v/>
      </c>
      <c r="R103" s="28" t="str">
        <f aca="false">IF($E103="","",IF(OR($N103&lt;&gt;"Concluída",$O103="",$J103=""),0,IF($O103&lt;=$J103,1,0)))</f>
        <v/>
      </c>
      <c r="S103" s="28" t="str">
        <f aca="false">IF($E103="","",IF(OR($N103&lt;&gt;"Concluída",$O103="",$Q103=""),0,IF($O103&lt;=$Q103,1,0)))</f>
        <v/>
      </c>
      <c r="T103" s="28" t="str">
        <f aca="false">IF(OR($J103="",$N103&lt;&gt;"Concluída",$O103=""),"",MAX(0,$O103-$J103))</f>
        <v/>
      </c>
      <c r="U103" s="33" t="str">
        <f aca="true">IF($E103="","",IF($N103="Cancelada","Cancelada",IF($N103="Concluída",IF($R103=1,"No prazo","Concluída com atraso"),IF($J103="","Na carteira",IF($J103&lt;TODAY(),"VENCIDA",IF($J103=TODAY(),"Hoje","Programada"))))))</f>
        <v/>
      </c>
    </row>
    <row r="104" customFormat="false" ht="15.75" hidden="false" customHeight="true" outlineLevel="0" collapsed="false">
      <c r="A104" s="28" t="str">
        <f aca="false">IF($E104="","",COUNTA($E$4:$E104))</f>
        <v/>
      </c>
      <c r="B104" s="29"/>
      <c r="C104" s="29"/>
      <c r="D104" s="29"/>
      <c r="E104" s="29"/>
      <c r="F104" s="30"/>
      <c r="G104" s="29"/>
      <c r="H104" s="30"/>
      <c r="I104" s="29"/>
      <c r="J104" s="31"/>
      <c r="K104" s="31"/>
      <c r="L104" s="30"/>
      <c r="M104" s="29"/>
      <c r="N104" s="30"/>
      <c r="O104" s="31"/>
      <c r="P104" s="32" t="str">
        <f aca="false">IF($J104="","",$J104-WEEKDAY($J104,3))</f>
        <v/>
      </c>
      <c r="Q104" s="32" t="str">
        <f aca="false">IF($J104="","",IF($K104="",$J104,$K104))</f>
        <v/>
      </c>
      <c r="R104" s="28" t="str">
        <f aca="false">IF($E104="","",IF(OR($N104&lt;&gt;"Concluída",$O104="",$J104=""),0,IF($O104&lt;=$J104,1,0)))</f>
        <v/>
      </c>
      <c r="S104" s="28" t="str">
        <f aca="false">IF($E104="","",IF(OR($N104&lt;&gt;"Concluída",$O104="",$Q104=""),0,IF($O104&lt;=$Q104,1,0)))</f>
        <v/>
      </c>
      <c r="T104" s="28" t="str">
        <f aca="false">IF(OR($J104="",$N104&lt;&gt;"Concluída",$O104=""),"",MAX(0,$O104-$J104))</f>
        <v/>
      </c>
      <c r="U104" s="33" t="str">
        <f aca="true">IF($E104="","",IF($N104="Cancelada","Cancelada",IF($N104="Concluída",IF($R104=1,"No prazo","Concluída com atraso"),IF($J104="","Na carteira",IF($J104&lt;TODAY(),"VENCIDA",IF($J104=TODAY(),"Hoje","Programada"))))))</f>
        <v/>
      </c>
    </row>
    <row r="105" customFormat="false" ht="15.75" hidden="false" customHeight="true" outlineLevel="0" collapsed="false">
      <c r="A105" s="28" t="str">
        <f aca="false">IF($E105="","",COUNTA($E$4:$E105))</f>
        <v/>
      </c>
      <c r="B105" s="34"/>
      <c r="C105" s="34"/>
      <c r="D105" s="34"/>
      <c r="E105" s="34"/>
      <c r="F105" s="35"/>
      <c r="G105" s="34"/>
      <c r="H105" s="35"/>
      <c r="I105" s="34"/>
      <c r="J105" s="36"/>
      <c r="K105" s="36"/>
      <c r="L105" s="35"/>
      <c r="M105" s="34"/>
      <c r="N105" s="35"/>
      <c r="O105" s="36"/>
      <c r="P105" s="32" t="str">
        <f aca="false">IF($J105="","",$J105-WEEKDAY($J105,3))</f>
        <v/>
      </c>
      <c r="Q105" s="32" t="str">
        <f aca="false">IF($J105="","",IF($K105="",$J105,$K105))</f>
        <v/>
      </c>
      <c r="R105" s="28" t="str">
        <f aca="false">IF($E105="","",IF(OR($N105&lt;&gt;"Concluída",$O105="",$J105=""),0,IF($O105&lt;=$J105,1,0)))</f>
        <v/>
      </c>
      <c r="S105" s="28" t="str">
        <f aca="false">IF($E105="","",IF(OR($N105&lt;&gt;"Concluída",$O105="",$Q105=""),0,IF($O105&lt;=$Q105,1,0)))</f>
        <v/>
      </c>
      <c r="T105" s="28" t="str">
        <f aca="false">IF(OR($J105="",$N105&lt;&gt;"Concluída",$O105=""),"",MAX(0,$O105-$J105))</f>
        <v/>
      </c>
      <c r="U105" s="33" t="str">
        <f aca="true">IF($E105="","",IF($N105="Cancelada","Cancelada",IF($N105="Concluída",IF($R105=1,"No prazo","Concluída com atraso"),IF($J105="","Na carteira",IF($J105&lt;TODAY(),"VENCIDA",IF($J105=TODAY(),"Hoje","Programada"))))))</f>
        <v/>
      </c>
    </row>
    <row r="106" customFormat="false" ht="15.75" hidden="false" customHeight="true" outlineLevel="0" collapsed="false">
      <c r="A106" s="28" t="str">
        <f aca="false">IF($E106="","",COUNTA($E$4:$E106))</f>
        <v/>
      </c>
      <c r="B106" s="29"/>
      <c r="C106" s="29"/>
      <c r="D106" s="29"/>
      <c r="E106" s="29"/>
      <c r="F106" s="30"/>
      <c r="G106" s="29"/>
      <c r="H106" s="30"/>
      <c r="I106" s="29"/>
      <c r="J106" s="31"/>
      <c r="K106" s="31"/>
      <c r="L106" s="30"/>
      <c r="M106" s="29"/>
      <c r="N106" s="30"/>
      <c r="O106" s="31"/>
      <c r="P106" s="32" t="str">
        <f aca="false">IF($J106="","",$J106-WEEKDAY($J106,3))</f>
        <v/>
      </c>
      <c r="Q106" s="32" t="str">
        <f aca="false">IF($J106="","",IF($K106="",$J106,$K106))</f>
        <v/>
      </c>
      <c r="R106" s="28" t="str">
        <f aca="false">IF($E106="","",IF(OR($N106&lt;&gt;"Concluída",$O106="",$J106=""),0,IF($O106&lt;=$J106,1,0)))</f>
        <v/>
      </c>
      <c r="S106" s="28" t="str">
        <f aca="false">IF($E106="","",IF(OR($N106&lt;&gt;"Concluída",$O106="",$Q106=""),0,IF($O106&lt;=$Q106,1,0)))</f>
        <v/>
      </c>
      <c r="T106" s="28" t="str">
        <f aca="false">IF(OR($J106="",$N106&lt;&gt;"Concluída",$O106=""),"",MAX(0,$O106-$J106))</f>
        <v/>
      </c>
      <c r="U106" s="33" t="str">
        <f aca="true">IF($E106="","",IF($N106="Cancelada","Cancelada",IF($N106="Concluída",IF($R106=1,"No prazo","Concluída com atraso"),IF($J106="","Na carteira",IF($J106&lt;TODAY(),"VENCIDA",IF($J106=TODAY(),"Hoje","Programada"))))))</f>
        <v/>
      </c>
    </row>
    <row r="107" customFormat="false" ht="15.75" hidden="false" customHeight="true" outlineLevel="0" collapsed="false">
      <c r="A107" s="28" t="str">
        <f aca="false">IF($E107="","",COUNTA($E$4:$E107))</f>
        <v/>
      </c>
      <c r="B107" s="34"/>
      <c r="C107" s="34"/>
      <c r="D107" s="34"/>
      <c r="E107" s="34"/>
      <c r="F107" s="35"/>
      <c r="G107" s="34"/>
      <c r="H107" s="35"/>
      <c r="I107" s="34"/>
      <c r="J107" s="36"/>
      <c r="K107" s="36"/>
      <c r="L107" s="35"/>
      <c r="M107" s="34"/>
      <c r="N107" s="35"/>
      <c r="O107" s="36"/>
      <c r="P107" s="32" t="str">
        <f aca="false">IF($J107="","",$J107-WEEKDAY($J107,3))</f>
        <v/>
      </c>
      <c r="Q107" s="32" t="str">
        <f aca="false">IF($J107="","",IF($K107="",$J107,$K107))</f>
        <v/>
      </c>
      <c r="R107" s="28" t="str">
        <f aca="false">IF($E107="","",IF(OR($N107&lt;&gt;"Concluída",$O107="",$J107=""),0,IF($O107&lt;=$J107,1,0)))</f>
        <v/>
      </c>
      <c r="S107" s="28" t="str">
        <f aca="false">IF($E107="","",IF(OR($N107&lt;&gt;"Concluída",$O107="",$Q107=""),0,IF($O107&lt;=$Q107,1,0)))</f>
        <v/>
      </c>
      <c r="T107" s="28" t="str">
        <f aca="false">IF(OR($J107="",$N107&lt;&gt;"Concluída",$O107=""),"",MAX(0,$O107-$J107))</f>
        <v/>
      </c>
      <c r="U107" s="33" t="str">
        <f aca="true">IF($E107="","",IF($N107="Cancelada","Cancelada",IF($N107="Concluída",IF($R107=1,"No prazo","Concluída com atraso"),IF($J107="","Na carteira",IF($J107&lt;TODAY(),"VENCIDA",IF($J107=TODAY(),"Hoje","Programada"))))))</f>
        <v/>
      </c>
    </row>
    <row r="108" customFormat="false" ht="15.75" hidden="false" customHeight="true" outlineLevel="0" collapsed="false">
      <c r="A108" s="28" t="str">
        <f aca="false">IF($E108="","",COUNTA($E$4:$E108))</f>
        <v/>
      </c>
      <c r="B108" s="29"/>
      <c r="C108" s="29"/>
      <c r="D108" s="29"/>
      <c r="E108" s="29"/>
      <c r="F108" s="30"/>
      <c r="G108" s="29"/>
      <c r="H108" s="30"/>
      <c r="I108" s="29"/>
      <c r="J108" s="31"/>
      <c r="K108" s="31"/>
      <c r="L108" s="30"/>
      <c r="M108" s="29"/>
      <c r="N108" s="30"/>
      <c r="O108" s="31"/>
      <c r="P108" s="32" t="str">
        <f aca="false">IF($J108="","",$J108-WEEKDAY($J108,3))</f>
        <v/>
      </c>
      <c r="Q108" s="32" t="str">
        <f aca="false">IF($J108="","",IF($K108="",$J108,$K108))</f>
        <v/>
      </c>
      <c r="R108" s="28" t="str">
        <f aca="false">IF($E108="","",IF(OR($N108&lt;&gt;"Concluída",$O108="",$J108=""),0,IF($O108&lt;=$J108,1,0)))</f>
        <v/>
      </c>
      <c r="S108" s="28" t="str">
        <f aca="false">IF($E108="","",IF(OR($N108&lt;&gt;"Concluída",$O108="",$Q108=""),0,IF($O108&lt;=$Q108,1,0)))</f>
        <v/>
      </c>
      <c r="T108" s="28" t="str">
        <f aca="false">IF(OR($J108="",$N108&lt;&gt;"Concluída",$O108=""),"",MAX(0,$O108-$J108))</f>
        <v/>
      </c>
      <c r="U108" s="33" t="str">
        <f aca="true">IF($E108="","",IF($N108="Cancelada","Cancelada",IF($N108="Concluída",IF($R108=1,"No prazo","Concluída com atraso"),IF($J108="","Na carteira",IF($J108&lt;TODAY(),"VENCIDA",IF($J108=TODAY(),"Hoje","Programada"))))))</f>
        <v/>
      </c>
    </row>
    <row r="109" customFormat="false" ht="15.75" hidden="false" customHeight="true" outlineLevel="0" collapsed="false">
      <c r="A109" s="28" t="str">
        <f aca="false">IF($E109="","",COUNTA($E$4:$E109))</f>
        <v/>
      </c>
      <c r="B109" s="34"/>
      <c r="C109" s="34"/>
      <c r="D109" s="34"/>
      <c r="E109" s="34"/>
      <c r="F109" s="35"/>
      <c r="G109" s="34"/>
      <c r="H109" s="35"/>
      <c r="I109" s="34"/>
      <c r="J109" s="36"/>
      <c r="K109" s="36"/>
      <c r="L109" s="35"/>
      <c r="M109" s="34"/>
      <c r="N109" s="35"/>
      <c r="O109" s="36"/>
      <c r="P109" s="32" t="str">
        <f aca="false">IF($J109="","",$J109-WEEKDAY($J109,3))</f>
        <v/>
      </c>
      <c r="Q109" s="32" t="str">
        <f aca="false">IF($J109="","",IF($K109="",$J109,$K109))</f>
        <v/>
      </c>
      <c r="R109" s="28" t="str">
        <f aca="false">IF($E109="","",IF(OR($N109&lt;&gt;"Concluída",$O109="",$J109=""),0,IF($O109&lt;=$J109,1,0)))</f>
        <v/>
      </c>
      <c r="S109" s="28" t="str">
        <f aca="false">IF($E109="","",IF(OR($N109&lt;&gt;"Concluída",$O109="",$Q109=""),0,IF($O109&lt;=$Q109,1,0)))</f>
        <v/>
      </c>
      <c r="T109" s="28" t="str">
        <f aca="false">IF(OR($J109="",$N109&lt;&gt;"Concluída",$O109=""),"",MAX(0,$O109-$J109))</f>
        <v/>
      </c>
      <c r="U109" s="33" t="str">
        <f aca="true">IF($E109="","",IF($N109="Cancelada","Cancelada",IF($N109="Concluída",IF($R109=1,"No prazo","Concluída com atraso"),IF($J109="","Na carteira",IF($J109&lt;TODAY(),"VENCIDA",IF($J109=TODAY(),"Hoje","Programada"))))))</f>
        <v/>
      </c>
    </row>
    <row r="110" customFormat="false" ht="15.75" hidden="false" customHeight="true" outlineLevel="0" collapsed="false">
      <c r="A110" s="28" t="str">
        <f aca="false">IF($E110="","",COUNTA($E$4:$E110))</f>
        <v/>
      </c>
      <c r="B110" s="29"/>
      <c r="C110" s="29"/>
      <c r="D110" s="29"/>
      <c r="E110" s="29"/>
      <c r="F110" s="30"/>
      <c r="G110" s="29"/>
      <c r="H110" s="30"/>
      <c r="I110" s="29"/>
      <c r="J110" s="31"/>
      <c r="K110" s="31"/>
      <c r="L110" s="30"/>
      <c r="M110" s="29"/>
      <c r="N110" s="30"/>
      <c r="O110" s="31"/>
      <c r="P110" s="32" t="str">
        <f aca="false">IF($J110="","",$J110-WEEKDAY($J110,3))</f>
        <v/>
      </c>
      <c r="Q110" s="32" t="str">
        <f aca="false">IF($J110="","",IF($K110="",$J110,$K110))</f>
        <v/>
      </c>
      <c r="R110" s="28" t="str">
        <f aca="false">IF($E110="","",IF(OR($N110&lt;&gt;"Concluída",$O110="",$J110=""),0,IF($O110&lt;=$J110,1,0)))</f>
        <v/>
      </c>
      <c r="S110" s="28" t="str">
        <f aca="false">IF($E110="","",IF(OR($N110&lt;&gt;"Concluída",$O110="",$Q110=""),0,IF($O110&lt;=$Q110,1,0)))</f>
        <v/>
      </c>
      <c r="T110" s="28" t="str">
        <f aca="false">IF(OR($J110="",$N110&lt;&gt;"Concluída",$O110=""),"",MAX(0,$O110-$J110))</f>
        <v/>
      </c>
      <c r="U110" s="33" t="str">
        <f aca="true">IF($E110="","",IF($N110="Cancelada","Cancelada",IF($N110="Concluída",IF($R110=1,"No prazo","Concluída com atraso"),IF($J110="","Na carteira",IF($J110&lt;TODAY(),"VENCIDA",IF($J110=TODAY(),"Hoje","Programada"))))))</f>
        <v/>
      </c>
    </row>
    <row r="111" customFormat="false" ht="15.75" hidden="false" customHeight="true" outlineLevel="0" collapsed="false">
      <c r="A111" s="28" t="str">
        <f aca="false">IF($E111="","",COUNTA($E$4:$E111))</f>
        <v/>
      </c>
      <c r="B111" s="34"/>
      <c r="C111" s="34"/>
      <c r="D111" s="34"/>
      <c r="E111" s="34"/>
      <c r="F111" s="35"/>
      <c r="G111" s="34"/>
      <c r="H111" s="35"/>
      <c r="I111" s="34"/>
      <c r="J111" s="36"/>
      <c r="K111" s="36"/>
      <c r="L111" s="35"/>
      <c r="M111" s="34"/>
      <c r="N111" s="35"/>
      <c r="O111" s="36"/>
      <c r="P111" s="32" t="str">
        <f aca="false">IF($J111="","",$J111-WEEKDAY($J111,3))</f>
        <v/>
      </c>
      <c r="Q111" s="32" t="str">
        <f aca="false">IF($J111="","",IF($K111="",$J111,$K111))</f>
        <v/>
      </c>
      <c r="R111" s="28" t="str">
        <f aca="false">IF($E111="","",IF(OR($N111&lt;&gt;"Concluída",$O111="",$J111=""),0,IF($O111&lt;=$J111,1,0)))</f>
        <v/>
      </c>
      <c r="S111" s="28" t="str">
        <f aca="false">IF($E111="","",IF(OR($N111&lt;&gt;"Concluída",$O111="",$Q111=""),0,IF($O111&lt;=$Q111,1,0)))</f>
        <v/>
      </c>
      <c r="T111" s="28" t="str">
        <f aca="false">IF(OR($J111="",$N111&lt;&gt;"Concluída",$O111=""),"",MAX(0,$O111-$J111))</f>
        <v/>
      </c>
      <c r="U111" s="33" t="str">
        <f aca="true">IF($E111="","",IF($N111="Cancelada","Cancelada",IF($N111="Concluída",IF($R111=1,"No prazo","Concluída com atraso"),IF($J111="","Na carteira",IF($J111&lt;TODAY(),"VENCIDA",IF($J111=TODAY(),"Hoje","Programada"))))))</f>
        <v/>
      </c>
    </row>
    <row r="112" customFormat="false" ht="15.75" hidden="false" customHeight="true" outlineLevel="0" collapsed="false">
      <c r="A112" s="28" t="str">
        <f aca="false">IF($E112="","",COUNTA($E$4:$E112))</f>
        <v/>
      </c>
      <c r="B112" s="29"/>
      <c r="C112" s="29"/>
      <c r="D112" s="29"/>
      <c r="E112" s="29"/>
      <c r="F112" s="30"/>
      <c r="G112" s="29"/>
      <c r="H112" s="30"/>
      <c r="I112" s="29"/>
      <c r="J112" s="31"/>
      <c r="K112" s="31"/>
      <c r="L112" s="30"/>
      <c r="M112" s="29"/>
      <c r="N112" s="30"/>
      <c r="O112" s="31"/>
      <c r="P112" s="32" t="str">
        <f aca="false">IF($J112="","",$J112-WEEKDAY($J112,3))</f>
        <v/>
      </c>
      <c r="Q112" s="32" t="str">
        <f aca="false">IF($J112="","",IF($K112="",$J112,$K112))</f>
        <v/>
      </c>
      <c r="R112" s="28" t="str">
        <f aca="false">IF($E112="","",IF(OR($N112&lt;&gt;"Concluída",$O112="",$J112=""),0,IF($O112&lt;=$J112,1,0)))</f>
        <v/>
      </c>
      <c r="S112" s="28" t="str">
        <f aca="false">IF($E112="","",IF(OR($N112&lt;&gt;"Concluída",$O112="",$Q112=""),0,IF($O112&lt;=$Q112,1,0)))</f>
        <v/>
      </c>
      <c r="T112" s="28" t="str">
        <f aca="false">IF(OR($J112="",$N112&lt;&gt;"Concluída",$O112=""),"",MAX(0,$O112-$J112))</f>
        <v/>
      </c>
      <c r="U112" s="33" t="str">
        <f aca="true">IF($E112="","",IF($N112="Cancelada","Cancelada",IF($N112="Concluída",IF($R112=1,"No prazo","Concluída com atraso"),IF($J112="","Na carteira",IF($J112&lt;TODAY(),"VENCIDA",IF($J112=TODAY(),"Hoje","Programada"))))))</f>
        <v/>
      </c>
    </row>
    <row r="113" customFormat="false" ht="15.75" hidden="false" customHeight="true" outlineLevel="0" collapsed="false">
      <c r="A113" s="28" t="str">
        <f aca="false">IF($E113="","",COUNTA($E$4:$E113))</f>
        <v/>
      </c>
      <c r="B113" s="34"/>
      <c r="C113" s="34"/>
      <c r="D113" s="34"/>
      <c r="E113" s="34"/>
      <c r="F113" s="35"/>
      <c r="G113" s="34"/>
      <c r="H113" s="35"/>
      <c r="I113" s="34"/>
      <c r="J113" s="36"/>
      <c r="K113" s="36"/>
      <c r="L113" s="35"/>
      <c r="M113" s="34"/>
      <c r="N113" s="35"/>
      <c r="O113" s="36"/>
      <c r="P113" s="32" t="str">
        <f aca="false">IF($J113="","",$J113-WEEKDAY($J113,3))</f>
        <v/>
      </c>
      <c r="Q113" s="32" t="str">
        <f aca="false">IF($J113="","",IF($K113="",$J113,$K113))</f>
        <v/>
      </c>
      <c r="R113" s="28" t="str">
        <f aca="false">IF($E113="","",IF(OR($N113&lt;&gt;"Concluída",$O113="",$J113=""),0,IF($O113&lt;=$J113,1,0)))</f>
        <v/>
      </c>
      <c r="S113" s="28" t="str">
        <f aca="false">IF($E113="","",IF(OR($N113&lt;&gt;"Concluída",$O113="",$Q113=""),0,IF($O113&lt;=$Q113,1,0)))</f>
        <v/>
      </c>
      <c r="T113" s="28" t="str">
        <f aca="false">IF(OR($J113="",$N113&lt;&gt;"Concluída",$O113=""),"",MAX(0,$O113-$J113))</f>
        <v/>
      </c>
      <c r="U113" s="33" t="str">
        <f aca="true">IF($E113="","",IF($N113="Cancelada","Cancelada",IF($N113="Concluída",IF($R113=1,"No prazo","Concluída com atraso"),IF($J113="","Na carteira",IF($J113&lt;TODAY(),"VENCIDA",IF($J113=TODAY(),"Hoje","Programada"))))))</f>
        <v/>
      </c>
    </row>
    <row r="114" customFormat="false" ht="15.75" hidden="false" customHeight="true" outlineLevel="0" collapsed="false">
      <c r="A114" s="28" t="str">
        <f aca="false">IF($E114="","",COUNTA($E$4:$E114))</f>
        <v/>
      </c>
      <c r="B114" s="29"/>
      <c r="C114" s="29"/>
      <c r="D114" s="29"/>
      <c r="E114" s="29"/>
      <c r="F114" s="30"/>
      <c r="G114" s="29"/>
      <c r="H114" s="30"/>
      <c r="I114" s="29"/>
      <c r="J114" s="31"/>
      <c r="K114" s="31"/>
      <c r="L114" s="30"/>
      <c r="M114" s="29"/>
      <c r="N114" s="30"/>
      <c r="O114" s="31"/>
      <c r="P114" s="32" t="str">
        <f aca="false">IF($J114="","",$J114-WEEKDAY($J114,3))</f>
        <v/>
      </c>
      <c r="Q114" s="32" t="str">
        <f aca="false">IF($J114="","",IF($K114="",$J114,$K114))</f>
        <v/>
      </c>
      <c r="R114" s="28" t="str">
        <f aca="false">IF($E114="","",IF(OR($N114&lt;&gt;"Concluída",$O114="",$J114=""),0,IF($O114&lt;=$J114,1,0)))</f>
        <v/>
      </c>
      <c r="S114" s="28" t="str">
        <f aca="false">IF($E114="","",IF(OR($N114&lt;&gt;"Concluída",$O114="",$Q114=""),0,IF($O114&lt;=$Q114,1,0)))</f>
        <v/>
      </c>
      <c r="T114" s="28" t="str">
        <f aca="false">IF(OR($J114="",$N114&lt;&gt;"Concluída",$O114=""),"",MAX(0,$O114-$J114))</f>
        <v/>
      </c>
      <c r="U114" s="33" t="str">
        <f aca="true">IF($E114="","",IF($N114="Cancelada","Cancelada",IF($N114="Concluída",IF($R114=1,"No prazo","Concluída com atraso"),IF($J114="","Na carteira",IF($J114&lt;TODAY(),"VENCIDA",IF($J114=TODAY(),"Hoje","Programada"))))))</f>
        <v/>
      </c>
    </row>
    <row r="115" customFormat="false" ht="15.75" hidden="false" customHeight="true" outlineLevel="0" collapsed="false">
      <c r="A115" s="28" t="str">
        <f aca="false">IF($E115="","",COUNTA($E$4:$E115))</f>
        <v/>
      </c>
      <c r="B115" s="34"/>
      <c r="C115" s="34"/>
      <c r="D115" s="34"/>
      <c r="E115" s="34"/>
      <c r="F115" s="35"/>
      <c r="G115" s="34"/>
      <c r="H115" s="35"/>
      <c r="I115" s="34"/>
      <c r="J115" s="36"/>
      <c r="K115" s="36"/>
      <c r="L115" s="35"/>
      <c r="M115" s="34"/>
      <c r="N115" s="35"/>
      <c r="O115" s="36"/>
      <c r="P115" s="32" t="str">
        <f aca="false">IF($J115="","",$J115-WEEKDAY($J115,3))</f>
        <v/>
      </c>
      <c r="Q115" s="32" t="str">
        <f aca="false">IF($J115="","",IF($K115="",$J115,$K115))</f>
        <v/>
      </c>
      <c r="R115" s="28" t="str">
        <f aca="false">IF($E115="","",IF(OR($N115&lt;&gt;"Concluída",$O115="",$J115=""),0,IF($O115&lt;=$J115,1,0)))</f>
        <v/>
      </c>
      <c r="S115" s="28" t="str">
        <f aca="false">IF($E115="","",IF(OR($N115&lt;&gt;"Concluída",$O115="",$Q115=""),0,IF($O115&lt;=$Q115,1,0)))</f>
        <v/>
      </c>
      <c r="T115" s="28" t="str">
        <f aca="false">IF(OR($J115="",$N115&lt;&gt;"Concluída",$O115=""),"",MAX(0,$O115-$J115))</f>
        <v/>
      </c>
      <c r="U115" s="33" t="str">
        <f aca="true">IF($E115="","",IF($N115="Cancelada","Cancelada",IF($N115="Concluída",IF($R115=1,"No prazo","Concluída com atraso"),IF($J115="","Na carteira",IF($J115&lt;TODAY(),"VENCIDA",IF($J115=TODAY(),"Hoje","Programada"))))))</f>
        <v/>
      </c>
    </row>
    <row r="116" customFormat="false" ht="15.75" hidden="false" customHeight="true" outlineLevel="0" collapsed="false">
      <c r="A116" s="28" t="str">
        <f aca="false">IF($E116="","",COUNTA($E$4:$E116))</f>
        <v/>
      </c>
      <c r="B116" s="29"/>
      <c r="C116" s="29"/>
      <c r="D116" s="29"/>
      <c r="E116" s="29"/>
      <c r="F116" s="30"/>
      <c r="G116" s="29"/>
      <c r="H116" s="30"/>
      <c r="I116" s="29"/>
      <c r="J116" s="31"/>
      <c r="K116" s="31"/>
      <c r="L116" s="30"/>
      <c r="M116" s="29"/>
      <c r="N116" s="30"/>
      <c r="O116" s="31"/>
      <c r="P116" s="32" t="str">
        <f aca="false">IF($J116="","",$J116-WEEKDAY($J116,3))</f>
        <v/>
      </c>
      <c r="Q116" s="32" t="str">
        <f aca="false">IF($J116="","",IF($K116="",$J116,$K116))</f>
        <v/>
      </c>
      <c r="R116" s="28" t="str">
        <f aca="false">IF($E116="","",IF(OR($N116&lt;&gt;"Concluída",$O116="",$J116=""),0,IF($O116&lt;=$J116,1,0)))</f>
        <v/>
      </c>
      <c r="S116" s="28" t="str">
        <f aca="false">IF($E116="","",IF(OR($N116&lt;&gt;"Concluída",$O116="",$Q116=""),0,IF($O116&lt;=$Q116,1,0)))</f>
        <v/>
      </c>
      <c r="T116" s="28" t="str">
        <f aca="false">IF(OR($J116="",$N116&lt;&gt;"Concluída",$O116=""),"",MAX(0,$O116-$J116))</f>
        <v/>
      </c>
      <c r="U116" s="33" t="str">
        <f aca="true">IF($E116="","",IF($N116="Cancelada","Cancelada",IF($N116="Concluída",IF($R116=1,"No prazo","Concluída com atraso"),IF($J116="","Na carteira",IF($J116&lt;TODAY(),"VENCIDA",IF($J116=TODAY(),"Hoje","Programada"))))))</f>
        <v/>
      </c>
    </row>
    <row r="117" customFormat="false" ht="15.75" hidden="false" customHeight="true" outlineLevel="0" collapsed="false">
      <c r="A117" s="28" t="str">
        <f aca="false">IF($E117="","",COUNTA($E$4:$E117))</f>
        <v/>
      </c>
      <c r="B117" s="34"/>
      <c r="C117" s="34"/>
      <c r="D117" s="34"/>
      <c r="E117" s="34"/>
      <c r="F117" s="35"/>
      <c r="G117" s="34"/>
      <c r="H117" s="35"/>
      <c r="I117" s="34"/>
      <c r="J117" s="36"/>
      <c r="K117" s="36"/>
      <c r="L117" s="35"/>
      <c r="M117" s="34"/>
      <c r="N117" s="35"/>
      <c r="O117" s="36"/>
      <c r="P117" s="32" t="str">
        <f aca="false">IF($J117="","",$J117-WEEKDAY($J117,3))</f>
        <v/>
      </c>
      <c r="Q117" s="32" t="str">
        <f aca="false">IF($J117="","",IF($K117="",$J117,$K117))</f>
        <v/>
      </c>
      <c r="R117" s="28" t="str">
        <f aca="false">IF($E117="","",IF(OR($N117&lt;&gt;"Concluída",$O117="",$J117=""),0,IF($O117&lt;=$J117,1,0)))</f>
        <v/>
      </c>
      <c r="S117" s="28" t="str">
        <f aca="false">IF($E117="","",IF(OR($N117&lt;&gt;"Concluída",$O117="",$Q117=""),0,IF($O117&lt;=$Q117,1,0)))</f>
        <v/>
      </c>
      <c r="T117" s="28" t="str">
        <f aca="false">IF(OR($J117="",$N117&lt;&gt;"Concluída",$O117=""),"",MAX(0,$O117-$J117))</f>
        <v/>
      </c>
      <c r="U117" s="33" t="str">
        <f aca="true">IF($E117="","",IF($N117="Cancelada","Cancelada",IF($N117="Concluída",IF($R117=1,"No prazo","Concluída com atraso"),IF($J117="","Na carteira",IF($J117&lt;TODAY(),"VENCIDA",IF($J117=TODAY(),"Hoje","Programada"))))))</f>
        <v/>
      </c>
    </row>
    <row r="118" customFormat="false" ht="15.75" hidden="false" customHeight="true" outlineLevel="0" collapsed="false">
      <c r="A118" s="28" t="str">
        <f aca="false">IF($E118="","",COUNTA($E$4:$E118))</f>
        <v/>
      </c>
      <c r="B118" s="29"/>
      <c r="C118" s="29"/>
      <c r="D118" s="29"/>
      <c r="E118" s="29"/>
      <c r="F118" s="30"/>
      <c r="G118" s="29"/>
      <c r="H118" s="30"/>
      <c r="I118" s="29"/>
      <c r="J118" s="31"/>
      <c r="K118" s="31"/>
      <c r="L118" s="30"/>
      <c r="M118" s="29"/>
      <c r="N118" s="30"/>
      <c r="O118" s="31"/>
      <c r="P118" s="32" t="str">
        <f aca="false">IF($J118="","",$J118-WEEKDAY($J118,3))</f>
        <v/>
      </c>
      <c r="Q118" s="32" t="str">
        <f aca="false">IF($J118="","",IF($K118="",$J118,$K118))</f>
        <v/>
      </c>
      <c r="R118" s="28" t="str">
        <f aca="false">IF($E118="","",IF(OR($N118&lt;&gt;"Concluída",$O118="",$J118=""),0,IF($O118&lt;=$J118,1,0)))</f>
        <v/>
      </c>
      <c r="S118" s="28" t="str">
        <f aca="false">IF($E118="","",IF(OR($N118&lt;&gt;"Concluída",$O118="",$Q118=""),0,IF($O118&lt;=$Q118,1,0)))</f>
        <v/>
      </c>
      <c r="T118" s="28" t="str">
        <f aca="false">IF(OR($J118="",$N118&lt;&gt;"Concluída",$O118=""),"",MAX(0,$O118-$J118))</f>
        <v/>
      </c>
      <c r="U118" s="33" t="str">
        <f aca="true">IF($E118="","",IF($N118="Cancelada","Cancelada",IF($N118="Concluída",IF($R118=1,"No prazo","Concluída com atraso"),IF($J118="","Na carteira",IF($J118&lt;TODAY(),"VENCIDA",IF($J118=TODAY(),"Hoje","Programada"))))))</f>
        <v/>
      </c>
    </row>
    <row r="119" customFormat="false" ht="15.75" hidden="false" customHeight="true" outlineLevel="0" collapsed="false">
      <c r="A119" s="28" t="str">
        <f aca="false">IF($E119="","",COUNTA($E$4:$E119))</f>
        <v/>
      </c>
      <c r="B119" s="34"/>
      <c r="C119" s="34"/>
      <c r="D119" s="34"/>
      <c r="E119" s="34"/>
      <c r="F119" s="35"/>
      <c r="G119" s="34"/>
      <c r="H119" s="35"/>
      <c r="I119" s="34"/>
      <c r="J119" s="36"/>
      <c r="K119" s="36"/>
      <c r="L119" s="35"/>
      <c r="M119" s="34"/>
      <c r="N119" s="35"/>
      <c r="O119" s="36"/>
      <c r="P119" s="32" t="str">
        <f aca="false">IF($J119="","",$J119-WEEKDAY($J119,3))</f>
        <v/>
      </c>
      <c r="Q119" s="32" t="str">
        <f aca="false">IF($J119="","",IF($K119="",$J119,$K119))</f>
        <v/>
      </c>
      <c r="R119" s="28" t="str">
        <f aca="false">IF($E119="","",IF(OR($N119&lt;&gt;"Concluída",$O119="",$J119=""),0,IF($O119&lt;=$J119,1,0)))</f>
        <v/>
      </c>
      <c r="S119" s="28" t="str">
        <f aca="false">IF($E119="","",IF(OR($N119&lt;&gt;"Concluída",$O119="",$Q119=""),0,IF($O119&lt;=$Q119,1,0)))</f>
        <v/>
      </c>
      <c r="T119" s="28" t="str">
        <f aca="false">IF(OR($J119="",$N119&lt;&gt;"Concluída",$O119=""),"",MAX(0,$O119-$J119))</f>
        <v/>
      </c>
      <c r="U119" s="33" t="str">
        <f aca="true">IF($E119="","",IF($N119="Cancelada","Cancelada",IF($N119="Concluída",IF($R119=1,"No prazo","Concluída com atraso"),IF($J119="","Na carteira",IF($J119&lt;TODAY(),"VENCIDA",IF($J119=TODAY(),"Hoje","Programada"))))))</f>
        <v/>
      </c>
    </row>
    <row r="120" customFormat="false" ht="15.75" hidden="false" customHeight="true" outlineLevel="0" collapsed="false">
      <c r="A120" s="28" t="str">
        <f aca="false">IF($E120="","",COUNTA($E$4:$E120))</f>
        <v/>
      </c>
      <c r="B120" s="29"/>
      <c r="C120" s="29"/>
      <c r="D120" s="29"/>
      <c r="E120" s="29"/>
      <c r="F120" s="30"/>
      <c r="G120" s="29"/>
      <c r="H120" s="30"/>
      <c r="I120" s="29"/>
      <c r="J120" s="31"/>
      <c r="K120" s="31"/>
      <c r="L120" s="30"/>
      <c r="M120" s="29"/>
      <c r="N120" s="30"/>
      <c r="O120" s="31"/>
      <c r="P120" s="32" t="str">
        <f aca="false">IF($J120="","",$J120-WEEKDAY($J120,3))</f>
        <v/>
      </c>
      <c r="Q120" s="32" t="str">
        <f aca="false">IF($J120="","",IF($K120="",$J120,$K120))</f>
        <v/>
      </c>
      <c r="R120" s="28" t="str">
        <f aca="false">IF($E120="","",IF(OR($N120&lt;&gt;"Concluída",$O120="",$J120=""),0,IF($O120&lt;=$J120,1,0)))</f>
        <v/>
      </c>
      <c r="S120" s="28" t="str">
        <f aca="false">IF($E120="","",IF(OR($N120&lt;&gt;"Concluída",$O120="",$Q120=""),0,IF($O120&lt;=$Q120,1,0)))</f>
        <v/>
      </c>
      <c r="T120" s="28" t="str">
        <f aca="false">IF(OR($J120="",$N120&lt;&gt;"Concluída",$O120=""),"",MAX(0,$O120-$J120))</f>
        <v/>
      </c>
      <c r="U120" s="33" t="str">
        <f aca="true">IF($E120="","",IF($N120="Cancelada","Cancelada",IF($N120="Concluída",IF($R120=1,"No prazo","Concluída com atraso"),IF($J120="","Na carteira",IF($J120&lt;TODAY(),"VENCIDA",IF($J120=TODAY(),"Hoje","Programada"))))))</f>
        <v/>
      </c>
    </row>
    <row r="121" customFormat="false" ht="15.75" hidden="false" customHeight="true" outlineLevel="0" collapsed="false">
      <c r="A121" s="28" t="str">
        <f aca="false">IF($E121="","",COUNTA($E$4:$E121))</f>
        <v/>
      </c>
      <c r="B121" s="34"/>
      <c r="C121" s="34"/>
      <c r="D121" s="34"/>
      <c r="E121" s="34"/>
      <c r="F121" s="35"/>
      <c r="G121" s="34"/>
      <c r="H121" s="35"/>
      <c r="I121" s="34"/>
      <c r="J121" s="36"/>
      <c r="K121" s="36"/>
      <c r="L121" s="35"/>
      <c r="M121" s="34"/>
      <c r="N121" s="35"/>
      <c r="O121" s="36"/>
      <c r="P121" s="32" t="str">
        <f aca="false">IF($J121="","",$J121-WEEKDAY($J121,3))</f>
        <v/>
      </c>
      <c r="Q121" s="32" t="str">
        <f aca="false">IF($J121="","",IF($K121="",$J121,$K121))</f>
        <v/>
      </c>
      <c r="R121" s="28" t="str">
        <f aca="false">IF($E121="","",IF(OR($N121&lt;&gt;"Concluída",$O121="",$J121=""),0,IF($O121&lt;=$J121,1,0)))</f>
        <v/>
      </c>
      <c r="S121" s="28" t="str">
        <f aca="false">IF($E121="","",IF(OR($N121&lt;&gt;"Concluída",$O121="",$Q121=""),0,IF($O121&lt;=$Q121,1,0)))</f>
        <v/>
      </c>
      <c r="T121" s="28" t="str">
        <f aca="false">IF(OR($J121="",$N121&lt;&gt;"Concluída",$O121=""),"",MAX(0,$O121-$J121))</f>
        <v/>
      </c>
      <c r="U121" s="33" t="str">
        <f aca="true">IF($E121="","",IF($N121="Cancelada","Cancelada",IF($N121="Concluída",IF($R121=1,"No prazo","Concluída com atraso"),IF($J121="","Na carteira",IF($J121&lt;TODAY(),"VENCIDA",IF($J121=TODAY(),"Hoje","Programada"))))))</f>
        <v/>
      </c>
    </row>
    <row r="122" customFormat="false" ht="15.75" hidden="false" customHeight="true" outlineLevel="0" collapsed="false">
      <c r="A122" s="28" t="str">
        <f aca="false">IF($E122="","",COUNTA($E$4:$E122))</f>
        <v/>
      </c>
      <c r="B122" s="29"/>
      <c r="C122" s="29"/>
      <c r="D122" s="29"/>
      <c r="E122" s="29"/>
      <c r="F122" s="30"/>
      <c r="G122" s="29"/>
      <c r="H122" s="30"/>
      <c r="I122" s="29"/>
      <c r="J122" s="31"/>
      <c r="K122" s="31"/>
      <c r="L122" s="30"/>
      <c r="M122" s="29"/>
      <c r="N122" s="30"/>
      <c r="O122" s="31"/>
      <c r="P122" s="32" t="str">
        <f aca="false">IF($J122="","",$J122-WEEKDAY($J122,3))</f>
        <v/>
      </c>
      <c r="Q122" s="32" t="str">
        <f aca="false">IF($J122="","",IF($K122="",$J122,$K122))</f>
        <v/>
      </c>
      <c r="R122" s="28" t="str">
        <f aca="false">IF($E122="","",IF(OR($N122&lt;&gt;"Concluída",$O122="",$J122=""),0,IF($O122&lt;=$J122,1,0)))</f>
        <v/>
      </c>
      <c r="S122" s="28" t="str">
        <f aca="false">IF($E122="","",IF(OR($N122&lt;&gt;"Concluída",$O122="",$Q122=""),0,IF($O122&lt;=$Q122,1,0)))</f>
        <v/>
      </c>
      <c r="T122" s="28" t="str">
        <f aca="false">IF(OR($J122="",$N122&lt;&gt;"Concluída",$O122=""),"",MAX(0,$O122-$J122))</f>
        <v/>
      </c>
      <c r="U122" s="33" t="str">
        <f aca="true">IF($E122="","",IF($N122="Cancelada","Cancelada",IF($N122="Concluída",IF($R122=1,"No prazo","Concluída com atraso"),IF($J122="","Na carteira",IF($J122&lt;TODAY(),"VENCIDA",IF($J122=TODAY(),"Hoje","Programada"))))))</f>
        <v/>
      </c>
    </row>
    <row r="123" customFormat="false" ht="15.75" hidden="false" customHeight="true" outlineLevel="0" collapsed="false">
      <c r="A123" s="28" t="str">
        <f aca="false">IF($E123="","",COUNTA($E$4:$E123))</f>
        <v/>
      </c>
      <c r="B123" s="34"/>
      <c r="C123" s="34"/>
      <c r="D123" s="34"/>
      <c r="E123" s="34"/>
      <c r="F123" s="35"/>
      <c r="G123" s="34"/>
      <c r="H123" s="35"/>
      <c r="I123" s="34"/>
      <c r="J123" s="36"/>
      <c r="K123" s="36"/>
      <c r="L123" s="35"/>
      <c r="M123" s="34"/>
      <c r="N123" s="35"/>
      <c r="O123" s="36"/>
      <c r="P123" s="32" t="str">
        <f aca="false">IF($J123="","",$J123-WEEKDAY($J123,3))</f>
        <v/>
      </c>
      <c r="Q123" s="32" t="str">
        <f aca="false">IF($J123="","",IF($K123="",$J123,$K123))</f>
        <v/>
      </c>
      <c r="R123" s="28" t="str">
        <f aca="false">IF($E123="","",IF(OR($N123&lt;&gt;"Concluída",$O123="",$J123=""),0,IF($O123&lt;=$J123,1,0)))</f>
        <v/>
      </c>
      <c r="S123" s="28" t="str">
        <f aca="false">IF($E123="","",IF(OR($N123&lt;&gt;"Concluída",$O123="",$Q123=""),0,IF($O123&lt;=$Q123,1,0)))</f>
        <v/>
      </c>
      <c r="T123" s="28" t="str">
        <f aca="false">IF(OR($J123="",$N123&lt;&gt;"Concluída",$O123=""),"",MAX(0,$O123-$J123))</f>
        <v/>
      </c>
      <c r="U123" s="33" t="str">
        <f aca="true">IF($E123="","",IF($N123="Cancelada","Cancelada",IF($N123="Concluída",IF($R123=1,"No prazo","Concluída com atraso"),IF($J123="","Na carteira",IF($J123&lt;TODAY(),"VENCIDA",IF($J123=TODAY(),"Hoje","Programada"))))))</f>
        <v/>
      </c>
    </row>
    <row r="124" customFormat="false" ht="15.75" hidden="false" customHeight="true" outlineLevel="0" collapsed="false">
      <c r="A124" s="28" t="str">
        <f aca="false">IF($E124="","",COUNTA($E$4:$E124))</f>
        <v/>
      </c>
      <c r="B124" s="29"/>
      <c r="C124" s="29"/>
      <c r="D124" s="29"/>
      <c r="E124" s="29"/>
      <c r="F124" s="30"/>
      <c r="G124" s="29"/>
      <c r="H124" s="30"/>
      <c r="I124" s="29"/>
      <c r="J124" s="31"/>
      <c r="K124" s="31"/>
      <c r="L124" s="30"/>
      <c r="M124" s="29"/>
      <c r="N124" s="30"/>
      <c r="O124" s="31"/>
      <c r="P124" s="32" t="str">
        <f aca="false">IF($J124="","",$J124-WEEKDAY($J124,3))</f>
        <v/>
      </c>
      <c r="Q124" s="32" t="str">
        <f aca="false">IF($J124="","",IF($K124="",$J124,$K124))</f>
        <v/>
      </c>
      <c r="R124" s="28" t="str">
        <f aca="false">IF($E124="","",IF(OR($N124&lt;&gt;"Concluída",$O124="",$J124=""),0,IF($O124&lt;=$J124,1,0)))</f>
        <v/>
      </c>
      <c r="S124" s="28" t="str">
        <f aca="false">IF($E124="","",IF(OR($N124&lt;&gt;"Concluída",$O124="",$Q124=""),0,IF($O124&lt;=$Q124,1,0)))</f>
        <v/>
      </c>
      <c r="T124" s="28" t="str">
        <f aca="false">IF(OR($J124="",$N124&lt;&gt;"Concluída",$O124=""),"",MAX(0,$O124-$J124))</f>
        <v/>
      </c>
      <c r="U124" s="33" t="str">
        <f aca="true">IF($E124="","",IF($N124="Cancelada","Cancelada",IF($N124="Concluída",IF($R124=1,"No prazo","Concluída com atraso"),IF($J124="","Na carteira",IF($J124&lt;TODAY(),"VENCIDA",IF($J124=TODAY(),"Hoje","Programada"))))))</f>
        <v/>
      </c>
    </row>
    <row r="125" customFormat="false" ht="15.75" hidden="false" customHeight="true" outlineLevel="0" collapsed="false">
      <c r="A125" s="28" t="str">
        <f aca="false">IF($E125="","",COUNTA($E$4:$E125))</f>
        <v/>
      </c>
      <c r="B125" s="34"/>
      <c r="C125" s="34"/>
      <c r="D125" s="34"/>
      <c r="E125" s="34"/>
      <c r="F125" s="35"/>
      <c r="G125" s="34"/>
      <c r="H125" s="35"/>
      <c r="I125" s="34"/>
      <c r="J125" s="36"/>
      <c r="K125" s="36"/>
      <c r="L125" s="35"/>
      <c r="M125" s="34"/>
      <c r="N125" s="35"/>
      <c r="O125" s="36"/>
      <c r="P125" s="32" t="str">
        <f aca="false">IF($J125="","",$J125-WEEKDAY($J125,3))</f>
        <v/>
      </c>
      <c r="Q125" s="32" t="str">
        <f aca="false">IF($J125="","",IF($K125="",$J125,$K125))</f>
        <v/>
      </c>
      <c r="R125" s="28" t="str">
        <f aca="false">IF($E125="","",IF(OR($N125&lt;&gt;"Concluída",$O125="",$J125=""),0,IF($O125&lt;=$J125,1,0)))</f>
        <v/>
      </c>
      <c r="S125" s="28" t="str">
        <f aca="false">IF($E125="","",IF(OR($N125&lt;&gt;"Concluída",$O125="",$Q125=""),0,IF($O125&lt;=$Q125,1,0)))</f>
        <v/>
      </c>
      <c r="T125" s="28" t="str">
        <f aca="false">IF(OR($J125="",$N125&lt;&gt;"Concluída",$O125=""),"",MAX(0,$O125-$J125))</f>
        <v/>
      </c>
      <c r="U125" s="33" t="str">
        <f aca="true">IF($E125="","",IF($N125="Cancelada","Cancelada",IF($N125="Concluída",IF($R125=1,"No prazo","Concluída com atraso"),IF($J125="","Na carteira",IF($J125&lt;TODAY(),"VENCIDA",IF($J125=TODAY(),"Hoje","Programada"))))))</f>
        <v/>
      </c>
    </row>
    <row r="126" customFormat="false" ht="15.75" hidden="false" customHeight="true" outlineLevel="0" collapsed="false">
      <c r="A126" s="28" t="str">
        <f aca="false">IF($E126="","",COUNTA($E$4:$E126))</f>
        <v/>
      </c>
      <c r="B126" s="29"/>
      <c r="C126" s="29"/>
      <c r="D126" s="29"/>
      <c r="E126" s="29"/>
      <c r="F126" s="30"/>
      <c r="G126" s="29"/>
      <c r="H126" s="30"/>
      <c r="I126" s="29"/>
      <c r="J126" s="31"/>
      <c r="K126" s="31"/>
      <c r="L126" s="30"/>
      <c r="M126" s="29"/>
      <c r="N126" s="30"/>
      <c r="O126" s="31"/>
      <c r="P126" s="32" t="str">
        <f aca="false">IF($J126="","",$J126-WEEKDAY($J126,3))</f>
        <v/>
      </c>
      <c r="Q126" s="32" t="str">
        <f aca="false">IF($J126="","",IF($K126="",$J126,$K126))</f>
        <v/>
      </c>
      <c r="R126" s="28" t="str">
        <f aca="false">IF($E126="","",IF(OR($N126&lt;&gt;"Concluída",$O126="",$J126=""),0,IF($O126&lt;=$J126,1,0)))</f>
        <v/>
      </c>
      <c r="S126" s="28" t="str">
        <f aca="false">IF($E126="","",IF(OR($N126&lt;&gt;"Concluída",$O126="",$Q126=""),0,IF($O126&lt;=$Q126,1,0)))</f>
        <v/>
      </c>
      <c r="T126" s="28" t="str">
        <f aca="false">IF(OR($J126="",$N126&lt;&gt;"Concluída",$O126=""),"",MAX(0,$O126-$J126))</f>
        <v/>
      </c>
      <c r="U126" s="33" t="str">
        <f aca="true">IF($E126="","",IF($N126="Cancelada","Cancelada",IF($N126="Concluída",IF($R126=1,"No prazo","Concluída com atraso"),IF($J126="","Na carteira",IF($J126&lt;TODAY(),"VENCIDA",IF($J126=TODAY(),"Hoje","Programada"))))))</f>
        <v/>
      </c>
    </row>
    <row r="127" customFormat="false" ht="15.75" hidden="false" customHeight="true" outlineLevel="0" collapsed="false">
      <c r="A127" s="28" t="str">
        <f aca="false">IF($E127="","",COUNTA($E$4:$E127))</f>
        <v/>
      </c>
      <c r="B127" s="34"/>
      <c r="C127" s="34"/>
      <c r="D127" s="34"/>
      <c r="E127" s="34"/>
      <c r="F127" s="35"/>
      <c r="G127" s="34"/>
      <c r="H127" s="35"/>
      <c r="I127" s="34"/>
      <c r="J127" s="36"/>
      <c r="K127" s="36"/>
      <c r="L127" s="35"/>
      <c r="M127" s="34"/>
      <c r="N127" s="35"/>
      <c r="O127" s="36"/>
      <c r="P127" s="32" t="str">
        <f aca="false">IF($J127="","",$J127-WEEKDAY($J127,3))</f>
        <v/>
      </c>
      <c r="Q127" s="32" t="str">
        <f aca="false">IF($J127="","",IF($K127="",$J127,$K127))</f>
        <v/>
      </c>
      <c r="R127" s="28" t="str">
        <f aca="false">IF($E127="","",IF(OR($N127&lt;&gt;"Concluída",$O127="",$J127=""),0,IF($O127&lt;=$J127,1,0)))</f>
        <v/>
      </c>
      <c r="S127" s="28" t="str">
        <f aca="false">IF($E127="","",IF(OR($N127&lt;&gt;"Concluída",$O127="",$Q127=""),0,IF($O127&lt;=$Q127,1,0)))</f>
        <v/>
      </c>
      <c r="T127" s="28" t="str">
        <f aca="false">IF(OR($J127="",$N127&lt;&gt;"Concluída",$O127=""),"",MAX(0,$O127-$J127))</f>
        <v/>
      </c>
      <c r="U127" s="33" t="str">
        <f aca="true">IF($E127="","",IF($N127="Cancelada","Cancelada",IF($N127="Concluída",IF($R127=1,"No prazo","Concluída com atraso"),IF($J127="","Na carteira",IF($J127&lt;TODAY(),"VENCIDA",IF($J127=TODAY(),"Hoje","Programada"))))))</f>
        <v/>
      </c>
    </row>
    <row r="128" customFormat="false" ht="15.75" hidden="false" customHeight="true" outlineLevel="0" collapsed="false">
      <c r="A128" s="28" t="str">
        <f aca="false">IF($E128="","",COUNTA($E$4:$E128))</f>
        <v/>
      </c>
      <c r="B128" s="29"/>
      <c r="C128" s="29"/>
      <c r="D128" s="29"/>
      <c r="E128" s="29"/>
      <c r="F128" s="30"/>
      <c r="G128" s="29"/>
      <c r="H128" s="30"/>
      <c r="I128" s="29"/>
      <c r="J128" s="31"/>
      <c r="K128" s="31"/>
      <c r="L128" s="30"/>
      <c r="M128" s="29"/>
      <c r="N128" s="30"/>
      <c r="O128" s="31"/>
      <c r="P128" s="32" t="str">
        <f aca="false">IF($J128="","",$J128-WEEKDAY($J128,3))</f>
        <v/>
      </c>
      <c r="Q128" s="32" t="str">
        <f aca="false">IF($J128="","",IF($K128="",$J128,$K128))</f>
        <v/>
      </c>
      <c r="R128" s="28" t="str">
        <f aca="false">IF($E128="","",IF(OR($N128&lt;&gt;"Concluída",$O128="",$J128=""),0,IF($O128&lt;=$J128,1,0)))</f>
        <v/>
      </c>
      <c r="S128" s="28" t="str">
        <f aca="false">IF($E128="","",IF(OR($N128&lt;&gt;"Concluída",$O128="",$Q128=""),0,IF($O128&lt;=$Q128,1,0)))</f>
        <v/>
      </c>
      <c r="T128" s="28" t="str">
        <f aca="false">IF(OR($J128="",$N128&lt;&gt;"Concluída",$O128=""),"",MAX(0,$O128-$J128))</f>
        <v/>
      </c>
      <c r="U128" s="33" t="str">
        <f aca="true">IF($E128="","",IF($N128="Cancelada","Cancelada",IF($N128="Concluída",IF($R128=1,"No prazo","Concluída com atraso"),IF($J128="","Na carteira",IF($J128&lt;TODAY(),"VENCIDA",IF($J128=TODAY(),"Hoje","Programada"))))))</f>
        <v/>
      </c>
    </row>
    <row r="129" customFormat="false" ht="15.75" hidden="false" customHeight="true" outlineLevel="0" collapsed="false">
      <c r="A129" s="28" t="str">
        <f aca="false">IF($E129="","",COUNTA($E$4:$E129))</f>
        <v/>
      </c>
      <c r="B129" s="34"/>
      <c r="C129" s="34"/>
      <c r="D129" s="34"/>
      <c r="E129" s="34"/>
      <c r="F129" s="35"/>
      <c r="G129" s="34"/>
      <c r="H129" s="35"/>
      <c r="I129" s="34"/>
      <c r="J129" s="36"/>
      <c r="K129" s="36"/>
      <c r="L129" s="35"/>
      <c r="M129" s="34"/>
      <c r="N129" s="35"/>
      <c r="O129" s="36"/>
      <c r="P129" s="32" t="str">
        <f aca="false">IF($J129="","",$J129-WEEKDAY($J129,3))</f>
        <v/>
      </c>
      <c r="Q129" s="32" t="str">
        <f aca="false">IF($J129="","",IF($K129="",$J129,$K129))</f>
        <v/>
      </c>
      <c r="R129" s="28" t="str">
        <f aca="false">IF($E129="","",IF(OR($N129&lt;&gt;"Concluída",$O129="",$J129=""),0,IF($O129&lt;=$J129,1,0)))</f>
        <v/>
      </c>
      <c r="S129" s="28" t="str">
        <f aca="false">IF($E129="","",IF(OR($N129&lt;&gt;"Concluída",$O129="",$Q129=""),0,IF($O129&lt;=$Q129,1,0)))</f>
        <v/>
      </c>
      <c r="T129" s="28" t="str">
        <f aca="false">IF(OR($J129="",$N129&lt;&gt;"Concluída",$O129=""),"",MAX(0,$O129-$J129))</f>
        <v/>
      </c>
      <c r="U129" s="33" t="str">
        <f aca="true">IF($E129="","",IF($N129="Cancelada","Cancelada",IF($N129="Concluída",IF($R129=1,"No prazo","Concluída com atraso"),IF($J129="","Na carteira",IF($J129&lt;TODAY(),"VENCIDA",IF($J129=TODAY(),"Hoje","Programada"))))))</f>
        <v/>
      </c>
    </row>
    <row r="130" customFormat="false" ht="15.75" hidden="false" customHeight="true" outlineLevel="0" collapsed="false">
      <c r="A130" s="28" t="str">
        <f aca="false">IF($E130="","",COUNTA($E$4:$E130))</f>
        <v/>
      </c>
      <c r="B130" s="29"/>
      <c r="C130" s="29"/>
      <c r="D130" s="29"/>
      <c r="E130" s="29"/>
      <c r="F130" s="30"/>
      <c r="G130" s="29"/>
      <c r="H130" s="30"/>
      <c r="I130" s="29"/>
      <c r="J130" s="31"/>
      <c r="K130" s="31"/>
      <c r="L130" s="30"/>
      <c r="M130" s="29"/>
      <c r="N130" s="30"/>
      <c r="O130" s="31"/>
      <c r="P130" s="32" t="str">
        <f aca="false">IF($J130="","",$J130-WEEKDAY($J130,3))</f>
        <v/>
      </c>
      <c r="Q130" s="32" t="str">
        <f aca="false">IF($J130="","",IF($K130="",$J130,$K130))</f>
        <v/>
      </c>
      <c r="R130" s="28" t="str">
        <f aca="false">IF($E130="","",IF(OR($N130&lt;&gt;"Concluída",$O130="",$J130=""),0,IF($O130&lt;=$J130,1,0)))</f>
        <v/>
      </c>
      <c r="S130" s="28" t="str">
        <f aca="false">IF($E130="","",IF(OR($N130&lt;&gt;"Concluída",$O130="",$Q130=""),0,IF($O130&lt;=$Q130,1,0)))</f>
        <v/>
      </c>
      <c r="T130" s="28" t="str">
        <f aca="false">IF(OR($J130="",$N130&lt;&gt;"Concluída",$O130=""),"",MAX(0,$O130-$J130))</f>
        <v/>
      </c>
      <c r="U130" s="33" t="str">
        <f aca="true">IF($E130="","",IF($N130="Cancelada","Cancelada",IF($N130="Concluída",IF($R130=1,"No prazo","Concluída com atraso"),IF($J130="","Na carteira",IF($J130&lt;TODAY(),"VENCIDA",IF($J130=TODAY(),"Hoje","Programada"))))))</f>
        <v/>
      </c>
    </row>
    <row r="131" customFormat="false" ht="15.75" hidden="false" customHeight="true" outlineLevel="0" collapsed="false">
      <c r="A131" s="28" t="str">
        <f aca="false">IF($E131="","",COUNTA($E$4:$E131))</f>
        <v/>
      </c>
      <c r="B131" s="34"/>
      <c r="C131" s="34"/>
      <c r="D131" s="34"/>
      <c r="E131" s="34"/>
      <c r="F131" s="35"/>
      <c r="G131" s="34"/>
      <c r="H131" s="35"/>
      <c r="I131" s="34"/>
      <c r="J131" s="36"/>
      <c r="K131" s="36"/>
      <c r="L131" s="35"/>
      <c r="M131" s="34"/>
      <c r="N131" s="35"/>
      <c r="O131" s="36"/>
      <c r="P131" s="32" t="str">
        <f aca="false">IF($J131="","",$J131-WEEKDAY($J131,3))</f>
        <v/>
      </c>
      <c r="Q131" s="32" t="str">
        <f aca="false">IF($J131="","",IF($K131="",$J131,$K131))</f>
        <v/>
      </c>
      <c r="R131" s="28" t="str">
        <f aca="false">IF($E131="","",IF(OR($N131&lt;&gt;"Concluída",$O131="",$J131=""),0,IF($O131&lt;=$J131,1,0)))</f>
        <v/>
      </c>
      <c r="S131" s="28" t="str">
        <f aca="false">IF($E131="","",IF(OR($N131&lt;&gt;"Concluída",$O131="",$Q131=""),0,IF($O131&lt;=$Q131,1,0)))</f>
        <v/>
      </c>
      <c r="T131" s="28" t="str">
        <f aca="false">IF(OR($J131="",$N131&lt;&gt;"Concluída",$O131=""),"",MAX(0,$O131-$J131))</f>
        <v/>
      </c>
      <c r="U131" s="33" t="str">
        <f aca="true">IF($E131="","",IF($N131="Cancelada","Cancelada",IF($N131="Concluída",IF($R131=1,"No prazo","Concluída com atraso"),IF($J131="","Na carteira",IF($J131&lt;TODAY(),"VENCIDA",IF($J131=TODAY(),"Hoje","Programada"))))))</f>
        <v/>
      </c>
    </row>
    <row r="132" customFormat="false" ht="15.75" hidden="false" customHeight="true" outlineLevel="0" collapsed="false">
      <c r="A132" s="28" t="str">
        <f aca="false">IF($E132="","",COUNTA($E$4:$E132))</f>
        <v/>
      </c>
      <c r="B132" s="29"/>
      <c r="C132" s="29"/>
      <c r="D132" s="29"/>
      <c r="E132" s="29"/>
      <c r="F132" s="30"/>
      <c r="G132" s="29"/>
      <c r="H132" s="30"/>
      <c r="I132" s="29"/>
      <c r="J132" s="31"/>
      <c r="K132" s="31"/>
      <c r="L132" s="30"/>
      <c r="M132" s="29"/>
      <c r="N132" s="30"/>
      <c r="O132" s="31"/>
      <c r="P132" s="32" t="str">
        <f aca="false">IF($J132="","",$J132-WEEKDAY($J132,3))</f>
        <v/>
      </c>
      <c r="Q132" s="32" t="str">
        <f aca="false">IF($J132="","",IF($K132="",$J132,$K132))</f>
        <v/>
      </c>
      <c r="R132" s="28" t="str">
        <f aca="false">IF($E132="","",IF(OR($N132&lt;&gt;"Concluída",$O132="",$J132=""),0,IF($O132&lt;=$J132,1,0)))</f>
        <v/>
      </c>
      <c r="S132" s="28" t="str">
        <f aca="false">IF($E132="","",IF(OR($N132&lt;&gt;"Concluída",$O132="",$Q132=""),0,IF($O132&lt;=$Q132,1,0)))</f>
        <v/>
      </c>
      <c r="T132" s="28" t="str">
        <f aca="false">IF(OR($J132="",$N132&lt;&gt;"Concluída",$O132=""),"",MAX(0,$O132-$J132))</f>
        <v/>
      </c>
      <c r="U132" s="33" t="str">
        <f aca="true">IF($E132="","",IF($N132="Cancelada","Cancelada",IF($N132="Concluída",IF($R132=1,"No prazo","Concluída com atraso"),IF($J132="","Na carteira",IF($J132&lt;TODAY(),"VENCIDA",IF($J132=TODAY(),"Hoje","Programada"))))))</f>
        <v/>
      </c>
    </row>
    <row r="133" customFormat="false" ht="15.75" hidden="false" customHeight="true" outlineLevel="0" collapsed="false">
      <c r="A133" s="28" t="str">
        <f aca="false">IF($E133="","",COUNTA($E$4:$E133))</f>
        <v/>
      </c>
      <c r="B133" s="34"/>
      <c r="C133" s="34"/>
      <c r="D133" s="34"/>
      <c r="E133" s="34"/>
      <c r="F133" s="35"/>
      <c r="G133" s="34"/>
      <c r="H133" s="35"/>
      <c r="I133" s="34"/>
      <c r="J133" s="36"/>
      <c r="K133" s="36"/>
      <c r="L133" s="35"/>
      <c r="M133" s="34"/>
      <c r="N133" s="35"/>
      <c r="O133" s="36"/>
      <c r="P133" s="32" t="str">
        <f aca="false">IF($J133="","",$J133-WEEKDAY($J133,3))</f>
        <v/>
      </c>
      <c r="Q133" s="32" t="str">
        <f aca="false">IF($J133="","",IF($K133="",$J133,$K133))</f>
        <v/>
      </c>
      <c r="R133" s="28" t="str">
        <f aca="false">IF($E133="","",IF(OR($N133&lt;&gt;"Concluída",$O133="",$J133=""),0,IF($O133&lt;=$J133,1,0)))</f>
        <v/>
      </c>
      <c r="S133" s="28" t="str">
        <f aca="false">IF($E133="","",IF(OR($N133&lt;&gt;"Concluída",$O133="",$Q133=""),0,IF($O133&lt;=$Q133,1,0)))</f>
        <v/>
      </c>
      <c r="T133" s="28" t="str">
        <f aca="false">IF(OR($J133="",$N133&lt;&gt;"Concluída",$O133=""),"",MAX(0,$O133-$J133))</f>
        <v/>
      </c>
      <c r="U133" s="33" t="str">
        <f aca="true">IF($E133="","",IF($N133="Cancelada","Cancelada",IF($N133="Concluída",IF($R133=1,"No prazo","Concluída com atraso"),IF($J133="","Na carteira",IF($J133&lt;TODAY(),"VENCIDA",IF($J133=TODAY(),"Hoje","Programada"))))))</f>
        <v/>
      </c>
    </row>
    <row r="134" customFormat="false" ht="15.75" hidden="false" customHeight="true" outlineLevel="0" collapsed="false">
      <c r="A134" s="28" t="str">
        <f aca="false">IF($E134="","",COUNTA($E$4:$E134))</f>
        <v/>
      </c>
      <c r="B134" s="29"/>
      <c r="C134" s="29"/>
      <c r="D134" s="29"/>
      <c r="E134" s="29"/>
      <c r="F134" s="30"/>
      <c r="G134" s="29"/>
      <c r="H134" s="30"/>
      <c r="I134" s="29"/>
      <c r="J134" s="31"/>
      <c r="K134" s="31"/>
      <c r="L134" s="30"/>
      <c r="M134" s="29"/>
      <c r="N134" s="30"/>
      <c r="O134" s="31"/>
      <c r="P134" s="32" t="str">
        <f aca="false">IF($J134="","",$J134-WEEKDAY($J134,3))</f>
        <v/>
      </c>
      <c r="Q134" s="32" t="str">
        <f aca="false">IF($J134="","",IF($K134="",$J134,$K134))</f>
        <v/>
      </c>
      <c r="R134" s="28" t="str">
        <f aca="false">IF($E134="","",IF(OR($N134&lt;&gt;"Concluída",$O134="",$J134=""),0,IF($O134&lt;=$J134,1,0)))</f>
        <v/>
      </c>
      <c r="S134" s="28" t="str">
        <f aca="false">IF($E134="","",IF(OR($N134&lt;&gt;"Concluída",$O134="",$Q134=""),0,IF($O134&lt;=$Q134,1,0)))</f>
        <v/>
      </c>
      <c r="T134" s="28" t="str">
        <f aca="false">IF(OR($J134="",$N134&lt;&gt;"Concluída",$O134=""),"",MAX(0,$O134-$J134))</f>
        <v/>
      </c>
      <c r="U134" s="33" t="str">
        <f aca="true">IF($E134="","",IF($N134="Cancelada","Cancelada",IF($N134="Concluída",IF($R134=1,"No prazo","Concluída com atraso"),IF($J134="","Na carteira",IF($J134&lt;TODAY(),"VENCIDA",IF($J134=TODAY(),"Hoje","Programada"))))))</f>
        <v/>
      </c>
    </row>
    <row r="135" customFormat="false" ht="15.75" hidden="false" customHeight="true" outlineLevel="0" collapsed="false">
      <c r="A135" s="28" t="str">
        <f aca="false">IF($E135="","",COUNTA($E$4:$E135))</f>
        <v/>
      </c>
      <c r="B135" s="34"/>
      <c r="C135" s="34"/>
      <c r="D135" s="34"/>
      <c r="E135" s="34"/>
      <c r="F135" s="35"/>
      <c r="G135" s="34"/>
      <c r="H135" s="35"/>
      <c r="I135" s="34"/>
      <c r="J135" s="36"/>
      <c r="K135" s="36"/>
      <c r="L135" s="35"/>
      <c r="M135" s="34"/>
      <c r="N135" s="35"/>
      <c r="O135" s="36"/>
      <c r="P135" s="32" t="str">
        <f aca="false">IF($J135="","",$J135-WEEKDAY($J135,3))</f>
        <v/>
      </c>
      <c r="Q135" s="32" t="str">
        <f aca="false">IF($J135="","",IF($K135="",$J135,$K135))</f>
        <v/>
      </c>
      <c r="R135" s="28" t="str">
        <f aca="false">IF($E135="","",IF(OR($N135&lt;&gt;"Concluída",$O135="",$J135=""),0,IF($O135&lt;=$J135,1,0)))</f>
        <v/>
      </c>
      <c r="S135" s="28" t="str">
        <f aca="false">IF($E135="","",IF(OR($N135&lt;&gt;"Concluída",$O135="",$Q135=""),0,IF($O135&lt;=$Q135,1,0)))</f>
        <v/>
      </c>
      <c r="T135" s="28" t="str">
        <f aca="false">IF(OR($J135="",$N135&lt;&gt;"Concluída",$O135=""),"",MAX(0,$O135-$J135))</f>
        <v/>
      </c>
      <c r="U135" s="33" t="str">
        <f aca="true">IF($E135="","",IF($N135="Cancelada","Cancelada",IF($N135="Concluída",IF($R135=1,"No prazo","Concluída com atraso"),IF($J135="","Na carteira",IF($J135&lt;TODAY(),"VENCIDA",IF($J135=TODAY(),"Hoje","Programada"))))))</f>
        <v/>
      </c>
    </row>
    <row r="136" customFormat="false" ht="15.75" hidden="false" customHeight="true" outlineLevel="0" collapsed="false">
      <c r="A136" s="28" t="str">
        <f aca="false">IF($E136="","",COUNTA($E$4:$E136))</f>
        <v/>
      </c>
      <c r="B136" s="29"/>
      <c r="C136" s="29"/>
      <c r="D136" s="29"/>
      <c r="E136" s="29"/>
      <c r="F136" s="30"/>
      <c r="G136" s="29"/>
      <c r="H136" s="30"/>
      <c r="I136" s="29"/>
      <c r="J136" s="31"/>
      <c r="K136" s="31"/>
      <c r="L136" s="30"/>
      <c r="M136" s="29"/>
      <c r="N136" s="30"/>
      <c r="O136" s="31"/>
      <c r="P136" s="32" t="str">
        <f aca="false">IF($J136="","",$J136-WEEKDAY($J136,3))</f>
        <v/>
      </c>
      <c r="Q136" s="32" t="str">
        <f aca="false">IF($J136="","",IF($K136="",$J136,$K136))</f>
        <v/>
      </c>
      <c r="R136" s="28" t="str">
        <f aca="false">IF($E136="","",IF(OR($N136&lt;&gt;"Concluída",$O136="",$J136=""),0,IF($O136&lt;=$J136,1,0)))</f>
        <v/>
      </c>
      <c r="S136" s="28" t="str">
        <f aca="false">IF($E136="","",IF(OR($N136&lt;&gt;"Concluída",$O136="",$Q136=""),0,IF($O136&lt;=$Q136,1,0)))</f>
        <v/>
      </c>
      <c r="T136" s="28" t="str">
        <f aca="false">IF(OR($J136="",$N136&lt;&gt;"Concluída",$O136=""),"",MAX(0,$O136-$J136))</f>
        <v/>
      </c>
      <c r="U136" s="33" t="str">
        <f aca="true">IF($E136="","",IF($N136="Cancelada","Cancelada",IF($N136="Concluída",IF($R136=1,"No prazo","Concluída com atraso"),IF($J136="","Na carteira",IF($J136&lt;TODAY(),"VENCIDA",IF($J136=TODAY(),"Hoje","Programada"))))))</f>
        <v/>
      </c>
    </row>
    <row r="137" customFormat="false" ht="15.75" hidden="false" customHeight="true" outlineLevel="0" collapsed="false">
      <c r="A137" s="28" t="str">
        <f aca="false">IF($E137="","",COUNTA($E$4:$E137))</f>
        <v/>
      </c>
      <c r="B137" s="34"/>
      <c r="C137" s="34"/>
      <c r="D137" s="34"/>
      <c r="E137" s="34"/>
      <c r="F137" s="35"/>
      <c r="G137" s="34"/>
      <c r="H137" s="35"/>
      <c r="I137" s="34"/>
      <c r="J137" s="36"/>
      <c r="K137" s="36"/>
      <c r="L137" s="35"/>
      <c r="M137" s="34"/>
      <c r="N137" s="35"/>
      <c r="O137" s="36"/>
      <c r="P137" s="32" t="str">
        <f aca="false">IF($J137="","",$J137-WEEKDAY($J137,3))</f>
        <v/>
      </c>
      <c r="Q137" s="32" t="str">
        <f aca="false">IF($J137="","",IF($K137="",$J137,$K137))</f>
        <v/>
      </c>
      <c r="R137" s="28" t="str">
        <f aca="false">IF($E137="","",IF(OR($N137&lt;&gt;"Concluída",$O137="",$J137=""),0,IF($O137&lt;=$J137,1,0)))</f>
        <v/>
      </c>
      <c r="S137" s="28" t="str">
        <f aca="false">IF($E137="","",IF(OR($N137&lt;&gt;"Concluída",$O137="",$Q137=""),0,IF($O137&lt;=$Q137,1,0)))</f>
        <v/>
      </c>
      <c r="T137" s="28" t="str">
        <f aca="false">IF(OR($J137="",$N137&lt;&gt;"Concluída",$O137=""),"",MAX(0,$O137-$J137))</f>
        <v/>
      </c>
      <c r="U137" s="33" t="str">
        <f aca="true">IF($E137="","",IF($N137="Cancelada","Cancelada",IF($N137="Concluída",IF($R137=1,"No prazo","Concluída com atraso"),IF($J137="","Na carteira",IF($J137&lt;TODAY(),"VENCIDA",IF($J137=TODAY(),"Hoje","Programada"))))))</f>
        <v/>
      </c>
    </row>
    <row r="138" customFormat="false" ht="15.75" hidden="false" customHeight="true" outlineLevel="0" collapsed="false">
      <c r="A138" s="28" t="str">
        <f aca="false">IF($E138="","",COUNTA($E$4:$E138))</f>
        <v/>
      </c>
      <c r="B138" s="29"/>
      <c r="C138" s="29"/>
      <c r="D138" s="29"/>
      <c r="E138" s="29"/>
      <c r="F138" s="30"/>
      <c r="G138" s="29"/>
      <c r="H138" s="30"/>
      <c r="I138" s="29"/>
      <c r="J138" s="31"/>
      <c r="K138" s="31"/>
      <c r="L138" s="30"/>
      <c r="M138" s="29"/>
      <c r="N138" s="30"/>
      <c r="O138" s="31"/>
      <c r="P138" s="32" t="str">
        <f aca="false">IF($J138="","",$J138-WEEKDAY($J138,3))</f>
        <v/>
      </c>
      <c r="Q138" s="32" t="str">
        <f aca="false">IF($J138="","",IF($K138="",$J138,$K138))</f>
        <v/>
      </c>
      <c r="R138" s="28" t="str">
        <f aca="false">IF($E138="","",IF(OR($N138&lt;&gt;"Concluída",$O138="",$J138=""),0,IF($O138&lt;=$J138,1,0)))</f>
        <v/>
      </c>
      <c r="S138" s="28" t="str">
        <f aca="false">IF($E138="","",IF(OR($N138&lt;&gt;"Concluída",$O138="",$Q138=""),0,IF($O138&lt;=$Q138,1,0)))</f>
        <v/>
      </c>
      <c r="T138" s="28" t="str">
        <f aca="false">IF(OR($J138="",$N138&lt;&gt;"Concluída",$O138=""),"",MAX(0,$O138-$J138))</f>
        <v/>
      </c>
      <c r="U138" s="33" t="str">
        <f aca="true">IF($E138="","",IF($N138="Cancelada","Cancelada",IF($N138="Concluída",IF($R138=1,"No prazo","Concluída com atraso"),IF($J138="","Na carteira",IF($J138&lt;TODAY(),"VENCIDA",IF($J138=TODAY(),"Hoje","Programada"))))))</f>
        <v/>
      </c>
    </row>
    <row r="139" customFormat="false" ht="15.75" hidden="false" customHeight="true" outlineLevel="0" collapsed="false">
      <c r="A139" s="28" t="str">
        <f aca="false">IF($E139="","",COUNTA($E$4:$E139))</f>
        <v/>
      </c>
      <c r="B139" s="34"/>
      <c r="C139" s="34"/>
      <c r="D139" s="34"/>
      <c r="E139" s="34"/>
      <c r="F139" s="35"/>
      <c r="G139" s="34"/>
      <c r="H139" s="35"/>
      <c r="I139" s="34"/>
      <c r="J139" s="36"/>
      <c r="K139" s="36"/>
      <c r="L139" s="35"/>
      <c r="M139" s="34"/>
      <c r="N139" s="35"/>
      <c r="O139" s="36"/>
      <c r="P139" s="32" t="str">
        <f aca="false">IF($J139="","",$J139-WEEKDAY($J139,3))</f>
        <v/>
      </c>
      <c r="Q139" s="32" t="str">
        <f aca="false">IF($J139="","",IF($K139="",$J139,$K139))</f>
        <v/>
      </c>
      <c r="R139" s="28" t="str">
        <f aca="false">IF($E139="","",IF(OR($N139&lt;&gt;"Concluída",$O139="",$J139=""),0,IF($O139&lt;=$J139,1,0)))</f>
        <v/>
      </c>
      <c r="S139" s="28" t="str">
        <f aca="false">IF($E139="","",IF(OR($N139&lt;&gt;"Concluída",$O139="",$Q139=""),0,IF($O139&lt;=$Q139,1,0)))</f>
        <v/>
      </c>
      <c r="T139" s="28" t="str">
        <f aca="false">IF(OR($J139="",$N139&lt;&gt;"Concluída",$O139=""),"",MAX(0,$O139-$J139))</f>
        <v/>
      </c>
      <c r="U139" s="33" t="str">
        <f aca="true">IF($E139="","",IF($N139="Cancelada","Cancelada",IF($N139="Concluída",IF($R139=1,"No prazo","Concluída com atraso"),IF($J139="","Na carteira",IF($J139&lt;TODAY(),"VENCIDA",IF($J139=TODAY(),"Hoje","Programada"))))))</f>
        <v/>
      </c>
    </row>
    <row r="140" customFormat="false" ht="15.75" hidden="false" customHeight="true" outlineLevel="0" collapsed="false">
      <c r="A140" s="28" t="str">
        <f aca="false">IF($E140="","",COUNTA($E$4:$E140))</f>
        <v/>
      </c>
      <c r="B140" s="29"/>
      <c r="C140" s="29"/>
      <c r="D140" s="29"/>
      <c r="E140" s="29"/>
      <c r="F140" s="30"/>
      <c r="G140" s="29"/>
      <c r="H140" s="30"/>
      <c r="I140" s="29"/>
      <c r="J140" s="31"/>
      <c r="K140" s="31"/>
      <c r="L140" s="30"/>
      <c r="M140" s="29"/>
      <c r="N140" s="30"/>
      <c r="O140" s="31"/>
      <c r="P140" s="32" t="str">
        <f aca="false">IF($J140="","",$J140-WEEKDAY($J140,3))</f>
        <v/>
      </c>
      <c r="Q140" s="32" t="str">
        <f aca="false">IF($J140="","",IF($K140="",$J140,$K140))</f>
        <v/>
      </c>
      <c r="R140" s="28" t="str">
        <f aca="false">IF($E140="","",IF(OR($N140&lt;&gt;"Concluída",$O140="",$J140=""),0,IF($O140&lt;=$J140,1,0)))</f>
        <v/>
      </c>
      <c r="S140" s="28" t="str">
        <f aca="false">IF($E140="","",IF(OR($N140&lt;&gt;"Concluída",$O140="",$Q140=""),0,IF($O140&lt;=$Q140,1,0)))</f>
        <v/>
      </c>
      <c r="T140" s="28" t="str">
        <f aca="false">IF(OR($J140="",$N140&lt;&gt;"Concluída",$O140=""),"",MAX(0,$O140-$J140))</f>
        <v/>
      </c>
      <c r="U140" s="33" t="str">
        <f aca="true">IF($E140="","",IF($N140="Cancelada","Cancelada",IF($N140="Concluída",IF($R140=1,"No prazo","Concluída com atraso"),IF($J140="","Na carteira",IF($J140&lt;TODAY(),"VENCIDA",IF($J140=TODAY(),"Hoje","Programada"))))))</f>
        <v/>
      </c>
    </row>
    <row r="141" customFormat="false" ht="15.75" hidden="false" customHeight="true" outlineLevel="0" collapsed="false">
      <c r="A141" s="28" t="str">
        <f aca="false">IF($E141="","",COUNTA($E$4:$E141))</f>
        <v/>
      </c>
      <c r="B141" s="34"/>
      <c r="C141" s="34"/>
      <c r="D141" s="34"/>
      <c r="E141" s="34"/>
      <c r="F141" s="35"/>
      <c r="G141" s="34"/>
      <c r="H141" s="35"/>
      <c r="I141" s="34"/>
      <c r="J141" s="36"/>
      <c r="K141" s="36"/>
      <c r="L141" s="35"/>
      <c r="M141" s="34"/>
      <c r="N141" s="35"/>
      <c r="O141" s="36"/>
      <c r="P141" s="32" t="str">
        <f aca="false">IF($J141="","",$J141-WEEKDAY($J141,3))</f>
        <v/>
      </c>
      <c r="Q141" s="32" t="str">
        <f aca="false">IF($J141="","",IF($K141="",$J141,$K141))</f>
        <v/>
      </c>
      <c r="R141" s="28" t="str">
        <f aca="false">IF($E141="","",IF(OR($N141&lt;&gt;"Concluída",$O141="",$J141=""),0,IF($O141&lt;=$J141,1,0)))</f>
        <v/>
      </c>
      <c r="S141" s="28" t="str">
        <f aca="false">IF($E141="","",IF(OR($N141&lt;&gt;"Concluída",$O141="",$Q141=""),0,IF($O141&lt;=$Q141,1,0)))</f>
        <v/>
      </c>
      <c r="T141" s="28" t="str">
        <f aca="false">IF(OR($J141="",$N141&lt;&gt;"Concluída",$O141=""),"",MAX(0,$O141-$J141))</f>
        <v/>
      </c>
      <c r="U141" s="33" t="str">
        <f aca="true">IF($E141="","",IF($N141="Cancelada","Cancelada",IF($N141="Concluída",IF($R141=1,"No prazo","Concluída com atraso"),IF($J141="","Na carteira",IF($J141&lt;TODAY(),"VENCIDA",IF($J141=TODAY(),"Hoje","Programada"))))))</f>
        <v/>
      </c>
    </row>
    <row r="142" customFormat="false" ht="15.75" hidden="false" customHeight="true" outlineLevel="0" collapsed="false">
      <c r="A142" s="28" t="str">
        <f aca="false">IF($E142="","",COUNTA($E$4:$E142))</f>
        <v/>
      </c>
      <c r="B142" s="29"/>
      <c r="C142" s="29"/>
      <c r="D142" s="29"/>
      <c r="E142" s="29"/>
      <c r="F142" s="30"/>
      <c r="G142" s="29"/>
      <c r="H142" s="30"/>
      <c r="I142" s="29"/>
      <c r="J142" s="31"/>
      <c r="K142" s="31"/>
      <c r="L142" s="30"/>
      <c r="M142" s="29"/>
      <c r="N142" s="30"/>
      <c r="O142" s="31"/>
      <c r="P142" s="32" t="str">
        <f aca="false">IF($J142="","",$J142-WEEKDAY($J142,3))</f>
        <v/>
      </c>
      <c r="Q142" s="32" t="str">
        <f aca="false">IF($J142="","",IF($K142="",$J142,$K142))</f>
        <v/>
      </c>
      <c r="R142" s="28" t="str">
        <f aca="false">IF($E142="","",IF(OR($N142&lt;&gt;"Concluída",$O142="",$J142=""),0,IF($O142&lt;=$J142,1,0)))</f>
        <v/>
      </c>
      <c r="S142" s="28" t="str">
        <f aca="false">IF($E142="","",IF(OR($N142&lt;&gt;"Concluída",$O142="",$Q142=""),0,IF($O142&lt;=$Q142,1,0)))</f>
        <v/>
      </c>
      <c r="T142" s="28" t="str">
        <f aca="false">IF(OR($J142="",$N142&lt;&gt;"Concluída",$O142=""),"",MAX(0,$O142-$J142))</f>
        <v/>
      </c>
      <c r="U142" s="33" t="str">
        <f aca="true">IF($E142="","",IF($N142="Cancelada","Cancelada",IF($N142="Concluída",IF($R142=1,"No prazo","Concluída com atraso"),IF($J142="","Na carteira",IF($J142&lt;TODAY(),"VENCIDA",IF($J142=TODAY(),"Hoje","Programada"))))))</f>
        <v/>
      </c>
    </row>
    <row r="143" customFormat="false" ht="15.75" hidden="false" customHeight="true" outlineLevel="0" collapsed="false">
      <c r="A143" s="28" t="str">
        <f aca="false">IF($E143="","",COUNTA($E$4:$E143))</f>
        <v/>
      </c>
      <c r="B143" s="34"/>
      <c r="C143" s="34"/>
      <c r="D143" s="34"/>
      <c r="E143" s="34"/>
      <c r="F143" s="35"/>
      <c r="G143" s="34"/>
      <c r="H143" s="35"/>
      <c r="I143" s="34"/>
      <c r="J143" s="36"/>
      <c r="K143" s="36"/>
      <c r="L143" s="35"/>
      <c r="M143" s="34"/>
      <c r="N143" s="35"/>
      <c r="O143" s="36"/>
      <c r="P143" s="32" t="str">
        <f aca="false">IF($J143="","",$J143-WEEKDAY($J143,3))</f>
        <v/>
      </c>
      <c r="Q143" s="32" t="str">
        <f aca="false">IF($J143="","",IF($K143="",$J143,$K143))</f>
        <v/>
      </c>
      <c r="R143" s="28" t="str">
        <f aca="false">IF($E143="","",IF(OR($N143&lt;&gt;"Concluída",$O143="",$J143=""),0,IF($O143&lt;=$J143,1,0)))</f>
        <v/>
      </c>
      <c r="S143" s="28" t="str">
        <f aca="false">IF($E143="","",IF(OR($N143&lt;&gt;"Concluída",$O143="",$Q143=""),0,IF($O143&lt;=$Q143,1,0)))</f>
        <v/>
      </c>
      <c r="T143" s="28" t="str">
        <f aca="false">IF(OR($J143="",$N143&lt;&gt;"Concluída",$O143=""),"",MAX(0,$O143-$J143))</f>
        <v/>
      </c>
      <c r="U143" s="33" t="str">
        <f aca="true">IF($E143="","",IF($N143="Cancelada","Cancelada",IF($N143="Concluída",IF($R143=1,"No prazo","Concluída com atraso"),IF($J143="","Na carteira",IF($J143&lt;TODAY(),"VENCIDA",IF($J143=TODAY(),"Hoje","Programada"))))))</f>
        <v/>
      </c>
    </row>
    <row r="144" customFormat="false" ht="15.75" hidden="false" customHeight="true" outlineLevel="0" collapsed="false">
      <c r="A144" s="28" t="str">
        <f aca="false">IF($E144="","",COUNTA($E$4:$E144))</f>
        <v/>
      </c>
      <c r="B144" s="29"/>
      <c r="C144" s="29"/>
      <c r="D144" s="29"/>
      <c r="E144" s="29"/>
      <c r="F144" s="30"/>
      <c r="G144" s="29"/>
      <c r="H144" s="30"/>
      <c r="I144" s="29"/>
      <c r="J144" s="31"/>
      <c r="K144" s="31"/>
      <c r="L144" s="30"/>
      <c r="M144" s="29"/>
      <c r="N144" s="30"/>
      <c r="O144" s="31"/>
      <c r="P144" s="32" t="str">
        <f aca="false">IF($J144="","",$J144-WEEKDAY($J144,3))</f>
        <v/>
      </c>
      <c r="Q144" s="32" t="str">
        <f aca="false">IF($J144="","",IF($K144="",$J144,$K144))</f>
        <v/>
      </c>
      <c r="R144" s="28" t="str">
        <f aca="false">IF($E144="","",IF(OR($N144&lt;&gt;"Concluída",$O144="",$J144=""),0,IF($O144&lt;=$J144,1,0)))</f>
        <v/>
      </c>
      <c r="S144" s="28" t="str">
        <f aca="false">IF($E144="","",IF(OR($N144&lt;&gt;"Concluída",$O144="",$Q144=""),0,IF($O144&lt;=$Q144,1,0)))</f>
        <v/>
      </c>
      <c r="T144" s="28" t="str">
        <f aca="false">IF(OR($J144="",$N144&lt;&gt;"Concluída",$O144=""),"",MAX(0,$O144-$J144))</f>
        <v/>
      </c>
      <c r="U144" s="33" t="str">
        <f aca="true">IF($E144="","",IF($N144="Cancelada","Cancelada",IF($N144="Concluída",IF($R144=1,"No prazo","Concluída com atraso"),IF($J144="","Na carteira",IF($J144&lt;TODAY(),"VENCIDA",IF($J144=TODAY(),"Hoje","Programada"))))))</f>
        <v/>
      </c>
    </row>
    <row r="145" customFormat="false" ht="15.75" hidden="false" customHeight="true" outlineLevel="0" collapsed="false">
      <c r="A145" s="28" t="str">
        <f aca="false">IF($E145="","",COUNTA($E$4:$E145))</f>
        <v/>
      </c>
      <c r="B145" s="34"/>
      <c r="C145" s="34"/>
      <c r="D145" s="34"/>
      <c r="E145" s="34"/>
      <c r="F145" s="35"/>
      <c r="G145" s="34"/>
      <c r="H145" s="35"/>
      <c r="I145" s="34"/>
      <c r="J145" s="36"/>
      <c r="K145" s="36"/>
      <c r="L145" s="35"/>
      <c r="M145" s="34"/>
      <c r="N145" s="35"/>
      <c r="O145" s="36"/>
      <c r="P145" s="32" t="str">
        <f aca="false">IF($J145="","",$J145-WEEKDAY($J145,3))</f>
        <v/>
      </c>
      <c r="Q145" s="32" t="str">
        <f aca="false">IF($J145="","",IF($K145="",$J145,$K145))</f>
        <v/>
      </c>
      <c r="R145" s="28" t="str">
        <f aca="false">IF($E145="","",IF(OR($N145&lt;&gt;"Concluída",$O145="",$J145=""),0,IF($O145&lt;=$J145,1,0)))</f>
        <v/>
      </c>
      <c r="S145" s="28" t="str">
        <f aca="false">IF($E145="","",IF(OR($N145&lt;&gt;"Concluída",$O145="",$Q145=""),0,IF($O145&lt;=$Q145,1,0)))</f>
        <v/>
      </c>
      <c r="T145" s="28" t="str">
        <f aca="false">IF(OR($J145="",$N145&lt;&gt;"Concluída",$O145=""),"",MAX(0,$O145-$J145))</f>
        <v/>
      </c>
      <c r="U145" s="33" t="str">
        <f aca="true">IF($E145="","",IF($N145="Cancelada","Cancelada",IF($N145="Concluída",IF($R145=1,"No prazo","Concluída com atraso"),IF($J145="","Na carteira",IF($J145&lt;TODAY(),"VENCIDA",IF($J145=TODAY(),"Hoje","Programada"))))))</f>
        <v/>
      </c>
    </row>
    <row r="146" customFormat="false" ht="15.75" hidden="false" customHeight="true" outlineLevel="0" collapsed="false">
      <c r="A146" s="28" t="str">
        <f aca="false">IF($E146="","",COUNTA($E$4:$E146))</f>
        <v/>
      </c>
      <c r="B146" s="29"/>
      <c r="C146" s="29"/>
      <c r="D146" s="29"/>
      <c r="E146" s="29"/>
      <c r="F146" s="30"/>
      <c r="G146" s="29"/>
      <c r="H146" s="30"/>
      <c r="I146" s="29"/>
      <c r="J146" s="31"/>
      <c r="K146" s="31"/>
      <c r="L146" s="30"/>
      <c r="M146" s="29"/>
      <c r="N146" s="30"/>
      <c r="O146" s="31"/>
      <c r="P146" s="32" t="str">
        <f aca="false">IF($J146="","",$J146-WEEKDAY($J146,3))</f>
        <v/>
      </c>
      <c r="Q146" s="32" t="str">
        <f aca="false">IF($J146="","",IF($K146="",$J146,$K146))</f>
        <v/>
      </c>
      <c r="R146" s="28" t="str">
        <f aca="false">IF($E146="","",IF(OR($N146&lt;&gt;"Concluída",$O146="",$J146=""),0,IF($O146&lt;=$J146,1,0)))</f>
        <v/>
      </c>
      <c r="S146" s="28" t="str">
        <f aca="false">IF($E146="","",IF(OR($N146&lt;&gt;"Concluída",$O146="",$Q146=""),0,IF($O146&lt;=$Q146,1,0)))</f>
        <v/>
      </c>
      <c r="T146" s="28" t="str">
        <f aca="false">IF(OR($J146="",$N146&lt;&gt;"Concluída",$O146=""),"",MAX(0,$O146-$J146))</f>
        <v/>
      </c>
      <c r="U146" s="33" t="str">
        <f aca="true">IF($E146="","",IF($N146="Cancelada","Cancelada",IF($N146="Concluída",IF($R146=1,"No prazo","Concluída com atraso"),IF($J146="","Na carteira",IF($J146&lt;TODAY(),"VENCIDA",IF($J146=TODAY(),"Hoje","Programada"))))))</f>
        <v/>
      </c>
    </row>
    <row r="147" customFormat="false" ht="15.75" hidden="false" customHeight="true" outlineLevel="0" collapsed="false">
      <c r="A147" s="28" t="str">
        <f aca="false">IF($E147="","",COUNTA($E$4:$E147))</f>
        <v/>
      </c>
      <c r="B147" s="34"/>
      <c r="C147" s="34"/>
      <c r="D147" s="34"/>
      <c r="E147" s="34"/>
      <c r="F147" s="35"/>
      <c r="G147" s="34"/>
      <c r="H147" s="35"/>
      <c r="I147" s="34"/>
      <c r="J147" s="36"/>
      <c r="K147" s="36"/>
      <c r="L147" s="35"/>
      <c r="M147" s="34"/>
      <c r="N147" s="35"/>
      <c r="O147" s="36"/>
      <c r="P147" s="32" t="str">
        <f aca="false">IF($J147="","",$J147-WEEKDAY($J147,3))</f>
        <v/>
      </c>
      <c r="Q147" s="32" t="str">
        <f aca="false">IF($J147="","",IF($K147="",$J147,$K147))</f>
        <v/>
      </c>
      <c r="R147" s="28" t="str">
        <f aca="false">IF($E147="","",IF(OR($N147&lt;&gt;"Concluída",$O147="",$J147=""),0,IF($O147&lt;=$J147,1,0)))</f>
        <v/>
      </c>
      <c r="S147" s="28" t="str">
        <f aca="false">IF($E147="","",IF(OR($N147&lt;&gt;"Concluída",$O147="",$Q147=""),0,IF($O147&lt;=$Q147,1,0)))</f>
        <v/>
      </c>
      <c r="T147" s="28" t="str">
        <f aca="false">IF(OR($J147="",$N147&lt;&gt;"Concluída",$O147=""),"",MAX(0,$O147-$J147))</f>
        <v/>
      </c>
      <c r="U147" s="33" t="str">
        <f aca="true">IF($E147="","",IF($N147="Cancelada","Cancelada",IF($N147="Concluída",IF($R147=1,"No prazo","Concluída com atraso"),IF($J147="","Na carteira",IF($J147&lt;TODAY(),"VENCIDA",IF($J147=TODAY(),"Hoje","Programada"))))))</f>
        <v/>
      </c>
    </row>
    <row r="148" customFormat="false" ht="15.75" hidden="false" customHeight="true" outlineLevel="0" collapsed="false">
      <c r="A148" s="28" t="str">
        <f aca="false">IF($E148="","",COUNTA($E$4:$E148))</f>
        <v/>
      </c>
      <c r="B148" s="29"/>
      <c r="C148" s="29"/>
      <c r="D148" s="29"/>
      <c r="E148" s="29"/>
      <c r="F148" s="30"/>
      <c r="G148" s="29"/>
      <c r="H148" s="30"/>
      <c r="I148" s="29"/>
      <c r="J148" s="31"/>
      <c r="K148" s="31"/>
      <c r="L148" s="30"/>
      <c r="M148" s="29"/>
      <c r="N148" s="30"/>
      <c r="O148" s="31"/>
      <c r="P148" s="32" t="str">
        <f aca="false">IF($J148="","",$J148-WEEKDAY($J148,3))</f>
        <v/>
      </c>
      <c r="Q148" s="32" t="str">
        <f aca="false">IF($J148="","",IF($K148="",$J148,$K148))</f>
        <v/>
      </c>
      <c r="R148" s="28" t="str">
        <f aca="false">IF($E148="","",IF(OR($N148&lt;&gt;"Concluída",$O148="",$J148=""),0,IF($O148&lt;=$J148,1,0)))</f>
        <v/>
      </c>
      <c r="S148" s="28" t="str">
        <f aca="false">IF($E148="","",IF(OR($N148&lt;&gt;"Concluída",$O148="",$Q148=""),0,IF($O148&lt;=$Q148,1,0)))</f>
        <v/>
      </c>
      <c r="T148" s="28" t="str">
        <f aca="false">IF(OR($J148="",$N148&lt;&gt;"Concluída",$O148=""),"",MAX(0,$O148-$J148))</f>
        <v/>
      </c>
      <c r="U148" s="33" t="str">
        <f aca="true">IF($E148="","",IF($N148="Cancelada","Cancelada",IF($N148="Concluída",IF($R148=1,"No prazo","Concluída com atraso"),IF($J148="","Na carteira",IF($J148&lt;TODAY(),"VENCIDA",IF($J148=TODAY(),"Hoje","Programada"))))))</f>
        <v/>
      </c>
    </row>
    <row r="149" customFormat="false" ht="15.75" hidden="false" customHeight="true" outlineLevel="0" collapsed="false">
      <c r="A149" s="28" t="str">
        <f aca="false">IF($E149="","",COUNTA($E$4:$E149))</f>
        <v/>
      </c>
      <c r="B149" s="34"/>
      <c r="C149" s="34"/>
      <c r="D149" s="34"/>
      <c r="E149" s="34"/>
      <c r="F149" s="35"/>
      <c r="G149" s="34"/>
      <c r="H149" s="35"/>
      <c r="I149" s="34"/>
      <c r="J149" s="36"/>
      <c r="K149" s="36"/>
      <c r="L149" s="35"/>
      <c r="M149" s="34"/>
      <c r="N149" s="35"/>
      <c r="O149" s="36"/>
      <c r="P149" s="32" t="str">
        <f aca="false">IF($J149="","",$J149-WEEKDAY($J149,3))</f>
        <v/>
      </c>
      <c r="Q149" s="32" t="str">
        <f aca="false">IF($J149="","",IF($K149="",$J149,$K149))</f>
        <v/>
      </c>
      <c r="R149" s="28" t="str">
        <f aca="false">IF($E149="","",IF(OR($N149&lt;&gt;"Concluída",$O149="",$J149=""),0,IF($O149&lt;=$J149,1,0)))</f>
        <v/>
      </c>
      <c r="S149" s="28" t="str">
        <f aca="false">IF($E149="","",IF(OR($N149&lt;&gt;"Concluída",$O149="",$Q149=""),0,IF($O149&lt;=$Q149,1,0)))</f>
        <v/>
      </c>
      <c r="T149" s="28" t="str">
        <f aca="false">IF(OR($J149="",$N149&lt;&gt;"Concluída",$O149=""),"",MAX(0,$O149-$J149))</f>
        <v/>
      </c>
      <c r="U149" s="33" t="str">
        <f aca="true">IF($E149="","",IF($N149="Cancelada","Cancelada",IF($N149="Concluída",IF($R149=1,"No prazo","Concluída com atraso"),IF($J149="","Na carteira",IF($J149&lt;TODAY(),"VENCIDA",IF($J149=TODAY(),"Hoje","Programada"))))))</f>
        <v/>
      </c>
    </row>
    <row r="150" customFormat="false" ht="15.75" hidden="false" customHeight="true" outlineLevel="0" collapsed="false">
      <c r="A150" s="28" t="str">
        <f aca="false">IF($E150="","",COUNTA($E$4:$E150))</f>
        <v/>
      </c>
      <c r="B150" s="29"/>
      <c r="C150" s="29"/>
      <c r="D150" s="29"/>
      <c r="E150" s="29"/>
      <c r="F150" s="30"/>
      <c r="G150" s="29"/>
      <c r="H150" s="30"/>
      <c r="I150" s="29"/>
      <c r="J150" s="31"/>
      <c r="K150" s="31"/>
      <c r="L150" s="30"/>
      <c r="M150" s="29"/>
      <c r="N150" s="30"/>
      <c r="O150" s="31"/>
      <c r="P150" s="32" t="str">
        <f aca="false">IF($J150="","",$J150-WEEKDAY($J150,3))</f>
        <v/>
      </c>
      <c r="Q150" s="32" t="str">
        <f aca="false">IF($J150="","",IF($K150="",$J150,$K150))</f>
        <v/>
      </c>
      <c r="R150" s="28" t="str">
        <f aca="false">IF($E150="","",IF(OR($N150&lt;&gt;"Concluída",$O150="",$J150=""),0,IF($O150&lt;=$J150,1,0)))</f>
        <v/>
      </c>
      <c r="S150" s="28" t="str">
        <f aca="false">IF($E150="","",IF(OR($N150&lt;&gt;"Concluída",$O150="",$Q150=""),0,IF($O150&lt;=$Q150,1,0)))</f>
        <v/>
      </c>
      <c r="T150" s="28" t="str">
        <f aca="false">IF(OR($J150="",$N150&lt;&gt;"Concluída",$O150=""),"",MAX(0,$O150-$J150))</f>
        <v/>
      </c>
      <c r="U150" s="33" t="str">
        <f aca="true">IF($E150="","",IF($N150="Cancelada","Cancelada",IF($N150="Concluída",IF($R150=1,"No prazo","Concluída com atraso"),IF($J150="","Na carteira",IF($J150&lt;TODAY(),"VENCIDA",IF($J150=TODAY(),"Hoje","Programada"))))))</f>
        <v/>
      </c>
    </row>
    <row r="151" customFormat="false" ht="15.75" hidden="false" customHeight="true" outlineLevel="0" collapsed="false">
      <c r="A151" s="28" t="str">
        <f aca="false">IF($E151="","",COUNTA($E$4:$E151))</f>
        <v/>
      </c>
      <c r="B151" s="34"/>
      <c r="C151" s="34"/>
      <c r="D151" s="34"/>
      <c r="E151" s="34"/>
      <c r="F151" s="35"/>
      <c r="G151" s="34"/>
      <c r="H151" s="35"/>
      <c r="I151" s="34"/>
      <c r="J151" s="36"/>
      <c r="K151" s="36"/>
      <c r="L151" s="35"/>
      <c r="M151" s="34"/>
      <c r="N151" s="35"/>
      <c r="O151" s="36"/>
      <c r="P151" s="32" t="str">
        <f aca="false">IF($J151="","",$J151-WEEKDAY($J151,3))</f>
        <v/>
      </c>
      <c r="Q151" s="32" t="str">
        <f aca="false">IF($J151="","",IF($K151="",$J151,$K151))</f>
        <v/>
      </c>
      <c r="R151" s="28" t="str">
        <f aca="false">IF($E151="","",IF(OR($N151&lt;&gt;"Concluída",$O151="",$J151=""),0,IF($O151&lt;=$J151,1,0)))</f>
        <v/>
      </c>
      <c r="S151" s="28" t="str">
        <f aca="false">IF($E151="","",IF(OR($N151&lt;&gt;"Concluída",$O151="",$Q151=""),0,IF($O151&lt;=$Q151,1,0)))</f>
        <v/>
      </c>
      <c r="T151" s="28" t="str">
        <f aca="false">IF(OR($J151="",$N151&lt;&gt;"Concluída",$O151=""),"",MAX(0,$O151-$J151))</f>
        <v/>
      </c>
      <c r="U151" s="33" t="str">
        <f aca="true">IF($E151="","",IF($N151="Cancelada","Cancelada",IF($N151="Concluída",IF($R151=1,"No prazo","Concluída com atraso"),IF($J151="","Na carteira",IF($J151&lt;TODAY(),"VENCIDA",IF($J151=TODAY(),"Hoje","Programada"))))))</f>
        <v/>
      </c>
    </row>
    <row r="152" customFormat="false" ht="15.75" hidden="false" customHeight="true" outlineLevel="0" collapsed="false">
      <c r="A152" s="28" t="str">
        <f aca="false">IF($E152="","",COUNTA($E$4:$E152))</f>
        <v/>
      </c>
      <c r="B152" s="29"/>
      <c r="C152" s="29"/>
      <c r="D152" s="29"/>
      <c r="E152" s="29"/>
      <c r="F152" s="30"/>
      <c r="G152" s="29"/>
      <c r="H152" s="30"/>
      <c r="I152" s="29"/>
      <c r="J152" s="31"/>
      <c r="K152" s="31"/>
      <c r="L152" s="30"/>
      <c r="M152" s="29"/>
      <c r="N152" s="30"/>
      <c r="O152" s="31"/>
      <c r="P152" s="32" t="str">
        <f aca="false">IF($J152="","",$J152-WEEKDAY($J152,3))</f>
        <v/>
      </c>
      <c r="Q152" s="32" t="str">
        <f aca="false">IF($J152="","",IF($K152="",$J152,$K152))</f>
        <v/>
      </c>
      <c r="R152" s="28" t="str">
        <f aca="false">IF($E152="","",IF(OR($N152&lt;&gt;"Concluída",$O152="",$J152=""),0,IF($O152&lt;=$J152,1,0)))</f>
        <v/>
      </c>
      <c r="S152" s="28" t="str">
        <f aca="false">IF($E152="","",IF(OR($N152&lt;&gt;"Concluída",$O152="",$Q152=""),0,IF($O152&lt;=$Q152,1,0)))</f>
        <v/>
      </c>
      <c r="T152" s="28" t="str">
        <f aca="false">IF(OR($J152="",$N152&lt;&gt;"Concluída",$O152=""),"",MAX(0,$O152-$J152))</f>
        <v/>
      </c>
      <c r="U152" s="33" t="str">
        <f aca="true">IF($E152="","",IF($N152="Cancelada","Cancelada",IF($N152="Concluída",IF($R152=1,"No prazo","Concluída com atraso"),IF($J152="","Na carteira",IF($J152&lt;TODAY(),"VENCIDA",IF($J152=TODAY(),"Hoje","Programada"))))))</f>
        <v/>
      </c>
    </row>
    <row r="153" customFormat="false" ht="15.75" hidden="false" customHeight="true" outlineLevel="0" collapsed="false">
      <c r="A153" s="28" t="str">
        <f aca="false">IF($E153="","",COUNTA($E$4:$E153))</f>
        <v/>
      </c>
      <c r="B153" s="34"/>
      <c r="C153" s="34"/>
      <c r="D153" s="34"/>
      <c r="E153" s="34"/>
      <c r="F153" s="35"/>
      <c r="G153" s="34"/>
      <c r="H153" s="35"/>
      <c r="I153" s="34"/>
      <c r="J153" s="36"/>
      <c r="K153" s="36"/>
      <c r="L153" s="35"/>
      <c r="M153" s="34"/>
      <c r="N153" s="35"/>
      <c r="O153" s="36"/>
      <c r="P153" s="32" t="str">
        <f aca="false">IF($J153="","",$J153-WEEKDAY($J153,3))</f>
        <v/>
      </c>
      <c r="Q153" s="32" t="str">
        <f aca="false">IF($J153="","",IF($K153="",$J153,$K153))</f>
        <v/>
      </c>
      <c r="R153" s="28" t="str">
        <f aca="false">IF($E153="","",IF(OR($N153&lt;&gt;"Concluída",$O153="",$J153=""),0,IF($O153&lt;=$J153,1,0)))</f>
        <v/>
      </c>
      <c r="S153" s="28" t="str">
        <f aca="false">IF($E153="","",IF(OR($N153&lt;&gt;"Concluída",$O153="",$Q153=""),0,IF($O153&lt;=$Q153,1,0)))</f>
        <v/>
      </c>
      <c r="T153" s="28" t="str">
        <f aca="false">IF(OR($J153="",$N153&lt;&gt;"Concluída",$O153=""),"",MAX(0,$O153-$J153))</f>
        <v/>
      </c>
      <c r="U153" s="33" t="str">
        <f aca="true">IF($E153="","",IF($N153="Cancelada","Cancelada",IF($N153="Concluída",IF($R153=1,"No prazo","Concluída com atraso"),IF($J153="","Na carteira",IF($J153&lt;TODAY(),"VENCIDA",IF($J153=TODAY(),"Hoje","Programada"))))))</f>
        <v/>
      </c>
    </row>
    <row r="154" customFormat="false" ht="15.75" hidden="false" customHeight="true" outlineLevel="0" collapsed="false">
      <c r="A154" s="28" t="str">
        <f aca="false">IF($E154="","",COUNTA($E$4:$E154))</f>
        <v/>
      </c>
      <c r="B154" s="29"/>
      <c r="C154" s="29"/>
      <c r="D154" s="29"/>
      <c r="E154" s="29"/>
      <c r="F154" s="30"/>
      <c r="G154" s="29"/>
      <c r="H154" s="30"/>
      <c r="I154" s="29"/>
      <c r="J154" s="31"/>
      <c r="K154" s="31"/>
      <c r="L154" s="30"/>
      <c r="M154" s="29"/>
      <c r="N154" s="30"/>
      <c r="O154" s="31"/>
      <c r="P154" s="32" t="str">
        <f aca="false">IF($J154="","",$J154-WEEKDAY($J154,3))</f>
        <v/>
      </c>
      <c r="Q154" s="32" t="str">
        <f aca="false">IF($J154="","",IF($K154="",$J154,$K154))</f>
        <v/>
      </c>
      <c r="R154" s="28" t="str">
        <f aca="false">IF($E154="","",IF(OR($N154&lt;&gt;"Concluída",$O154="",$J154=""),0,IF($O154&lt;=$J154,1,0)))</f>
        <v/>
      </c>
      <c r="S154" s="28" t="str">
        <f aca="false">IF($E154="","",IF(OR($N154&lt;&gt;"Concluída",$O154="",$Q154=""),0,IF($O154&lt;=$Q154,1,0)))</f>
        <v/>
      </c>
      <c r="T154" s="28" t="str">
        <f aca="false">IF(OR($J154="",$N154&lt;&gt;"Concluída",$O154=""),"",MAX(0,$O154-$J154))</f>
        <v/>
      </c>
      <c r="U154" s="33" t="str">
        <f aca="true">IF($E154="","",IF($N154="Cancelada","Cancelada",IF($N154="Concluída",IF($R154=1,"No prazo","Concluída com atraso"),IF($J154="","Na carteira",IF($J154&lt;TODAY(),"VENCIDA",IF($J154=TODAY(),"Hoje","Programada"))))))</f>
        <v/>
      </c>
    </row>
    <row r="155" customFormat="false" ht="15.75" hidden="false" customHeight="true" outlineLevel="0" collapsed="false">
      <c r="A155" s="28" t="str">
        <f aca="false">IF($E155="","",COUNTA($E$4:$E155))</f>
        <v/>
      </c>
      <c r="B155" s="34"/>
      <c r="C155" s="34"/>
      <c r="D155" s="34"/>
      <c r="E155" s="34"/>
      <c r="F155" s="35"/>
      <c r="G155" s="34"/>
      <c r="H155" s="35"/>
      <c r="I155" s="34"/>
      <c r="J155" s="36"/>
      <c r="K155" s="36"/>
      <c r="L155" s="35"/>
      <c r="M155" s="34"/>
      <c r="N155" s="35"/>
      <c r="O155" s="36"/>
      <c r="P155" s="32" t="str">
        <f aca="false">IF($J155="","",$J155-WEEKDAY($J155,3))</f>
        <v/>
      </c>
      <c r="Q155" s="32" t="str">
        <f aca="false">IF($J155="","",IF($K155="",$J155,$K155))</f>
        <v/>
      </c>
      <c r="R155" s="28" t="str">
        <f aca="false">IF($E155="","",IF(OR($N155&lt;&gt;"Concluída",$O155="",$J155=""),0,IF($O155&lt;=$J155,1,0)))</f>
        <v/>
      </c>
      <c r="S155" s="28" t="str">
        <f aca="false">IF($E155="","",IF(OR($N155&lt;&gt;"Concluída",$O155="",$Q155=""),0,IF($O155&lt;=$Q155,1,0)))</f>
        <v/>
      </c>
      <c r="T155" s="28" t="str">
        <f aca="false">IF(OR($J155="",$N155&lt;&gt;"Concluída",$O155=""),"",MAX(0,$O155-$J155))</f>
        <v/>
      </c>
      <c r="U155" s="33" t="str">
        <f aca="true">IF($E155="","",IF($N155="Cancelada","Cancelada",IF($N155="Concluída",IF($R155=1,"No prazo","Concluída com atraso"),IF($J155="","Na carteira",IF($J155&lt;TODAY(),"VENCIDA",IF($J155=TODAY(),"Hoje","Programada"))))))</f>
        <v/>
      </c>
    </row>
    <row r="156" customFormat="false" ht="15.75" hidden="false" customHeight="true" outlineLevel="0" collapsed="false">
      <c r="A156" s="28" t="str">
        <f aca="false">IF($E156="","",COUNTA($E$4:$E156))</f>
        <v/>
      </c>
      <c r="B156" s="29"/>
      <c r="C156" s="29"/>
      <c r="D156" s="29"/>
      <c r="E156" s="29"/>
      <c r="F156" s="30"/>
      <c r="G156" s="29"/>
      <c r="H156" s="30"/>
      <c r="I156" s="29"/>
      <c r="J156" s="31"/>
      <c r="K156" s="31"/>
      <c r="L156" s="30"/>
      <c r="M156" s="29"/>
      <c r="N156" s="30"/>
      <c r="O156" s="31"/>
      <c r="P156" s="32" t="str">
        <f aca="false">IF($J156="","",$J156-WEEKDAY($J156,3))</f>
        <v/>
      </c>
      <c r="Q156" s="32" t="str">
        <f aca="false">IF($J156="","",IF($K156="",$J156,$K156))</f>
        <v/>
      </c>
      <c r="R156" s="28" t="str">
        <f aca="false">IF($E156="","",IF(OR($N156&lt;&gt;"Concluída",$O156="",$J156=""),0,IF($O156&lt;=$J156,1,0)))</f>
        <v/>
      </c>
      <c r="S156" s="28" t="str">
        <f aca="false">IF($E156="","",IF(OR($N156&lt;&gt;"Concluída",$O156="",$Q156=""),0,IF($O156&lt;=$Q156,1,0)))</f>
        <v/>
      </c>
      <c r="T156" s="28" t="str">
        <f aca="false">IF(OR($J156="",$N156&lt;&gt;"Concluída",$O156=""),"",MAX(0,$O156-$J156))</f>
        <v/>
      </c>
      <c r="U156" s="33" t="str">
        <f aca="true">IF($E156="","",IF($N156="Cancelada","Cancelada",IF($N156="Concluída",IF($R156=1,"No prazo","Concluída com atraso"),IF($J156="","Na carteira",IF($J156&lt;TODAY(),"VENCIDA",IF($J156=TODAY(),"Hoje","Programada"))))))</f>
        <v/>
      </c>
    </row>
    <row r="157" customFormat="false" ht="15.75" hidden="false" customHeight="true" outlineLevel="0" collapsed="false">
      <c r="A157" s="28" t="str">
        <f aca="false">IF($E157="","",COUNTA($E$4:$E157))</f>
        <v/>
      </c>
      <c r="B157" s="34"/>
      <c r="C157" s="34"/>
      <c r="D157" s="34"/>
      <c r="E157" s="34"/>
      <c r="F157" s="35"/>
      <c r="G157" s="34"/>
      <c r="H157" s="35"/>
      <c r="I157" s="34"/>
      <c r="J157" s="36"/>
      <c r="K157" s="36"/>
      <c r="L157" s="35"/>
      <c r="M157" s="34"/>
      <c r="N157" s="35"/>
      <c r="O157" s="36"/>
      <c r="P157" s="32" t="str">
        <f aca="false">IF($J157="","",$J157-WEEKDAY($J157,3))</f>
        <v/>
      </c>
      <c r="Q157" s="32" t="str">
        <f aca="false">IF($J157="","",IF($K157="",$J157,$K157))</f>
        <v/>
      </c>
      <c r="R157" s="28" t="str">
        <f aca="false">IF($E157="","",IF(OR($N157&lt;&gt;"Concluída",$O157="",$J157=""),0,IF($O157&lt;=$J157,1,0)))</f>
        <v/>
      </c>
      <c r="S157" s="28" t="str">
        <f aca="false">IF($E157="","",IF(OR($N157&lt;&gt;"Concluída",$O157="",$Q157=""),0,IF($O157&lt;=$Q157,1,0)))</f>
        <v/>
      </c>
      <c r="T157" s="28" t="str">
        <f aca="false">IF(OR($J157="",$N157&lt;&gt;"Concluída",$O157=""),"",MAX(0,$O157-$J157))</f>
        <v/>
      </c>
      <c r="U157" s="33" t="str">
        <f aca="true">IF($E157="","",IF($N157="Cancelada","Cancelada",IF($N157="Concluída",IF($R157=1,"No prazo","Concluída com atraso"),IF($J157="","Na carteira",IF($J157&lt;TODAY(),"VENCIDA",IF($J157=TODAY(),"Hoje","Programada"))))))</f>
        <v/>
      </c>
    </row>
    <row r="158" customFormat="false" ht="15.75" hidden="false" customHeight="true" outlineLevel="0" collapsed="false">
      <c r="A158" s="28" t="str">
        <f aca="false">IF($E158="","",COUNTA($E$4:$E158))</f>
        <v/>
      </c>
      <c r="B158" s="29"/>
      <c r="C158" s="29"/>
      <c r="D158" s="29"/>
      <c r="E158" s="29"/>
      <c r="F158" s="30"/>
      <c r="G158" s="29"/>
      <c r="H158" s="30"/>
      <c r="I158" s="29"/>
      <c r="J158" s="31"/>
      <c r="K158" s="31"/>
      <c r="L158" s="30"/>
      <c r="M158" s="29"/>
      <c r="N158" s="30"/>
      <c r="O158" s="31"/>
      <c r="P158" s="32" t="str">
        <f aca="false">IF($J158="","",$J158-WEEKDAY($J158,3))</f>
        <v/>
      </c>
      <c r="Q158" s="32" t="str">
        <f aca="false">IF($J158="","",IF($K158="",$J158,$K158))</f>
        <v/>
      </c>
      <c r="R158" s="28" t="str">
        <f aca="false">IF($E158="","",IF(OR($N158&lt;&gt;"Concluída",$O158="",$J158=""),0,IF($O158&lt;=$J158,1,0)))</f>
        <v/>
      </c>
      <c r="S158" s="28" t="str">
        <f aca="false">IF($E158="","",IF(OR($N158&lt;&gt;"Concluída",$O158="",$Q158=""),0,IF($O158&lt;=$Q158,1,0)))</f>
        <v/>
      </c>
      <c r="T158" s="28" t="str">
        <f aca="false">IF(OR($J158="",$N158&lt;&gt;"Concluída",$O158=""),"",MAX(0,$O158-$J158))</f>
        <v/>
      </c>
      <c r="U158" s="33" t="str">
        <f aca="true">IF($E158="","",IF($N158="Cancelada","Cancelada",IF($N158="Concluída",IF($R158=1,"No prazo","Concluída com atraso"),IF($J158="","Na carteira",IF($J158&lt;TODAY(),"VENCIDA",IF($J158=TODAY(),"Hoje","Programada"))))))</f>
        <v/>
      </c>
    </row>
    <row r="159" customFormat="false" ht="15.75" hidden="false" customHeight="true" outlineLevel="0" collapsed="false">
      <c r="A159" s="28" t="str">
        <f aca="false">IF($E159="","",COUNTA($E$4:$E159))</f>
        <v/>
      </c>
      <c r="B159" s="34"/>
      <c r="C159" s="34"/>
      <c r="D159" s="34"/>
      <c r="E159" s="34"/>
      <c r="F159" s="35"/>
      <c r="G159" s="34"/>
      <c r="H159" s="35"/>
      <c r="I159" s="34"/>
      <c r="J159" s="36"/>
      <c r="K159" s="36"/>
      <c r="L159" s="35"/>
      <c r="M159" s="34"/>
      <c r="N159" s="35"/>
      <c r="O159" s="36"/>
      <c r="P159" s="32" t="str">
        <f aca="false">IF($J159="","",$J159-WEEKDAY($J159,3))</f>
        <v/>
      </c>
      <c r="Q159" s="32" t="str">
        <f aca="false">IF($J159="","",IF($K159="",$J159,$K159))</f>
        <v/>
      </c>
      <c r="R159" s="28" t="str">
        <f aca="false">IF($E159="","",IF(OR($N159&lt;&gt;"Concluída",$O159="",$J159=""),0,IF($O159&lt;=$J159,1,0)))</f>
        <v/>
      </c>
      <c r="S159" s="28" t="str">
        <f aca="false">IF($E159="","",IF(OR($N159&lt;&gt;"Concluída",$O159="",$Q159=""),0,IF($O159&lt;=$Q159,1,0)))</f>
        <v/>
      </c>
      <c r="T159" s="28" t="str">
        <f aca="false">IF(OR($J159="",$N159&lt;&gt;"Concluída",$O159=""),"",MAX(0,$O159-$J159))</f>
        <v/>
      </c>
      <c r="U159" s="33" t="str">
        <f aca="true">IF($E159="","",IF($N159="Cancelada","Cancelada",IF($N159="Concluída",IF($R159=1,"No prazo","Concluída com atraso"),IF($J159="","Na carteira",IF($J159&lt;TODAY(),"VENCIDA",IF($J159=TODAY(),"Hoje","Programada"))))))</f>
        <v/>
      </c>
    </row>
    <row r="160" customFormat="false" ht="15.75" hidden="false" customHeight="true" outlineLevel="0" collapsed="false">
      <c r="A160" s="28" t="str">
        <f aca="false">IF($E160="","",COUNTA($E$4:$E160))</f>
        <v/>
      </c>
      <c r="B160" s="29"/>
      <c r="C160" s="29"/>
      <c r="D160" s="29"/>
      <c r="E160" s="29"/>
      <c r="F160" s="30"/>
      <c r="G160" s="29"/>
      <c r="H160" s="30"/>
      <c r="I160" s="29"/>
      <c r="J160" s="31"/>
      <c r="K160" s="31"/>
      <c r="L160" s="30"/>
      <c r="M160" s="29"/>
      <c r="N160" s="30"/>
      <c r="O160" s="31"/>
      <c r="P160" s="32" t="str">
        <f aca="false">IF($J160="","",$J160-WEEKDAY($J160,3))</f>
        <v/>
      </c>
      <c r="Q160" s="32" t="str">
        <f aca="false">IF($J160="","",IF($K160="",$J160,$K160))</f>
        <v/>
      </c>
      <c r="R160" s="28" t="str">
        <f aca="false">IF($E160="","",IF(OR($N160&lt;&gt;"Concluída",$O160="",$J160=""),0,IF($O160&lt;=$J160,1,0)))</f>
        <v/>
      </c>
      <c r="S160" s="28" t="str">
        <f aca="false">IF($E160="","",IF(OR($N160&lt;&gt;"Concluída",$O160="",$Q160=""),0,IF($O160&lt;=$Q160,1,0)))</f>
        <v/>
      </c>
      <c r="T160" s="28" t="str">
        <f aca="false">IF(OR($J160="",$N160&lt;&gt;"Concluída",$O160=""),"",MAX(0,$O160-$J160))</f>
        <v/>
      </c>
      <c r="U160" s="33" t="str">
        <f aca="true">IF($E160="","",IF($N160="Cancelada","Cancelada",IF($N160="Concluída",IF($R160=1,"No prazo","Concluída com atraso"),IF($J160="","Na carteira",IF($J160&lt;TODAY(),"VENCIDA",IF($J160=TODAY(),"Hoje","Programada"))))))</f>
        <v/>
      </c>
    </row>
    <row r="161" customFormat="false" ht="15.75" hidden="false" customHeight="true" outlineLevel="0" collapsed="false">
      <c r="A161" s="28" t="str">
        <f aca="false">IF($E161="","",COUNTA($E$4:$E161))</f>
        <v/>
      </c>
      <c r="B161" s="34"/>
      <c r="C161" s="34"/>
      <c r="D161" s="34"/>
      <c r="E161" s="34"/>
      <c r="F161" s="35"/>
      <c r="G161" s="34"/>
      <c r="H161" s="35"/>
      <c r="I161" s="34"/>
      <c r="J161" s="36"/>
      <c r="K161" s="36"/>
      <c r="L161" s="35"/>
      <c r="M161" s="34"/>
      <c r="N161" s="35"/>
      <c r="O161" s="36"/>
      <c r="P161" s="32" t="str">
        <f aca="false">IF($J161="","",$J161-WEEKDAY($J161,3))</f>
        <v/>
      </c>
      <c r="Q161" s="32" t="str">
        <f aca="false">IF($J161="","",IF($K161="",$J161,$K161))</f>
        <v/>
      </c>
      <c r="R161" s="28" t="str">
        <f aca="false">IF($E161="","",IF(OR($N161&lt;&gt;"Concluída",$O161="",$J161=""),0,IF($O161&lt;=$J161,1,0)))</f>
        <v/>
      </c>
      <c r="S161" s="28" t="str">
        <f aca="false">IF($E161="","",IF(OR($N161&lt;&gt;"Concluída",$O161="",$Q161=""),0,IF($O161&lt;=$Q161,1,0)))</f>
        <v/>
      </c>
      <c r="T161" s="28" t="str">
        <f aca="false">IF(OR($J161="",$N161&lt;&gt;"Concluída",$O161=""),"",MAX(0,$O161-$J161))</f>
        <v/>
      </c>
      <c r="U161" s="33" t="str">
        <f aca="true">IF($E161="","",IF($N161="Cancelada","Cancelada",IF($N161="Concluída",IF($R161=1,"No prazo","Concluída com atraso"),IF($J161="","Na carteira",IF($J161&lt;TODAY(),"VENCIDA",IF($J161=TODAY(),"Hoje","Programada"))))))</f>
        <v/>
      </c>
    </row>
    <row r="162" customFormat="false" ht="15.75" hidden="false" customHeight="true" outlineLevel="0" collapsed="false">
      <c r="A162" s="28" t="str">
        <f aca="false">IF($E162="","",COUNTA($E$4:$E162))</f>
        <v/>
      </c>
      <c r="B162" s="29"/>
      <c r="C162" s="29"/>
      <c r="D162" s="29"/>
      <c r="E162" s="29"/>
      <c r="F162" s="30"/>
      <c r="G162" s="29"/>
      <c r="H162" s="30"/>
      <c r="I162" s="29"/>
      <c r="J162" s="31"/>
      <c r="K162" s="31"/>
      <c r="L162" s="30"/>
      <c r="M162" s="29"/>
      <c r="N162" s="30"/>
      <c r="O162" s="31"/>
      <c r="P162" s="32" t="str">
        <f aca="false">IF($J162="","",$J162-WEEKDAY($J162,3))</f>
        <v/>
      </c>
      <c r="Q162" s="32" t="str">
        <f aca="false">IF($J162="","",IF($K162="",$J162,$K162))</f>
        <v/>
      </c>
      <c r="R162" s="28" t="str">
        <f aca="false">IF($E162="","",IF(OR($N162&lt;&gt;"Concluída",$O162="",$J162=""),0,IF($O162&lt;=$J162,1,0)))</f>
        <v/>
      </c>
      <c r="S162" s="28" t="str">
        <f aca="false">IF($E162="","",IF(OR($N162&lt;&gt;"Concluída",$O162="",$Q162=""),0,IF($O162&lt;=$Q162,1,0)))</f>
        <v/>
      </c>
      <c r="T162" s="28" t="str">
        <f aca="false">IF(OR($J162="",$N162&lt;&gt;"Concluída",$O162=""),"",MAX(0,$O162-$J162))</f>
        <v/>
      </c>
      <c r="U162" s="33" t="str">
        <f aca="true">IF($E162="","",IF($N162="Cancelada","Cancelada",IF($N162="Concluída",IF($R162=1,"No prazo","Concluída com atraso"),IF($J162="","Na carteira",IF($J162&lt;TODAY(),"VENCIDA",IF($J162=TODAY(),"Hoje","Programada"))))))</f>
        <v/>
      </c>
    </row>
    <row r="163" customFormat="false" ht="15.75" hidden="false" customHeight="true" outlineLevel="0" collapsed="false">
      <c r="A163" s="28" t="str">
        <f aca="false">IF($E163="","",COUNTA($E$4:$E163))</f>
        <v/>
      </c>
      <c r="B163" s="34"/>
      <c r="C163" s="34"/>
      <c r="D163" s="34"/>
      <c r="E163" s="34"/>
      <c r="F163" s="35"/>
      <c r="G163" s="34"/>
      <c r="H163" s="35"/>
      <c r="I163" s="34"/>
      <c r="J163" s="36"/>
      <c r="K163" s="36"/>
      <c r="L163" s="35"/>
      <c r="M163" s="34"/>
      <c r="N163" s="35"/>
      <c r="O163" s="36"/>
      <c r="P163" s="32" t="str">
        <f aca="false">IF($J163="","",$J163-WEEKDAY($J163,3))</f>
        <v/>
      </c>
      <c r="Q163" s="32" t="str">
        <f aca="false">IF($J163="","",IF($K163="",$J163,$K163))</f>
        <v/>
      </c>
      <c r="R163" s="28" t="str">
        <f aca="false">IF($E163="","",IF(OR($N163&lt;&gt;"Concluída",$O163="",$J163=""),0,IF($O163&lt;=$J163,1,0)))</f>
        <v/>
      </c>
      <c r="S163" s="28" t="str">
        <f aca="false">IF($E163="","",IF(OR($N163&lt;&gt;"Concluída",$O163="",$Q163=""),0,IF($O163&lt;=$Q163,1,0)))</f>
        <v/>
      </c>
      <c r="T163" s="28" t="str">
        <f aca="false">IF(OR($J163="",$N163&lt;&gt;"Concluída",$O163=""),"",MAX(0,$O163-$J163))</f>
        <v/>
      </c>
      <c r="U163" s="33" t="str">
        <f aca="true">IF($E163="","",IF($N163="Cancelada","Cancelada",IF($N163="Concluída",IF($R163=1,"No prazo","Concluída com atraso"),IF($J163="","Na carteira",IF($J163&lt;TODAY(),"VENCIDA",IF($J163=TODAY(),"Hoje","Programada"))))))</f>
        <v/>
      </c>
    </row>
    <row r="164" customFormat="false" ht="15.75" hidden="false" customHeight="true" outlineLevel="0" collapsed="false">
      <c r="A164" s="28" t="str">
        <f aca="false">IF($E164="","",COUNTA($E$4:$E164))</f>
        <v/>
      </c>
      <c r="B164" s="29"/>
      <c r="C164" s="29"/>
      <c r="D164" s="29"/>
      <c r="E164" s="29"/>
      <c r="F164" s="30"/>
      <c r="G164" s="29"/>
      <c r="H164" s="30"/>
      <c r="I164" s="29"/>
      <c r="J164" s="31"/>
      <c r="K164" s="31"/>
      <c r="L164" s="30"/>
      <c r="M164" s="29"/>
      <c r="N164" s="30"/>
      <c r="O164" s="31"/>
      <c r="P164" s="32" t="str">
        <f aca="false">IF($J164="","",$J164-WEEKDAY($J164,3))</f>
        <v/>
      </c>
      <c r="Q164" s="32" t="str">
        <f aca="false">IF($J164="","",IF($K164="",$J164,$K164))</f>
        <v/>
      </c>
      <c r="R164" s="28" t="str">
        <f aca="false">IF($E164="","",IF(OR($N164&lt;&gt;"Concluída",$O164="",$J164=""),0,IF($O164&lt;=$J164,1,0)))</f>
        <v/>
      </c>
      <c r="S164" s="28" t="str">
        <f aca="false">IF($E164="","",IF(OR($N164&lt;&gt;"Concluída",$O164="",$Q164=""),0,IF($O164&lt;=$Q164,1,0)))</f>
        <v/>
      </c>
      <c r="T164" s="28" t="str">
        <f aca="false">IF(OR($J164="",$N164&lt;&gt;"Concluída",$O164=""),"",MAX(0,$O164-$J164))</f>
        <v/>
      </c>
      <c r="U164" s="33" t="str">
        <f aca="true">IF($E164="","",IF($N164="Cancelada","Cancelada",IF($N164="Concluída",IF($R164=1,"No prazo","Concluída com atraso"),IF($J164="","Na carteira",IF($J164&lt;TODAY(),"VENCIDA",IF($J164=TODAY(),"Hoje","Programada"))))))</f>
        <v/>
      </c>
    </row>
    <row r="165" customFormat="false" ht="15.75" hidden="false" customHeight="true" outlineLevel="0" collapsed="false">
      <c r="A165" s="28" t="str">
        <f aca="false">IF($E165="","",COUNTA($E$4:$E165))</f>
        <v/>
      </c>
      <c r="B165" s="34"/>
      <c r="C165" s="34"/>
      <c r="D165" s="34"/>
      <c r="E165" s="34"/>
      <c r="F165" s="35"/>
      <c r="G165" s="34"/>
      <c r="H165" s="35"/>
      <c r="I165" s="34"/>
      <c r="J165" s="36"/>
      <c r="K165" s="36"/>
      <c r="L165" s="35"/>
      <c r="M165" s="34"/>
      <c r="N165" s="35"/>
      <c r="O165" s="36"/>
      <c r="P165" s="32" t="str">
        <f aca="false">IF($J165="","",$J165-WEEKDAY($J165,3))</f>
        <v/>
      </c>
      <c r="Q165" s="32" t="str">
        <f aca="false">IF($J165="","",IF($K165="",$J165,$K165))</f>
        <v/>
      </c>
      <c r="R165" s="28" t="str">
        <f aca="false">IF($E165="","",IF(OR($N165&lt;&gt;"Concluída",$O165="",$J165=""),0,IF($O165&lt;=$J165,1,0)))</f>
        <v/>
      </c>
      <c r="S165" s="28" t="str">
        <f aca="false">IF($E165="","",IF(OR($N165&lt;&gt;"Concluída",$O165="",$Q165=""),0,IF($O165&lt;=$Q165,1,0)))</f>
        <v/>
      </c>
      <c r="T165" s="28" t="str">
        <f aca="false">IF(OR($J165="",$N165&lt;&gt;"Concluída",$O165=""),"",MAX(0,$O165-$J165))</f>
        <v/>
      </c>
      <c r="U165" s="33" t="str">
        <f aca="true">IF($E165="","",IF($N165="Cancelada","Cancelada",IF($N165="Concluída",IF($R165=1,"No prazo","Concluída com atraso"),IF($J165="","Na carteira",IF($J165&lt;TODAY(),"VENCIDA",IF($J165=TODAY(),"Hoje","Programada"))))))</f>
        <v/>
      </c>
    </row>
    <row r="166" customFormat="false" ht="15.75" hidden="false" customHeight="true" outlineLevel="0" collapsed="false">
      <c r="A166" s="28" t="str">
        <f aca="false">IF($E166="","",COUNTA($E$4:$E166))</f>
        <v/>
      </c>
      <c r="B166" s="29"/>
      <c r="C166" s="29"/>
      <c r="D166" s="29"/>
      <c r="E166" s="29"/>
      <c r="F166" s="30"/>
      <c r="G166" s="29"/>
      <c r="H166" s="30"/>
      <c r="I166" s="29"/>
      <c r="J166" s="31"/>
      <c r="K166" s="31"/>
      <c r="L166" s="30"/>
      <c r="M166" s="29"/>
      <c r="N166" s="30"/>
      <c r="O166" s="31"/>
      <c r="P166" s="32" t="str">
        <f aca="false">IF($J166="","",$J166-WEEKDAY($J166,3))</f>
        <v/>
      </c>
      <c r="Q166" s="32" t="str">
        <f aca="false">IF($J166="","",IF($K166="",$J166,$K166))</f>
        <v/>
      </c>
      <c r="R166" s="28" t="str">
        <f aca="false">IF($E166="","",IF(OR($N166&lt;&gt;"Concluída",$O166="",$J166=""),0,IF($O166&lt;=$J166,1,0)))</f>
        <v/>
      </c>
      <c r="S166" s="28" t="str">
        <f aca="false">IF($E166="","",IF(OR($N166&lt;&gt;"Concluída",$O166="",$Q166=""),0,IF($O166&lt;=$Q166,1,0)))</f>
        <v/>
      </c>
      <c r="T166" s="28" t="str">
        <f aca="false">IF(OR($J166="",$N166&lt;&gt;"Concluída",$O166=""),"",MAX(0,$O166-$J166))</f>
        <v/>
      </c>
      <c r="U166" s="33" t="str">
        <f aca="true">IF($E166="","",IF($N166="Cancelada","Cancelada",IF($N166="Concluída",IF($R166=1,"No prazo","Concluída com atraso"),IF($J166="","Na carteira",IF($J166&lt;TODAY(),"VENCIDA",IF($J166=TODAY(),"Hoje","Programada"))))))</f>
        <v/>
      </c>
    </row>
    <row r="167" customFormat="false" ht="15.75" hidden="false" customHeight="true" outlineLevel="0" collapsed="false">
      <c r="A167" s="28" t="str">
        <f aca="false">IF($E167="","",COUNTA($E$4:$E167))</f>
        <v/>
      </c>
      <c r="B167" s="34"/>
      <c r="C167" s="34"/>
      <c r="D167" s="34"/>
      <c r="E167" s="34"/>
      <c r="F167" s="35"/>
      <c r="G167" s="34"/>
      <c r="H167" s="35"/>
      <c r="I167" s="34"/>
      <c r="J167" s="36"/>
      <c r="K167" s="36"/>
      <c r="L167" s="35"/>
      <c r="M167" s="34"/>
      <c r="N167" s="35"/>
      <c r="O167" s="36"/>
      <c r="P167" s="32" t="str">
        <f aca="false">IF($J167="","",$J167-WEEKDAY($J167,3))</f>
        <v/>
      </c>
      <c r="Q167" s="32" t="str">
        <f aca="false">IF($J167="","",IF($K167="",$J167,$K167))</f>
        <v/>
      </c>
      <c r="R167" s="28" t="str">
        <f aca="false">IF($E167="","",IF(OR($N167&lt;&gt;"Concluída",$O167="",$J167=""),0,IF($O167&lt;=$J167,1,0)))</f>
        <v/>
      </c>
      <c r="S167" s="28" t="str">
        <f aca="false">IF($E167="","",IF(OR($N167&lt;&gt;"Concluída",$O167="",$Q167=""),0,IF($O167&lt;=$Q167,1,0)))</f>
        <v/>
      </c>
      <c r="T167" s="28" t="str">
        <f aca="false">IF(OR($J167="",$N167&lt;&gt;"Concluída",$O167=""),"",MAX(0,$O167-$J167))</f>
        <v/>
      </c>
      <c r="U167" s="33" t="str">
        <f aca="true">IF($E167="","",IF($N167="Cancelada","Cancelada",IF($N167="Concluída",IF($R167=1,"No prazo","Concluída com atraso"),IF($J167="","Na carteira",IF($J167&lt;TODAY(),"VENCIDA",IF($J167=TODAY(),"Hoje","Programada"))))))</f>
        <v/>
      </c>
    </row>
    <row r="168" customFormat="false" ht="15.75" hidden="false" customHeight="true" outlineLevel="0" collapsed="false">
      <c r="A168" s="28" t="str">
        <f aca="false">IF($E168="","",COUNTA($E$4:$E168))</f>
        <v/>
      </c>
      <c r="B168" s="29"/>
      <c r="C168" s="29"/>
      <c r="D168" s="29"/>
      <c r="E168" s="29"/>
      <c r="F168" s="30"/>
      <c r="G168" s="29"/>
      <c r="H168" s="30"/>
      <c r="I168" s="29"/>
      <c r="J168" s="31"/>
      <c r="K168" s="31"/>
      <c r="L168" s="30"/>
      <c r="M168" s="29"/>
      <c r="N168" s="30"/>
      <c r="O168" s="31"/>
      <c r="P168" s="32" t="str">
        <f aca="false">IF($J168="","",$J168-WEEKDAY($J168,3))</f>
        <v/>
      </c>
      <c r="Q168" s="32" t="str">
        <f aca="false">IF($J168="","",IF($K168="",$J168,$K168))</f>
        <v/>
      </c>
      <c r="R168" s="28" t="str">
        <f aca="false">IF($E168="","",IF(OR($N168&lt;&gt;"Concluída",$O168="",$J168=""),0,IF($O168&lt;=$J168,1,0)))</f>
        <v/>
      </c>
      <c r="S168" s="28" t="str">
        <f aca="false">IF($E168="","",IF(OR($N168&lt;&gt;"Concluída",$O168="",$Q168=""),0,IF($O168&lt;=$Q168,1,0)))</f>
        <v/>
      </c>
      <c r="T168" s="28" t="str">
        <f aca="false">IF(OR($J168="",$N168&lt;&gt;"Concluída",$O168=""),"",MAX(0,$O168-$J168))</f>
        <v/>
      </c>
      <c r="U168" s="33" t="str">
        <f aca="true">IF($E168="","",IF($N168="Cancelada","Cancelada",IF($N168="Concluída",IF($R168=1,"No prazo","Concluída com atraso"),IF($J168="","Na carteira",IF($J168&lt;TODAY(),"VENCIDA",IF($J168=TODAY(),"Hoje","Programada"))))))</f>
        <v/>
      </c>
    </row>
    <row r="169" customFormat="false" ht="15.75" hidden="false" customHeight="true" outlineLevel="0" collapsed="false">
      <c r="A169" s="28" t="str">
        <f aca="false">IF($E169="","",COUNTA($E$4:$E169))</f>
        <v/>
      </c>
      <c r="B169" s="34"/>
      <c r="C169" s="34"/>
      <c r="D169" s="34"/>
      <c r="E169" s="34"/>
      <c r="F169" s="35"/>
      <c r="G169" s="34"/>
      <c r="H169" s="35"/>
      <c r="I169" s="34"/>
      <c r="J169" s="36"/>
      <c r="K169" s="36"/>
      <c r="L169" s="35"/>
      <c r="M169" s="34"/>
      <c r="N169" s="35"/>
      <c r="O169" s="36"/>
      <c r="P169" s="32" t="str">
        <f aca="false">IF($J169="","",$J169-WEEKDAY($J169,3))</f>
        <v/>
      </c>
      <c r="Q169" s="32" t="str">
        <f aca="false">IF($J169="","",IF($K169="",$J169,$K169))</f>
        <v/>
      </c>
      <c r="R169" s="28" t="str">
        <f aca="false">IF($E169="","",IF(OR($N169&lt;&gt;"Concluída",$O169="",$J169=""),0,IF($O169&lt;=$J169,1,0)))</f>
        <v/>
      </c>
      <c r="S169" s="28" t="str">
        <f aca="false">IF($E169="","",IF(OR($N169&lt;&gt;"Concluída",$O169="",$Q169=""),0,IF($O169&lt;=$Q169,1,0)))</f>
        <v/>
      </c>
      <c r="T169" s="28" t="str">
        <f aca="false">IF(OR($J169="",$N169&lt;&gt;"Concluída",$O169=""),"",MAX(0,$O169-$J169))</f>
        <v/>
      </c>
      <c r="U169" s="33" t="str">
        <f aca="true">IF($E169="","",IF($N169="Cancelada","Cancelada",IF($N169="Concluída",IF($R169=1,"No prazo","Concluída com atraso"),IF($J169="","Na carteira",IF($J169&lt;TODAY(),"VENCIDA",IF($J169=TODAY(),"Hoje","Programada"))))))</f>
        <v/>
      </c>
    </row>
    <row r="170" customFormat="false" ht="15.75" hidden="false" customHeight="true" outlineLevel="0" collapsed="false">
      <c r="A170" s="28" t="str">
        <f aca="false">IF($E170="","",COUNTA($E$4:$E170))</f>
        <v/>
      </c>
      <c r="B170" s="29"/>
      <c r="C170" s="29"/>
      <c r="D170" s="29"/>
      <c r="E170" s="29"/>
      <c r="F170" s="30"/>
      <c r="G170" s="29"/>
      <c r="H170" s="30"/>
      <c r="I170" s="29"/>
      <c r="J170" s="31"/>
      <c r="K170" s="31"/>
      <c r="L170" s="30"/>
      <c r="M170" s="29"/>
      <c r="N170" s="30"/>
      <c r="O170" s="31"/>
      <c r="P170" s="32" t="str">
        <f aca="false">IF($J170="","",$J170-WEEKDAY($J170,3))</f>
        <v/>
      </c>
      <c r="Q170" s="32" t="str">
        <f aca="false">IF($J170="","",IF($K170="",$J170,$K170))</f>
        <v/>
      </c>
      <c r="R170" s="28" t="str">
        <f aca="false">IF($E170="","",IF(OR($N170&lt;&gt;"Concluída",$O170="",$J170=""),0,IF($O170&lt;=$J170,1,0)))</f>
        <v/>
      </c>
      <c r="S170" s="28" t="str">
        <f aca="false">IF($E170="","",IF(OR($N170&lt;&gt;"Concluída",$O170="",$Q170=""),0,IF($O170&lt;=$Q170,1,0)))</f>
        <v/>
      </c>
      <c r="T170" s="28" t="str">
        <f aca="false">IF(OR($J170="",$N170&lt;&gt;"Concluída",$O170=""),"",MAX(0,$O170-$J170))</f>
        <v/>
      </c>
      <c r="U170" s="33" t="str">
        <f aca="true">IF($E170="","",IF($N170="Cancelada","Cancelada",IF($N170="Concluída",IF($R170=1,"No prazo","Concluída com atraso"),IF($J170="","Na carteira",IF($J170&lt;TODAY(),"VENCIDA",IF($J170=TODAY(),"Hoje","Programada"))))))</f>
        <v/>
      </c>
    </row>
    <row r="171" customFormat="false" ht="15.75" hidden="false" customHeight="true" outlineLevel="0" collapsed="false">
      <c r="A171" s="28" t="str">
        <f aca="false">IF($E171="","",COUNTA($E$4:$E171))</f>
        <v/>
      </c>
      <c r="B171" s="34"/>
      <c r="C171" s="34"/>
      <c r="D171" s="34"/>
      <c r="E171" s="34"/>
      <c r="F171" s="35"/>
      <c r="G171" s="34"/>
      <c r="H171" s="35"/>
      <c r="I171" s="34"/>
      <c r="J171" s="36"/>
      <c r="K171" s="36"/>
      <c r="L171" s="35"/>
      <c r="M171" s="34"/>
      <c r="N171" s="35"/>
      <c r="O171" s="36"/>
      <c r="P171" s="32" t="str">
        <f aca="false">IF($J171="","",$J171-WEEKDAY($J171,3))</f>
        <v/>
      </c>
      <c r="Q171" s="32" t="str">
        <f aca="false">IF($J171="","",IF($K171="",$J171,$K171))</f>
        <v/>
      </c>
      <c r="R171" s="28" t="str">
        <f aca="false">IF($E171="","",IF(OR($N171&lt;&gt;"Concluída",$O171="",$J171=""),0,IF($O171&lt;=$J171,1,0)))</f>
        <v/>
      </c>
      <c r="S171" s="28" t="str">
        <f aca="false">IF($E171="","",IF(OR($N171&lt;&gt;"Concluída",$O171="",$Q171=""),0,IF($O171&lt;=$Q171,1,0)))</f>
        <v/>
      </c>
      <c r="T171" s="28" t="str">
        <f aca="false">IF(OR($J171="",$N171&lt;&gt;"Concluída",$O171=""),"",MAX(0,$O171-$J171))</f>
        <v/>
      </c>
      <c r="U171" s="33" t="str">
        <f aca="true">IF($E171="","",IF($N171="Cancelada","Cancelada",IF($N171="Concluída",IF($R171=1,"No prazo","Concluída com atraso"),IF($J171="","Na carteira",IF($J171&lt;TODAY(),"VENCIDA",IF($J171=TODAY(),"Hoje","Programada"))))))</f>
        <v/>
      </c>
    </row>
    <row r="172" customFormat="false" ht="15.75" hidden="false" customHeight="true" outlineLevel="0" collapsed="false">
      <c r="A172" s="28" t="str">
        <f aca="false">IF($E172="","",COUNTA($E$4:$E172))</f>
        <v/>
      </c>
      <c r="B172" s="29"/>
      <c r="C172" s="29"/>
      <c r="D172" s="29"/>
      <c r="E172" s="29"/>
      <c r="F172" s="30"/>
      <c r="G172" s="29"/>
      <c r="H172" s="30"/>
      <c r="I172" s="29"/>
      <c r="J172" s="31"/>
      <c r="K172" s="31"/>
      <c r="L172" s="30"/>
      <c r="M172" s="29"/>
      <c r="N172" s="30"/>
      <c r="O172" s="31"/>
      <c r="P172" s="32" t="str">
        <f aca="false">IF($J172="","",$J172-WEEKDAY($J172,3))</f>
        <v/>
      </c>
      <c r="Q172" s="32" t="str">
        <f aca="false">IF($J172="","",IF($K172="",$J172,$K172))</f>
        <v/>
      </c>
      <c r="R172" s="28" t="str">
        <f aca="false">IF($E172="","",IF(OR($N172&lt;&gt;"Concluída",$O172="",$J172=""),0,IF($O172&lt;=$J172,1,0)))</f>
        <v/>
      </c>
      <c r="S172" s="28" t="str">
        <f aca="false">IF($E172="","",IF(OR($N172&lt;&gt;"Concluída",$O172="",$Q172=""),0,IF($O172&lt;=$Q172,1,0)))</f>
        <v/>
      </c>
      <c r="T172" s="28" t="str">
        <f aca="false">IF(OR($J172="",$N172&lt;&gt;"Concluída",$O172=""),"",MAX(0,$O172-$J172))</f>
        <v/>
      </c>
      <c r="U172" s="33" t="str">
        <f aca="true">IF($E172="","",IF($N172="Cancelada","Cancelada",IF($N172="Concluída",IF($R172=1,"No prazo","Concluída com atraso"),IF($J172="","Na carteira",IF($J172&lt;TODAY(),"VENCIDA",IF($J172=TODAY(),"Hoje","Programada"))))))</f>
        <v/>
      </c>
    </row>
    <row r="173" customFormat="false" ht="15.75" hidden="false" customHeight="true" outlineLevel="0" collapsed="false">
      <c r="A173" s="28" t="str">
        <f aca="false">IF($E173="","",COUNTA($E$4:$E173))</f>
        <v/>
      </c>
      <c r="B173" s="34"/>
      <c r="C173" s="34"/>
      <c r="D173" s="34"/>
      <c r="E173" s="34"/>
      <c r="F173" s="35"/>
      <c r="G173" s="34"/>
      <c r="H173" s="35"/>
      <c r="I173" s="34"/>
      <c r="J173" s="36"/>
      <c r="K173" s="36"/>
      <c r="L173" s="35"/>
      <c r="M173" s="34"/>
      <c r="N173" s="35"/>
      <c r="O173" s="36"/>
      <c r="P173" s="32" t="str">
        <f aca="false">IF($J173="","",$J173-WEEKDAY($J173,3))</f>
        <v/>
      </c>
      <c r="Q173" s="32" t="str">
        <f aca="false">IF($J173="","",IF($K173="",$J173,$K173))</f>
        <v/>
      </c>
      <c r="R173" s="28" t="str">
        <f aca="false">IF($E173="","",IF(OR($N173&lt;&gt;"Concluída",$O173="",$J173=""),0,IF($O173&lt;=$J173,1,0)))</f>
        <v/>
      </c>
      <c r="S173" s="28" t="str">
        <f aca="false">IF($E173="","",IF(OR($N173&lt;&gt;"Concluída",$O173="",$Q173=""),0,IF($O173&lt;=$Q173,1,0)))</f>
        <v/>
      </c>
      <c r="T173" s="28" t="str">
        <f aca="false">IF(OR($J173="",$N173&lt;&gt;"Concluída",$O173=""),"",MAX(0,$O173-$J173))</f>
        <v/>
      </c>
      <c r="U173" s="33" t="str">
        <f aca="true">IF($E173="","",IF($N173="Cancelada","Cancelada",IF($N173="Concluída",IF($R173=1,"No prazo","Concluída com atraso"),IF($J173="","Na carteira",IF($J173&lt;TODAY(),"VENCIDA",IF($J173=TODAY(),"Hoje","Programada"))))))</f>
        <v/>
      </c>
    </row>
    <row r="174" customFormat="false" ht="15.75" hidden="false" customHeight="true" outlineLevel="0" collapsed="false">
      <c r="A174" s="28" t="str">
        <f aca="false">IF($E174="","",COUNTA($E$4:$E174))</f>
        <v/>
      </c>
      <c r="B174" s="29"/>
      <c r="C174" s="29"/>
      <c r="D174" s="29"/>
      <c r="E174" s="29"/>
      <c r="F174" s="30"/>
      <c r="G174" s="29"/>
      <c r="H174" s="30"/>
      <c r="I174" s="29"/>
      <c r="J174" s="31"/>
      <c r="K174" s="31"/>
      <c r="L174" s="30"/>
      <c r="M174" s="29"/>
      <c r="N174" s="30"/>
      <c r="O174" s="31"/>
      <c r="P174" s="32" t="str">
        <f aca="false">IF($J174="","",$J174-WEEKDAY($J174,3))</f>
        <v/>
      </c>
      <c r="Q174" s="32" t="str">
        <f aca="false">IF($J174="","",IF($K174="",$J174,$K174))</f>
        <v/>
      </c>
      <c r="R174" s="28" t="str">
        <f aca="false">IF($E174="","",IF(OR($N174&lt;&gt;"Concluída",$O174="",$J174=""),0,IF($O174&lt;=$J174,1,0)))</f>
        <v/>
      </c>
      <c r="S174" s="28" t="str">
        <f aca="false">IF($E174="","",IF(OR($N174&lt;&gt;"Concluída",$O174="",$Q174=""),0,IF($O174&lt;=$Q174,1,0)))</f>
        <v/>
      </c>
      <c r="T174" s="28" t="str">
        <f aca="false">IF(OR($J174="",$N174&lt;&gt;"Concluída",$O174=""),"",MAX(0,$O174-$J174))</f>
        <v/>
      </c>
      <c r="U174" s="33" t="str">
        <f aca="true">IF($E174="","",IF($N174="Cancelada","Cancelada",IF($N174="Concluída",IF($R174=1,"No prazo","Concluída com atraso"),IF($J174="","Na carteira",IF($J174&lt;TODAY(),"VENCIDA",IF($J174=TODAY(),"Hoje","Programada"))))))</f>
        <v/>
      </c>
    </row>
    <row r="175" customFormat="false" ht="15.75" hidden="false" customHeight="true" outlineLevel="0" collapsed="false">
      <c r="A175" s="28" t="str">
        <f aca="false">IF($E175="","",COUNTA($E$4:$E175))</f>
        <v/>
      </c>
      <c r="B175" s="34"/>
      <c r="C175" s="34"/>
      <c r="D175" s="34"/>
      <c r="E175" s="34"/>
      <c r="F175" s="35"/>
      <c r="G175" s="34"/>
      <c r="H175" s="35"/>
      <c r="I175" s="34"/>
      <c r="J175" s="36"/>
      <c r="K175" s="36"/>
      <c r="L175" s="35"/>
      <c r="M175" s="34"/>
      <c r="N175" s="35"/>
      <c r="O175" s="36"/>
      <c r="P175" s="32" t="str">
        <f aca="false">IF($J175="","",$J175-WEEKDAY($J175,3))</f>
        <v/>
      </c>
      <c r="Q175" s="32" t="str">
        <f aca="false">IF($J175="","",IF($K175="",$J175,$K175))</f>
        <v/>
      </c>
      <c r="R175" s="28" t="str">
        <f aca="false">IF($E175="","",IF(OR($N175&lt;&gt;"Concluída",$O175="",$J175=""),0,IF($O175&lt;=$J175,1,0)))</f>
        <v/>
      </c>
      <c r="S175" s="28" t="str">
        <f aca="false">IF($E175="","",IF(OR($N175&lt;&gt;"Concluída",$O175="",$Q175=""),0,IF($O175&lt;=$Q175,1,0)))</f>
        <v/>
      </c>
      <c r="T175" s="28" t="str">
        <f aca="false">IF(OR($J175="",$N175&lt;&gt;"Concluída",$O175=""),"",MAX(0,$O175-$J175))</f>
        <v/>
      </c>
      <c r="U175" s="33" t="str">
        <f aca="true">IF($E175="","",IF($N175="Cancelada","Cancelada",IF($N175="Concluída",IF($R175=1,"No prazo","Concluída com atraso"),IF($J175="","Na carteira",IF($J175&lt;TODAY(),"VENCIDA",IF($J175=TODAY(),"Hoje","Programada"))))))</f>
        <v/>
      </c>
    </row>
    <row r="176" customFormat="false" ht="15.75" hidden="false" customHeight="true" outlineLevel="0" collapsed="false">
      <c r="A176" s="28" t="str">
        <f aca="false">IF($E176="","",COUNTA($E$4:$E176))</f>
        <v/>
      </c>
      <c r="B176" s="29"/>
      <c r="C176" s="29"/>
      <c r="D176" s="29"/>
      <c r="E176" s="29"/>
      <c r="F176" s="30"/>
      <c r="G176" s="29"/>
      <c r="H176" s="30"/>
      <c r="I176" s="29"/>
      <c r="J176" s="31"/>
      <c r="K176" s="31"/>
      <c r="L176" s="30"/>
      <c r="M176" s="29"/>
      <c r="N176" s="30"/>
      <c r="O176" s="31"/>
      <c r="P176" s="32" t="str">
        <f aca="false">IF($J176="","",$J176-WEEKDAY($J176,3))</f>
        <v/>
      </c>
      <c r="Q176" s="32" t="str">
        <f aca="false">IF($J176="","",IF($K176="",$J176,$K176))</f>
        <v/>
      </c>
      <c r="R176" s="28" t="str">
        <f aca="false">IF($E176="","",IF(OR($N176&lt;&gt;"Concluída",$O176="",$J176=""),0,IF($O176&lt;=$J176,1,0)))</f>
        <v/>
      </c>
      <c r="S176" s="28" t="str">
        <f aca="false">IF($E176="","",IF(OR($N176&lt;&gt;"Concluída",$O176="",$Q176=""),0,IF($O176&lt;=$Q176,1,0)))</f>
        <v/>
      </c>
      <c r="T176" s="28" t="str">
        <f aca="false">IF(OR($J176="",$N176&lt;&gt;"Concluída",$O176=""),"",MAX(0,$O176-$J176))</f>
        <v/>
      </c>
      <c r="U176" s="33" t="str">
        <f aca="true">IF($E176="","",IF($N176="Cancelada","Cancelada",IF($N176="Concluída",IF($R176=1,"No prazo","Concluída com atraso"),IF($J176="","Na carteira",IF($J176&lt;TODAY(),"VENCIDA",IF($J176=TODAY(),"Hoje","Programada"))))))</f>
        <v/>
      </c>
    </row>
    <row r="177" customFormat="false" ht="15.75" hidden="false" customHeight="true" outlineLevel="0" collapsed="false">
      <c r="A177" s="28" t="str">
        <f aca="false">IF($E177="","",COUNTA($E$4:$E177))</f>
        <v/>
      </c>
      <c r="B177" s="34"/>
      <c r="C177" s="34"/>
      <c r="D177" s="34"/>
      <c r="E177" s="34"/>
      <c r="F177" s="35"/>
      <c r="G177" s="34"/>
      <c r="H177" s="35"/>
      <c r="I177" s="34"/>
      <c r="J177" s="36"/>
      <c r="K177" s="36"/>
      <c r="L177" s="35"/>
      <c r="M177" s="34"/>
      <c r="N177" s="35"/>
      <c r="O177" s="36"/>
      <c r="P177" s="32" t="str">
        <f aca="false">IF($J177="","",$J177-WEEKDAY($J177,3))</f>
        <v/>
      </c>
      <c r="Q177" s="32" t="str">
        <f aca="false">IF($J177="","",IF($K177="",$J177,$K177))</f>
        <v/>
      </c>
      <c r="R177" s="28" t="str">
        <f aca="false">IF($E177="","",IF(OR($N177&lt;&gt;"Concluída",$O177="",$J177=""),0,IF($O177&lt;=$J177,1,0)))</f>
        <v/>
      </c>
      <c r="S177" s="28" t="str">
        <f aca="false">IF($E177="","",IF(OR($N177&lt;&gt;"Concluída",$O177="",$Q177=""),0,IF($O177&lt;=$Q177,1,0)))</f>
        <v/>
      </c>
      <c r="T177" s="28" t="str">
        <f aca="false">IF(OR($J177="",$N177&lt;&gt;"Concluída",$O177=""),"",MAX(0,$O177-$J177))</f>
        <v/>
      </c>
      <c r="U177" s="33" t="str">
        <f aca="true">IF($E177="","",IF($N177="Cancelada","Cancelada",IF($N177="Concluída",IF($R177=1,"No prazo","Concluída com atraso"),IF($J177="","Na carteira",IF($J177&lt;TODAY(),"VENCIDA",IF($J177=TODAY(),"Hoje","Programada"))))))</f>
        <v/>
      </c>
    </row>
    <row r="178" customFormat="false" ht="15.75" hidden="false" customHeight="true" outlineLevel="0" collapsed="false">
      <c r="A178" s="28" t="str">
        <f aca="false">IF($E178="","",COUNTA($E$4:$E178))</f>
        <v/>
      </c>
      <c r="B178" s="29"/>
      <c r="C178" s="29"/>
      <c r="D178" s="29"/>
      <c r="E178" s="29"/>
      <c r="F178" s="30"/>
      <c r="G178" s="29"/>
      <c r="H178" s="30"/>
      <c r="I178" s="29"/>
      <c r="J178" s="31"/>
      <c r="K178" s="31"/>
      <c r="L178" s="30"/>
      <c r="M178" s="29"/>
      <c r="N178" s="30"/>
      <c r="O178" s="31"/>
      <c r="P178" s="32" t="str">
        <f aca="false">IF($J178="","",$J178-WEEKDAY($J178,3))</f>
        <v/>
      </c>
      <c r="Q178" s="32" t="str">
        <f aca="false">IF($J178="","",IF($K178="",$J178,$K178))</f>
        <v/>
      </c>
      <c r="R178" s="28" t="str">
        <f aca="false">IF($E178="","",IF(OR($N178&lt;&gt;"Concluída",$O178="",$J178=""),0,IF($O178&lt;=$J178,1,0)))</f>
        <v/>
      </c>
      <c r="S178" s="28" t="str">
        <f aca="false">IF($E178="","",IF(OR($N178&lt;&gt;"Concluída",$O178="",$Q178=""),0,IF($O178&lt;=$Q178,1,0)))</f>
        <v/>
      </c>
      <c r="T178" s="28" t="str">
        <f aca="false">IF(OR($J178="",$N178&lt;&gt;"Concluída",$O178=""),"",MAX(0,$O178-$J178))</f>
        <v/>
      </c>
      <c r="U178" s="33" t="str">
        <f aca="true">IF($E178="","",IF($N178="Cancelada","Cancelada",IF($N178="Concluída",IF($R178=1,"No prazo","Concluída com atraso"),IF($J178="","Na carteira",IF($J178&lt;TODAY(),"VENCIDA",IF($J178=TODAY(),"Hoje","Programada"))))))</f>
        <v/>
      </c>
    </row>
    <row r="179" customFormat="false" ht="15.75" hidden="false" customHeight="true" outlineLevel="0" collapsed="false">
      <c r="A179" s="28" t="str">
        <f aca="false">IF($E179="","",COUNTA($E$4:$E179))</f>
        <v/>
      </c>
      <c r="B179" s="34"/>
      <c r="C179" s="34"/>
      <c r="D179" s="34"/>
      <c r="E179" s="34"/>
      <c r="F179" s="35"/>
      <c r="G179" s="34"/>
      <c r="H179" s="35"/>
      <c r="I179" s="34"/>
      <c r="J179" s="36"/>
      <c r="K179" s="36"/>
      <c r="L179" s="35"/>
      <c r="M179" s="34"/>
      <c r="N179" s="35"/>
      <c r="O179" s="36"/>
      <c r="P179" s="32" t="str">
        <f aca="false">IF($J179="","",$J179-WEEKDAY($J179,3))</f>
        <v/>
      </c>
      <c r="Q179" s="32" t="str">
        <f aca="false">IF($J179="","",IF($K179="",$J179,$K179))</f>
        <v/>
      </c>
      <c r="R179" s="28" t="str">
        <f aca="false">IF($E179="","",IF(OR($N179&lt;&gt;"Concluída",$O179="",$J179=""),0,IF($O179&lt;=$J179,1,0)))</f>
        <v/>
      </c>
      <c r="S179" s="28" t="str">
        <f aca="false">IF($E179="","",IF(OR($N179&lt;&gt;"Concluída",$O179="",$Q179=""),0,IF($O179&lt;=$Q179,1,0)))</f>
        <v/>
      </c>
      <c r="T179" s="28" t="str">
        <f aca="false">IF(OR($J179="",$N179&lt;&gt;"Concluída",$O179=""),"",MAX(0,$O179-$J179))</f>
        <v/>
      </c>
      <c r="U179" s="33" t="str">
        <f aca="true">IF($E179="","",IF($N179="Cancelada","Cancelada",IF($N179="Concluída",IF($R179=1,"No prazo","Concluída com atraso"),IF($J179="","Na carteira",IF($J179&lt;TODAY(),"VENCIDA",IF($J179=TODAY(),"Hoje","Programada"))))))</f>
        <v/>
      </c>
    </row>
    <row r="180" customFormat="false" ht="15.75" hidden="false" customHeight="true" outlineLevel="0" collapsed="false">
      <c r="A180" s="28" t="str">
        <f aca="false">IF($E180="","",COUNTA($E$4:$E180))</f>
        <v/>
      </c>
      <c r="B180" s="29"/>
      <c r="C180" s="29"/>
      <c r="D180" s="29"/>
      <c r="E180" s="29"/>
      <c r="F180" s="30"/>
      <c r="G180" s="29"/>
      <c r="H180" s="30"/>
      <c r="I180" s="29"/>
      <c r="J180" s="31"/>
      <c r="K180" s="31"/>
      <c r="L180" s="30"/>
      <c r="M180" s="29"/>
      <c r="N180" s="30"/>
      <c r="O180" s="31"/>
      <c r="P180" s="32" t="str">
        <f aca="false">IF($J180="","",$J180-WEEKDAY($J180,3))</f>
        <v/>
      </c>
      <c r="Q180" s="32" t="str">
        <f aca="false">IF($J180="","",IF($K180="",$J180,$K180))</f>
        <v/>
      </c>
      <c r="R180" s="28" t="str">
        <f aca="false">IF($E180="","",IF(OR($N180&lt;&gt;"Concluída",$O180="",$J180=""),0,IF($O180&lt;=$J180,1,0)))</f>
        <v/>
      </c>
      <c r="S180" s="28" t="str">
        <f aca="false">IF($E180="","",IF(OR($N180&lt;&gt;"Concluída",$O180="",$Q180=""),0,IF($O180&lt;=$Q180,1,0)))</f>
        <v/>
      </c>
      <c r="T180" s="28" t="str">
        <f aca="false">IF(OR($J180="",$N180&lt;&gt;"Concluída",$O180=""),"",MAX(0,$O180-$J180))</f>
        <v/>
      </c>
      <c r="U180" s="33" t="str">
        <f aca="true">IF($E180="","",IF($N180="Cancelada","Cancelada",IF($N180="Concluída",IF($R180=1,"No prazo","Concluída com atraso"),IF($J180="","Na carteira",IF($J180&lt;TODAY(),"VENCIDA",IF($J180=TODAY(),"Hoje","Programada"))))))</f>
        <v/>
      </c>
    </row>
    <row r="181" customFormat="false" ht="15.75" hidden="false" customHeight="true" outlineLevel="0" collapsed="false">
      <c r="A181" s="28" t="str">
        <f aca="false">IF($E181="","",COUNTA($E$4:$E181))</f>
        <v/>
      </c>
      <c r="B181" s="34"/>
      <c r="C181" s="34"/>
      <c r="D181" s="34"/>
      <c r="E181" s="34"/>
      <c r="F181" s="35"/>
      <c r="G181" s="34"/>
      <c r="H181" s="35"/>
      <c r="I181" s="34"/>
      <c r="J181" s="36"/>
      <c r="K181" s="36"/>
      <c r="L181" s="35"/>
      <c r="M181" s="34"/>
      <c r="N181" s="35"/>
      <c r="O181" s="36"/>
      <c r="P181" s="32" t="str">
        <f aca="false">IF($J181="","",$J181-WEEKDAY($J181,3))</f>
        <v/>
      </c>
      <c r="Q181" s="32" t="str">
        <f aca="false">IF($J181="","",IF($K181="",$J181,$K181))</f>
        <v/>
      </c>
      <c r="R181" s="28" t="str">
        <f aca="false">IF($E181="","",IF(OR($N181&lt;&gt;"Concluída",$O181="",$J181=""),0,IF($O181&lt;=$J181,1,0)))</f>
        <v/>
      </c>
      <c r="S181" s="28" t="str">
        <f aca="false">IF($E181="","",IF(OR($N181&lt;&gt;"Concluída",$O181="",$Q181=""),0,IF($O181&lt;=$Q181,1,0)))</f>
        <v/>
      </c>
      <c r="T181" s="28" t="str">
        <f aca="false">IF(OR($J181="",$N181&lt;&gt;"Concluída",$O181=""),"",MAX(0,$O181-$J181))</f>
        <v/>
      </c>
      <c r="U181" s="33" t="str">
        <f aca="true">IF($E181="","",IF($N181="Cancelada","Cancelada",IF($N181="Concluída",IF($R181=1,"No prazo","Concluída com atraso"),IF($J181="","Na carteira",IF($J181&lt;TODAY(),"VENCIDA",IF($J181=TODAY(),"Hoje","Programada"))))))</f>
        <v/>
      </c>
    </row>
    <row r="182" customFormat="false" ht="15.75" hidden="false" customHeight="true" outlineLevel="0" collapsed="false">
      <c r="A182" s="28" t="str">
        <f aca="false">IF($E182="","",COUNTA($E$4:$E182))</f>
        <v/>
      </c>
      <c r="B182" s="29"/>
      <c r="C182" s="29"/>
      <c r="D182" s="29"/>
      <c r="E182" s="29"/>
      <c r="F182" s="30"/>
      <c r="G182" s="29"/>
      <c r="H182" s="30"/>
      <c r="I182" s="29"/>
      <c r="J182" s="31"/>
      <c r="K182" s="31"/>
      <c r="L182" s="30"/>
      <c r="M182" s="29"/>
      <c r="N182" s="30"/>
      <c r="O182" s="31"/>
      <c r="P182" s="32" t="str">
        <f aca="false">IF($J182="","",$J182-WEEKDAY($J182,3))</f>
        <v/>
      </c>
      <c r="Q182" s="32" t="str">
        <f aca="false">IF($J182="","",IF($K182="",$J182,$K182))</f>
        <v/>
      </c>
      <c r="R182" s="28" t="str">
        <f aca="false">IF($E182="","",IF(OR($N182&lt;&gt;"Concluída",$O182="",$J182=""),0,IF($O182&lt;=$J182,1,0)))</f>
        <v/>
      </c>
      <c r="S182" s="28" t="str">
        <f aca="false">IF($E182="","",IF(OR($N182&lt;&gt;"Concluída",$O182="",$Q182=""),0,IF($O182&lt;=$Q182,1,0)))</f>
        <v/>
      </c>
      <c r="T182" s="28" t="str">
        <f aca="false">IF(OR($J182="",$N182&lt;&gt;"Concluída",$O182=""),"",MAX(0,$O182-$J182))</f>
        <v/>
      </c>
      <c r="U182" s="33" t="str">
        <f aca="true">IF($E182="","",IF($N182="Cancelada","Cancelada",IF($N182="Concluída",IF($R182=1,"No prazo","Concluída com atraso"),IF($J182="","Na carteira",IF($J182&lt;TODAY(),"VENCIDA",IF($J182=TODAY(),"Hoje","Programada"))))))</f>
        <v/>
      </c>
    </row>
    <row r="183" customFormat="false" ht="15.75" hidden="false" customHeight="true" outlineLevel="0" collapsed="false">
      <c r="A183" s="28" t="str">
        <f aca="false">IF($E183="","",COUNTA($E$4:$E183))</f>
        <v/>
      </c>
      <c r="B183" s="34"/>
      <c r="C183" s="34"/>
      <c r="D183" s="34"/>
      <c r="E183" s="34"/>
      <c r="F183" s="35"/>
      <c r="G183" s="34"/>
      <c r="H183" s="35"/>
      <c r="I183" s="34"/>
      <c r="J183" s="36"/>
      <c r="K183" s="36"/>
      <c r="L183" s="35"/>
      <c r="M183" s="34"/>
      <c r="N183" s="35"/>
      <c r="O183" s="36"/>
      <c r="P183" s="32" t="str">
        <f aca="false">IF($J183="","",$J183-WEEKDAY($J183,3))</f>
        <v/>
      </c>
      <c r="Q183" s="32" t="str">
        <f aca="false">IF($J183="","",IF($K183="",$J183,$K183))</f>
        <v/>
      </c>
      <c r="R183" s="28" t="str">
        <f aca="false">IF($E183="","",IF(OR($N183&lt;&gt;"Concluída",$O183="",$J183=""),0,IF($O183&lt;=$J183,1,0)))</f>
        <v/>
      </c>
      <c r="S183" s="28" t="str">
        <f aca="false">IF($E183="","",IF(OR($N183&lt;&gt;"Concluída",$O183="",$Q183=""),0,IF($O183&lt;=$Q183,1,0)))</f>
        <v/>
      </c>
      <c r="T183" s="28" t="str">
        <f aca="false">IF(OR($J183="",$N183&lt;&gt;"Concluída",$O183=""),"",MAX(0,$O183-$J183))</f>
        <v/>
      </c>
      <c r="U183" s="33" t="str">
        <f aca="true">IF($E183="","",IF($N183="Cancelada","Cancelada",IF($N183="Concluída",IF($R183=1,"No prazo","Concluída com atraso"),IF($J183="","Na carteira",IF($J183&lt;TODAY(),"VENCIDA",IF($J183=TODAY(),"Hoje","Programada"))))))</f>
        <v/>
      </c>
    </row>
    <row r="184" customFormat="false" ht="15.75" hidden="false" customHeight="true" outlineLevel="0" collapsed="false">
      <c r="A184" s="28" t="str">
        <f aca="false">IF($E184="","",COUNTA($E$4:$E184))</f>
        <v/>
      </c>
      <c r="B184" s="29"/>
      <c r="C184" s="29"/>
      <c r="D184" s="29"/>
      <c r="E184" s="29"/>
      <c r="F184" s="30"/>
      <c r="G184" s="29"/>
      <c r="H184" s="30"/>
      <c r="I184" s="29"/>
      <c r="J184" s="31"/>
      <c r="K184" s="31"/>
      <c r="L184" s="30"/>
      <c r="M184" s="29"/>
      <c r="N184" s="30"/>
      <c r="O184" s="31"/>
      <c r="P184" s="32" t="str">
        <f aca="false">IF($J184="","",$J184-WEEKDAY($J184,3))</f>
        <v/>
      </c>
      <c r="Q184" s="32" t="str">
        <f aca="false">IF($J184="","",IF($K184="",$J184,$K184))</f>
        <v/>
      </c>
      <c r="R184" s="28" t="str">
        <f aca="false">IF($E184="","",IF(OR($N184&lt;&gt;"Concluída",$O184="",$J184=""),0,IF($O184&lt;=$J184,1,0)))</f>
        <v/>
      </c>
      <c r="S184" s="28" t="str">
        <f aca="false">IF($E184="","",IF(OR($N184&lt;&gt;"Concluída",$O184="",$Q184=""),0,IF($O184&lt;=$Q184,1,0)))</f>
        <v/>
      </c>
      <c r="T184" s="28" t="str">
        <f aca="false">IF(OR($J184="",$N184&lt;&gt;"Concluída",$O184=""),"",MAX(0,$O184-$J184))</f>
        <v/>
      </c>
      <c r="U184" s="33" t="str">
        <f aca="true">IF($E184="","",IF($N184="Cancelada","Cancelada",IF($N184="Concluída",IF($R184=1,"No prazo","Concluída com atraso"),IF($J184="","Na carteira",IF($J184&lt;TODAY(),"VENCIDA",IF($J184=TODAY(),"Hoje","Programada"))))))</f>
        <v/>
      </c>
    </row>
    <row r="185" customFormat="false" ht="15.75" hidden="false" customHeight="true" outlineLevel="0" collapsed="false">
      <c r="A185" s="28" t="str">
        <f aca="false">IF($E185="","",COUNTA($E$4:$E185))</f>
        <v/>
      </c>
      <c r="B185" s="34"/>
      <c r="C185" s="34"/>
      <c r="D185" s="34"/>
      <c r="E185" s="34"/>
      <c r="F185" s="35"/>
      <c r="G185" s="34"/>
      <c r="H185" s="35"/>
      <c r="I185" s="34"/>
      <c r="J185" s="36"/>
      <c r="K185" s="36"/>
      <c r="L185" s="35"/>
      <c r="M185" s="34"/>
      <c r="N185" s="35"/>
      <c r="O185" s="36"/>
      <c r="P185" s="32" t="str">
        <f aca="false">IF($J185="","",$J185-WEEKDAY($J185,3))</f>
        <v/>
      </c>
      <c r="Q185" s="32" t="str">
        <f aca="false">IF($J185="","",IF($K185="",$J185,$K185))</f>
        <v/>
      </c>
      <c r="R185" s="28" t="str">
        <f aca="false">IF($E185="","",IF(OR($N185&lt;&gt;"Concluída",$O185="",$J185=""),0,IF($O185&lt;=$J185,1,0)))</f>
        <v/>
      </c>
      <c r="S185" s="28" t="str">
        <f aca="false">IF($E185="","",IF(OR($N185&lt;&gt;"Concluída",$O185="",$Q185=""),0,IF($O185&lt;=$Q185,1,0)))</f>
        <v/>
      </c>
      <c r="T185" s="28" t="str">
        <f aca="false">IF(OR($J185="",$N185&lt;&gt;"Concluída",$O185=""),"",MAX(0,$O185-$J185))</f>
        <v/>
      </c>
      <c r="U185" s="33" t="str">
        <f aca="true">IF($E185="","",IF($N185="Cancelada","Cancelada",IF($N185="Concluída",IF($R185=1,"No prazo","Concluída com atraso"),IF($J185="","Na carteira",IF($J185&lt;TODAY(),"VENCIDA",IF($J185=TODAY(),"Hoje","Programada"))))))</f>
        <v/>
      </c>
    </row>
    <row r="186" customFormat="false" ht="15.75" hidden="false" customHeight="true" outlineLevel="0" collapsed="false">
      <c r="A186" s="28" t="str">
        <f aca="false">IF($E186="","",COUNTA($E$4:$E186))</f>
        <v/>
      </c>
      <c r="B186" s="29"/>
      <c r="C186" s="29"/>
      <c r="D186" s="29"/>
      <c r="E186" s="29"/>
      <c r="F186" s="30"/>
      <c r="G186" s="29"/>
      <c r="H186" s="30"/>
      <c r="I186" s="29"/>
      <c r="J186" s="31"/>
      <c r="K186" s="31"/>
      <c r="L186" s="30"/>
      <c r="M186" s="29"/>
      <c r="N186" s="30"/>
      <c r="O186" s="31"/>
      <c r="P186" s="32" t="str">
        <f aca="false">IF($J186="","",$J186-WEEKDAY($J186,3))</f>
        <v/>
      </c>
      <c r="Q186" s="32" t="str">
        <f aca="false">IF($J186="","",IF($K186="",$J186,$K186))</f>
        <v/>
      </c>
      <c r="R186" s="28" t="str">
        <f aca="false">IF($E186="","",IF(OR($N186&lt;&gt;"Concluída",$O186="",$J186=""),0,IF($O186&lt;=$J186,1,0)))</f>
        <v/>
      </c>
      <c r="S186" s="28" t="str">
        <f aca="false">IF($E186="","",IF(OR($N186&lt;&gt;"Concluída",$O186="",$Q186=""),0,IF($O186&lt;=$Q186,1,0)))</f>
        <v/>
      </c>
      <c r="T186" s="28" t="str">
        <f aca="false">IF(OR($J186="",$N186&lt;&gt;"Concluída",$O186=""),"",MAX(0,$O186-$J186))</f>
        <v/>
      </c>
      <c r="U186" s="33" t="str">
        <f aca="true">IF($E186="","",IF($N186="Cancelada","Cancelada",IF($N186="Concluída",IF($R186=1,"No prazo","Concluída com atraso"),IF($J186="","Na carteira",IF($J186&lt;TODAY(),"VENCIDA",IF($J186=TODAY(),"Hoje","Programada"))))))</f>
        <v/>
      </c>
    </row>
    <row r="187" customFormat="false" ht="15.75" hidden="false" customHeight="true" outlineLevel="0" collapsed="false">
      <c r="A187" s="28" t="str">
        <f aca="false">IF($E187="","",COUNTA($E$4:$E187))</f>
        <v/>
      </c>
      <c r="B187" s="34"/>
      <c r="C187" s="34"/>
      <c r="D187" s="34"/>
      <c r="E187" s="34"/>
      <c r="F187" s="35"/>
      <c r="G187" s="34"/>
      <c r="H187" s="35"/>
      <c r="I187" s="34"/>
      <c r="J187" s="36"/>
      <c r="K187" s="36"/>
      <c r="L187" s="35"/>
      <c r="M187" s="34"/>
      <c r="N187" s="35"/>
      <c r="O187" s="36"/>
      <c r="P187" s="32" t="str">
        <f aca="false">IF($J187="","",$J187-WEEKDAY($J187,3))</f>
        <v/>
      </c>
      <c r="Q187" s="32" t="str">
        <f aca="false">IF($J187="","",IF($K187="",$J187,$K187))</f>
        <v/>
      </c>
      <c r="R187" s="28" t="str">
        <f aca="false">IF($E187="","",IF(OR($N187&lt;&gt;"Concluída",$O187="",$J187=""),0,IF($O187&lt;=$J187,1,0)))</f>
        <v/>
      </c>
      <c r="S187" s="28" t="str">
        <f aca="false">IF($E187="","",IF(OR($N187&lt;&gt;"Concluída",$O187="",$Q187=""),0,IF($O187&lt;=$Q187,1,0)))</f>
        <v/>
      </c>
      <c r="T187" s="28" t="str">
        <f aca="false">IF(OR($J187="",$N187&lt;&gt;"Concluída",$O187=""),"",MAX(0,$O187-$J187))</f>
        <v/>
      </c>
      <c r="U187" s="33" t="str">
        <f aca="true">IF($E187="","",IF($N187="Cancelada","Cancelada",IF($N187="Concluída",IF($R187=1,"No prazo","Concluída com atraso"),IF($J187="","Na carteira",IF($J187&lt;TODAY(),"VENCIDA",IF($J187=TODAY(),"Hoje","Programada"))))))</f>
        <v/>
      </c>
    </row>
    <row r="188" customFormat="false" ht="15.75" hidden="false" customHeight="true" outlineLevel="0" collapsed="false">
      <c r="A188" s="28" t="str">
        <f aca="false">IF($E188="","",COUNTA($E$4:$E188))</f>
        <v/>
      </c>
      <c r="B188" s="29"/>
      <c r="C188" s="29"/>
      <c r="D188" s="29"/>
      <c r="E188" s="29"/>
      <c r="F188" s="30"/>
      <c r="G188" s="29"/>
      <c r="H188" s="30"/>
      <c r="I188" s="29"/>
      <c r="J188" s="31"/>
      <c r="K188" s="31"/>
      <c r="L188" s="30"/>
      <c r="M188" s="29"/>
      <c r="N188" s="30"/>
      <c r="O188" s="31"/>
      <c r="P188" s="32" t="str">
        <f aca="false">IF($J188="","",$J188-WEEKDAY($J188,3))</f>
        <v/>
      </c>
      <c r="Q188" s="32" t="str">
        <f aca="false">IF($J188="","",IF($K188="",$J188,$K188))</f>
        <v/>
      </c>
      <c r="R188" s="28" t="str">
        <f aca="false">IF($E188="","",IF(OR($N188&lt;&gt;"Concluída",$O188="",$J188=""),0,IF($O188&lt;=$J188,1,0)))</f>
        <v/>
      </c>
      <c r="S188" s="28" t="str">
        <f aca="false">IF($E188="","",IF(OR($N188&lt;&gt;"Concluída",$O188="",$Q188=""),0,IF($O188&lt;=$Q188,1,0)))</f>
        <v/>
      </c>
      <c r="T188" s="28" t="str">
        <f aca="false">IF(OR($J188="",$N188&lt;&gt;"Concluída",$O188=""),"",MAX(0,$O188-$J188))</f>
        <v/>
      </c>
      <c r="U188" s="33" t="str">
        <f aca="true">IF($E188="","",IF($N188="Cancelada","Cancelada",IF($N188="Concluída",IF($R188=1,"No prazo","Concluída com atraso"),IF($J188="","Na carteira",IF($J188&lt;TODAY(),"VENCIDA",IF($J188=TODAY(),"Hoje","Programada"))))))</f>
        <v/>
      </c>
    </row>
    <row r="189" customFormat="false" ht="15.75" hidden="false" customHeight="true" outlineLevel="0" collapsed="false">
      <c r="A189" s="28" t="str">
        <f aca="false">IF($E189="","",COUNTA($E$4:$E189))</f>
        <v/>
      </c>
      <c r="B189" s="34"/>
      <c r="C189" s="34"/>
      <c r="D189" s="34"/>
      <c r="E189" s="34"/>
      <c r="F189" s="35"/>
      <c r="G189" s="34"/>
      <c r="H189" s="35"/>
      <c r="I189" s="34"/>
      <c r="J189" s="36"/>
      <c r="K189" s="36"/>
      <c r="L189" s="35"/>
      <c r="M189" s="34"/>
      <c r="N189" s="35"/>
      <c r="O189" s="36"/>
      <c r="P189" s="32" t="str">
        <f aca="false">IF($J189="","",$J189-WEEKDAY($J189,3))</f>
        <v/>
      </c>
      <c r="Q189" s="32" t="str">
        <f aca="false">IF($J189="","",IF($K189="",$J189,$K189))</f>
        <v/>
      </c>
      <c r="R189" s="28" t="str">
        <f aca="false">IF($E189="","",IF(OR($N189&lt;&gt;"Concluída",$O189="",$J189=""),0,IF($O189&lt;=$J189,1,0)))</f>
        <v/>
      </c>
      <c r="S189" s="28" t="str">
        <f aca="false">IF($E189="","",IF(OR($N189&lt;&gt;"Concluída",$O189="",$Q189=""),0,IF($O189&lt;=$Q189,1,0)))</f>
        <v/>
      </c>
      <c r="T189" s="28" t="str">
        <f aca="false">IF(OR($J189="",$N189&lt;&gt;"Concluída",$O189=""),"",MAX(0,$O189-$J189))</f>
        <v/>
      </c>
      <c r="U189" s="33" t="str">
        <f aca="true">IF($E189="","",IF($N189="Cancelada","Cancelada",IF($N189="Concluída",IF($R189=1,"No prazo","Concluída com atraso"),IF($J189="","Na carteira",IF($J189&lt;TODAY(),"VENCIDA",IF($J189=TODAY(),"Hoje","Programada"))))))</f>
        <v/>
      </c>
    </row>
    <row r="190" customFormat="false" ht="15.75" hidden="false" customHeight="true" outlineLevel="0" collapsed="false">
      <c r="A190" s="28" t="str">
        <f aca="false">IF($E190="","",COUNTA($E$4:$E190))</f>
        <v/>
      </c>
      <c r="B190" s="29"/>
      <c r="C190" s="29"/>
      <c r="D190" s="29"/>
      <c r="E190" s="29"/>
      <c r="F190" s="30"/>
      <c r="G190" s="29"/>
      <c r="H190" s="30"/>
      <c r="I190" s="29"/>
      <c r="J190" s="31"/>
      <c r="K190" s="31"/>
      <c r="L190" s="30"/>
      <c r="M190" s="29"/>
      <c r="N190" s="30"/>
      <c r="O190" s="31"/>
      <c r="P190" s="32" t="str">
        <f aca="false">IF($J190="","",$J190-WEEKDAY($J190,3))</f>
        <v/>
      </c>
      <c r="Q190" s="32" t="str">
        <f aca="false">IF($J190="","",IF($K190="",$J190,$K190))</f>
        <v/>
      </c>
      <c r="R190" s="28" t="str">
        <f aca="false">IF($E190="","",IF(OR($N190&lt;&gt;"Concluída",$O190="",$J190=""),0,IF($O190&lt;=$J190,1,0)))</f>
        <v/>
      </c>
      <c r="S190" s="28" t="str">
        <f aca="false">IF($E190="","",IF(OR($N190&lt;&gt;"Concluída",$O190="",$Q190=""),0,IF($O190&lt;=$Q190,1,0)))</f>
        <v/>
      </c>
      <c r="T190" s="28" t="str">
        <f aca="false">IF(OR($J190="",$N190&lt;&gt;"Concluída",$O190=""),"",MAX(0,$O190-$J190))</f>
        <v/>
      </c>
      <c r="U190" s="33" t="str">
        <f aca="true">IF($E190="","",IF($N190="Cancelada","Cancelada",IF($N190="Concluída",IF($R190=1,"No prazo","Concluída com atraso"),IF($J190="","Na carteira",IF($J190&lt;TODAY(),"VENCIDA",IF($J190=TODAY(),"Hoje","Programada"))))))</f>
        <v/>
      </c>
    </row>
    <row r="191" customFormat="false" ht="15.75" hidden="false" customHeight="true" outlineLevel="0" collapsed="false">
      <c r="A191" s="28" t="str">
        <f aca="false">IF($E191="","",COUNTA($E$4:$E191))</f>
        <v/>
      </c>
      <c r="B191" s="34"/>
      <c r="C191" s="34"/>
      <c r="D191" s="34"/>
      <c r="E191" s="34"/>
      <c r="F191" s="35"/>
      <c r="G191" s="34"/>
      <c r="H191" s="35"/>
      <c r="I191" s="34"/>
      <c r="J191" s="36"/>
      <c r="K191" s="36"/>
      <c r="L191" s="35"/>
      <c r="M191" s="34"/>
      <c r="N191" s="35"/>
      <c r="O191" s="36"/>
      <c r="P191" s="32" t="str">
        <f aca="false">IF($J191="","",$J191-WEEKDAY($J191,3))</f>
        <v/>
      </c>
      <c r="Q191" s="32" t="str">
        <f aca="false">IF($J191="","",IF($K191="",$J191,$K191))</f>
        <v/>
      </c>
      <c r="R191" s="28" t="str">
        <f aca="false">IF($E191="","",IF(OR($N191&lt;&gt;"Concluída",$O191="",$J191=""),0,IF($O191&lt;=$J191,1,0)))</f>
        <v/>
      </c>
      <c r="S191" s="28" t="str">
        <f aca="false">IF($E191="","",IF(OR($N191&lt;&gt;"Concluída",$O191="",$Q191=""),0,IF($O191&lt;=$Q191,1,0)))</f>
        <v/>
      </c>
      <c r="T191" s="28" t="str">
        <f aca="false">IF(OR($J191="",$N191&lt;&gt;"Concluída",$O191=""),"",MAX(0,$O191-$J191))</f>
        <v/>
      </c>
      <c r="U191" s="33" t="str">
        <f aca="true">IF($E191="","",IF($N191="Cancelada","Cancelada",IF($N191="Concluída",IF($R191=1,"No prazo","Concluída com atraso"),IF($J191="","Na carteira",IF($J191&lt;TODAY(),"VENCIDA",IF($J191=TODAY(),"Hoje","Programada"))))))</f>
        <v/>
      </c>
    </row>
    <row r="192" customFormat="false" ht="15.75" hidden="false" customHeight="true" outlineLevel="0" collapsed="false">
      <c r="A192" s="28" t="str">
        <f aca="false">IF($E192="","",COUNTA($E$4:$E192))</f>
        <v/>
      </c>
      <c r="B192" s="29"/>
      <c r="C192" s="29"/>
      <c r="D192" s="29"/>
      <c r="E192" s="29"/>
      <c r="F192" s="30"/>
      <c r="G192" s="29"/>
      <c r="H192" s="30"/>
      <c r="I192" s="29"/>
      <c r="J192" s="31"/>
      <c r="K192" s="31"/>
      <c r="L192" s="30"/>
      <c r="M192" s="29"/>
      <c r="N192" s="30"/>
      <c r="O192" s="31"/>
      <c r="P192" s="32" t="str">
        <f aca="false">IF($J192="","",$J192-WEEKDAY($J192,3))</f>
        <v/>
      </c>
      <c r="Q192" s="32" t="str">
        <f aca="false">IF($J192="","",IF($K192="",$J192,$K192))</f>
        <v/>
      </c>
      <c r="R192" s="28" t="str">
        <f aca="false">IF($E192="","",IF(OR($N192&lt;&gt;"Concluída",$O192="",$J192=""),0,IF($O192&lt;=$J192,1,0)))</f>
        <v/>
      </c>
      <c r="S192" s="28" t="str">
        <f aca="false">IF($E192="","",IF(OR($N192&lt;&gt;"Concluída",$O192="",$Q192=""),0,IF($O192&lt;=$Q192,1,0)))</f>
        <v/>
      </c>
      <c r="T192" s="28" t="str">
        <f aca="false">IF(OR($J192="",$N192&lt;&gt;"Concluída",$O192=""),"",MAX(0,$O192-$J192))</f>
        <v/>
      </c>
      <c r="U192" s="33" t="str">
        <f aca="true">IF($E192="","",IF($N192="Cancelada","Cancelada",IF($N192="Concluída",IF($R192=1,"No prazo","Concluída com atraso"),IF($J192="","Na carteira",IF($J192&lt;TODAY(),"VENCIDA",IF($J192=TODAY(),"Hoje","Programada"))))))</f>
        <v/>
      </c>
    </row>
    <row r="193" customFormat="false" ht="15.75" hidden="false" customHeight="true" outlineLevel="0" collapsed="false">
      <c r="A193" s="28" t="str">
        <f aca="false">IF($E193="","",COUNTA($E$4:$E193))</f>
        <v/>
      </c>
      <c r="B193" s="34"/>
      <c r="C193" s="34"/>
      <c r="D193" s="34"/>
      <c r="E193" s="34"/>
      <c r="F193" s="35"/>
      <c r="G193" s="34"/>
      <c r="H193" s="35"/>
      <c r="I193" s="34"/>
      <c r="J193" s="36"/>
      <c r="K193" s="36"/>
      <c r="L193" s="35"/>
      <c r="M193" s="34"/>
      <c r="N193" s="35"/>
      <c r="O193" s="36"/>
      <c r="P193" s="32" t="str">
        <f aca="false">IF($J193="","",$J193-WEEKDAY($J193,3))</f>
        <v/>
      </c>
      <c r="Q193" s="32" t="str">
        <f aca="false">IF($J193="","",IF($K193="",$J193,$K193))</f>
        <v/>
      </c>
      <c r="R193" s="28" t="str">
        <f aca="false">IF($E193="","",IF(OR($N193&lt;&gt;"Concluída",$O193="",$J193=""),0,IF($O193&lt;=$J193,1,0)))</f>
        <v/>
      </c>
      <c r="S193" s="28" t="str">
        <f aca="false">IF($E193="","",IF(OR($N193&lt;&gt;"Concluída",$O193="",$Q193=""),0,IF($O193&lt;=$Q193,1,0)))</f>
        <v/>
      </c>
      <c r="T193" s="28" t="str">
        <f aca="false">IF(OR($J193="",$N193&lt;&gt;"Concluída",$O193=""),"",MAX(0,$O193-$J193))</f>
        <v/>
      </c>
      <c r="U193" s="33" t="str">
        <f aca="true">IF($E193="","",IF($N193="Cancelada","Cancelada",IF($N193="Concluída",IF($R193=1,"No prazo","Concluída com atraso"),IF($J193="","Na carteira",IF($J193&lt;TODAY(),"VENCIDA",IF($J193=TODAY(),"Hoje","Programada"))))))</f>
        <v/>
      </c>
    </row>
    <row r="194" customFormat="false" ht="15.75" hidden="false" customHeight="true" outlineLevel="0" collapsed="false">
      <c r="A194" s="28" t="str">
        <f aca="false">IF($E194="","",COUNTA($E$4:$E194))</f>
        <v/>
      </c>
      <c r="B194" s="29"/>
      <c r="C194" s="29"/>
      <c r="D194" s="29"/>
      <c r="E194" s="29"/>
      <c r="F194" s="30"/>
      <c r="G194" s="29"/>
      <c r="H194" s="30"/>
      <c r="I194" s="29"/>
      <c r="J194" s="31"/>
      <c r="K194" s="31"/>
      <c r="L194" s="30"/>
      <c r="M194" s="29"/>
      <c r="N194" s="30"/>
      <c r="O194" s="31"/>
      <c r="P194" s="32" t="str">
        <f aca="false">IF($J194="","",$J194-WEEKDAY($J194,3))</f>
        <v/>
      </c>
      <c r="Q194" s="32" t="str">
        <f aca="false">IF($J194="","",IF($K194="",$J194,$K194))</f>
        <v/>
      </c>
      <c r="R194" s="28" t="str">
        <f aca="false">IF($E194="","",IF(OR($N194&lt;&gt;"Concluída",$O194="",$J194=""),0,IF($O194&lt;=$J194,1,0)))</f>
        <v/>
      </c>
      <c r="S194" s="28" t="str">
        <f aca="false">IF($E194="","",IF(OR($N194&lt;&gt;"Concluída",$O194="",$Q194=""),0,IF($O194&lt;=$Q194,1,0)))</f>
        <v/>
      </c>
      <c r="T194" s="28" t="str">
        <f aca="false">IF(OR($J194="",$N194&lt;&gt;"Concluída",$O194=""),"",MAX(0,$O194-$J194))</f>
        <v/>
      </c>
      <c r="U194" s="33" t="str">
        <f aca="true">IF($E194="","",IF($N194="Cancelada","Cancelada",IF($N194="Concluída",IF($R194=1,"No prazo","Concluída com atraso"),IF($J194="","Na carteira",IF($J194&lt;TODAY(),"VENCIDA",IF($J194=TODAY(),"Hoje","Programada"))))))</f>
        <v/>
      </c>
    </row>
    <row r="195" customFormat="false" ht="15.75" hidden="false" customHeight="true" outlineLevel="0" collapsed="false">
      <c r="A195" s="28" t="str">
        <f aca="false">IF($E195="","",COUNTA($E$4:$E195))</f>
        <v/>
      </c>
      <c r="B195" s="34"/>
      <c r="C195" s="34"/>
      <c r="D195" s="34"/>
      <c r="E195" s="34"/>
      <c r="F195" s="35"/>
      <c r="G195" s="34"/>
      <c r="H195" s="35"/>
      <c r="I195" s="34"/>
      <c r="J195" s="36"/>
      <c r="K195" s="36"/>
      <c r="L195" s="35"/>
      <c r="M195" s="34"/>
      <c r="N195" s="35"/>
      <c r="O195" s="36"/>
      <c r="P195" s="32" t="str">
        <f aca="false">IF($J195="","",$J195-WEEKDAY($J195,3))</f>
        <v/>
      </c>
      <c r="Q195" s="32" t="str">
        <f aca="false">IF($J195="","",IF($K195="",$J195,$K195))</f>
        <v/>
      </c>
      <c r="R195" s="28" t="str">
        <f aca="false">IF($E195="","",IF(OR($N195&lt;&gt;"Concluída",$O195="",$J195=""),0,IF($O195&lt;=$J195,1,0)))</f>
        <v/>
      </c>
      <c r="S195" s="28" t="str">
        <f aca="false">IF($E195="","",IF(OR($N195&lt;&gt;"Concluída",$O195="",$Q195=""),0,IF($O195&lt;=$Q195,1,0)))</f>
        <v/>
      </c>
      <c r="T195" s="28" t="str">
        <f aca="false">IF(OR($J195="",$N195&lt;&gt;"Concluída",$O195=""),"",MAX(0,$O195-$J195))</f>
        <v/>
      </c>
      <c r="U195" s="33" t="str">
        <f aca="true">IF($E195="","",IF($N195="Cancelada","Cancelada",IF($N195="Concluída",IF($R195=1,"No prazo","Concluída com atraso"),IF($J195="","Na carteira",IF($J195&lt;TODAY(),"VENCIDA",IF($J195=TODAY(),"Hoje","Programada"))))))</f>
        <v/>
      </c>
    </row>
    <row r="196" customFormat="false" ht="15.75" hidden="false" customHeight="true" outlineLevel="0" collapsed="false">
      <c r="A196" s="28" t="str">
        <f aca="false">IF($E196="","",COUNTA($E$4:$E196))</f>
        <v/>
      </c>
      <c r="B196" s="29"/>
      <c r="C196" s="29"/>
      <c r="D196" s="29"/>
      <c r="E196" s="29"/>
      <c r="F196" s="30"/>
      <c r="G196" s="29"/>
      <c r="H196" s="30"/>
      <c r="I196" s="29"/>
      <c r="J196" s="31"/>
      <c r="K196" s="31"/>
      <c r="L196" s="30"/>
      <c r="M196" s="29"/>
      <c r="N196" s="30"/>
      <c r="O196" s="31"/>
      <c r="P196" s="32" t="str">
        <f aca="false">IF($J196="","",$J196-WEEKDAY($J196,3))</f>
        <v/>
      </c>
      <c r="Q196" s="32" t="str">
        <f aca="false">IF($J196="","",IF($K196="",$J196,$K196))</f>
        <v/>
      </c>
      <c r="R196" s="28" t="str">
        <f aca="false">IF($E196="","",IF(OR($N196&lt;&gt;"Concluída",$O196="",$J196=""),0,IF($O196&lt;=$J196,1,0)))</f>
        <v/>
      </c>
      <c r="S196" s="28" t="str">
        <f aca="false">IF($E196="","",IF(OR($N196&lt;&gt;"Concluída",$O196="",$Q196=""),0,IF($O196&lt;=$Q196,1,0)))</f>
        <v/>
      </c>
      <c r="T196" s="28" t="str">
        <f aca="false">IF(OR($J196="",$N196&lt;&gt;"Concluída",$O196=""),"",MAX(0,$O196-$J196))</f>
        <v/>
      </c>
      <c r="U196" s="33" t="str">
        <f aca="true">IF($E196="","",IF($N196="Cancelada","Cancelada",IF($N196="Concluída",IF($R196=1,"No prazo","Concluída com atraso"),IF($J196="","Na carteira",IF($J196&lt;TODAY(),"VENCIDA",IF($J196=TODAY(),"Hoje","Programada"))))))</f>
        <v/>
      </c>
    </row>
    <row r="197" customFormat="false" ht="15.75" hidden="false" customHeight="true" outlineLevel="0" collapsed="false">
      <c r="A197" s="28" t="str">
        <f aca="false">IF($E197="","",COUNTA($E$4:$E197))</f>
        <v/>
      </c>
      <c r="B197" s="34"/>
      <c r="C197" s="34"/>
      <c r="D197" s="34"/>
      <c r="E197" s="34"/>
      <c r="F197" s="35"/>
      <c r="G197" s="34"/>
      <c r="H197" s="35"/>
      <c r="I197" s="34"/>
      <c r="J197" s="36"/>
      <c r="K197" s="36"/>
      <c r="L197" s="35"/>
      <c r="M197" s="34"/>
      <c r="N197" s="35"/>
      <c r="O197" s="36"/>
      <c r="P197" s="32" t="str">
        <f aca="false">IF($J197="","",$J197-WEEKDAY($J197,3))</f>
        <v/>
      </c>
      <c r="Q197" s="32" t="str">
        <f aca="false">IF($J197="","",IF($K197="",$J197,$K197))</f>
        <v/>
      </c>
      <c r="R197" s="28" t="str">
        <f aca="false">IF($E197="","",IF(OR($N197&lt;&gt;"Concluída",$O197="",$J197=""),0,IF($O197&lt;=$J197,1,0)))</f>
        <v/>
      </c>
      <c r="S197" s="28" t="str">
        <f aca="false">IF($E197="","",IF(OR($N197&lt;&gt;"Concluída",$O197="",$Q197=""),0,IF($O197&lt;=$Q197,1,0)))</f>
        <v/>
      </c>
      <c r="T197" s="28" t="str">
        <f aca="false">IF(OR($J197="",$N197&lt;&gt;"Concluída",$O197=""),"",MAX(0,$O197-$J197))</f>
        <v/>
      </c>
      <c r="U197" s="33" t="str">
        <f aca="true">IF($E197="","",IF($N197="Cancelada","Cancelada",IF($N197="Concluída",IF($R197=1,"No prazo","Concluída com atraso"),IF($J197="","Na carteira",IF($J197&lt;TODAY(),"VENCIDA",IF($J197=TODAY(),"Hoje","Programada"))))))</f>
        <v/>
      </c>
    </row>
    <row r="198" customFormat="false" ht="15.75" hidden="false" customHeight="true" outlineLevel="0" collapsed="false">
      <c r="A198" s="28" t="str">
        <f aca="false">IF($E198="","",COUNTA($E$4:$E198))</f>
        <v/>
      </c>
      <c r="B198" s="29"/>
      <c r="C198" s="29"/>
      <c r="D198" s="29"/>
      <c r="E198" s="29"/>
      <c r="F198" s="30"/>
      <c r="G198" s="29"/>
      <c r="H198" s="30"/>
      <c r="I198" s="29"/>
      <c r="J198" s="31"/>
      <c r="K198" s="31"/>
      <c r="L198" s="30"/>
      <c r="M198" s="29"/>
      <c r="N198" s="30"/>
      <c r="O198" s="31"/>
      <c r="P198" s="32" t="str">
        <f aca="false">IF($J198="","",$J198-WEEKDAY($J198,3))</f>
        <v/>
      </c>
      <c r="Q198" s="32" t="str">
        <f aca="false">IF($J198="","",IF($K198="",$J198,$K198))</f>
        <v/>
      </c>
      <c r="R198" s="28" t="str">
        <f aca="false">IF($E198="","",IF(OR($N198&lt;&gt;"Concluída",$O198="",$J198=""),0,IF($O198&lt;=$J198,1,0)))</f>
        <v/>
      </c>
      <c r="S198" s="28" t="str">
        <f aca="false">IF($E198="","",IF(OR($N198&lt;&gt;"Concluída",$O198="",$Q198=""),0,IF($O198&lt;=$Q198,1,0)))</f>
        <v/>
      </c>
      <c r="T198" s="28" t="str">
        <f aca="false">IF(OR($J198="",$N198&lt;&gt;"Concluída",$O198=""),"",MAX(0,$O198-$J198))</f>
        <v/>
      </c>
      <c r="U198" s="33" t="str">
        <f aca="true">IF($E198="","",IF($N198="Cancelada","Cancelada",IF($N198="Concluída",IF($R198=1,"No prazo","Concluída com atraso"),IF($J198="","Na carteira",IF($J198&lt;TODAY(),"VENCIDA",IF($J198=TODAY(),"Hoje","Programada"))))))</f>
        <v/>
      </c>
    </row>
    <row r="199" customFormat="false" ht="15.75" hidden="false" customHeight="true" outlineLevel="0" collapsed="false">
      <c r="A199" s="28" t="str">
        <f aca="false">IF($E199="","",COUNTA($E$4:$E199))</f>
        <v/>
      </c>
      <c r="B199" s="34"/>
      <c r="C199" s="34"/>
      <c r="D199" s="34"/>
      <c r="E199" s="34"/>
      <c r="F199" s="35"/>
      <c r="G199" s="34"/>
      <c r="H199" s="35"/>
      <c r="I199" s="34"/>
      <c r="J199" s="36"/>
      <c r="K199" s="36"/>
      <c r="L199" s="35"/>
      <c r="M199" s="34"/>
      <c r="N199" s="35"/>
      <c r="O199" s="36"/>
      <c r="P199" s="32" t="str">
        <f aca="false">IF($J199="","",$J199-WEEKDAY($J199,3))</f>
        <v/>
      </c>
      <c r="Q199" s="32" t="str">
        <f aca="false">IF($J199="","",IF($K199="",$J199,$K199))</f>
        <v/>
      </c>
      <c r="R199" s="28" t="str">
        <f aca="false">IF($E199="","",IF(OR($N199&lt;&gt;"Concluída",$O199="",$J199=""),0,IF($O199&lt;=$J199,1,0)))</f>
        <v/>
      </c>
      <c r="S199" s="28" t="str">
        <f aca="false">IF($E199="","",IF(OR($N199&lt;&gt;"Concluída",$O199="",$Q199=""),0,IF($O199&lt;=$Q199,1,0)))</f>
        <v/>
      </c>
      <c r="T199" s="28" t="str">
        <f aca="false">IF(OR($J199="",$N199&lt;&gt;"Concluída",$O199=""),"",MAX(0,$O199-$J199))</f>
        <v/>
      </c>
      <c r="U199" s="33" t="str">
        <f aca="true">IF($E199="","",IF($N199="Cancelada","Cancelada",IF($N199="Concluída",IF($R199=1,"No prazo","Concluída com atraso"),IF($J199="","Na carteira",IF($J199&lt;TODAY(),"VENCIDA",IF($J199=TODAY(),"Hoje","Programada"))))))</f>
        <v/>
      </c>
    </row>
    <row r="200" customFormat="false" ht="15.75" hidden="false" customHeight="true" outlineLevel="0" collapsed="false">
      <c r="A200" s="28" t="str">
        <f aca="false">IF($E200="","",COUNTA($E$4:$E200))</f>
        <v/>
      </c>
      <c r="B200" s="29"/>
      <c r="C200" s="29"/>
      <c r="D200" s="29"/>
      <c r="E200" s="29"/>
      <c r="F200" s="30"/>
      <c r="G200" s="29"/>
      <c r="H200" s="30"/>
      <c r="I200" s="29"/>
      <c r="J200" s="31"/>
      <c r="K200" s="31"/>
      <c r="L200" s="30"/>
      <c r="M200" s="29"/>
      <c r="N200" s="30"/>
      <c r="O200" s="31"/>
      <c r="P200" s="32" t="str">
        <f aca="false">IF($J200="","",$J200-WEEKDAY($J200,3))</f>
        <v/>
      </c>
      <c r="Q200" s="32" t="str">
        <f aca="false">IF($J200="","",IF($K200="",$J200,$K200))</f>
        <v/>
      </c>
      <c r="R200" s="28" t="str">
        <f aca="false">IF($E200="","",IF(OR($N200&lt;&gt;"Concluída",$O200="",$J200=""),0,IF($O200&lt;=$J200,1,0)))</f>
        <v/>
      </c>
      <c r="S200" s="28" t="str">
        <f aca="false">IF($E200="","",IF(OR($N200&lt;&gt;"Concluída",$O200="",$Q200=""),0,IF($O200&lt;=$Q200,1,0)))</f>
        <v/>
      </c>
      <c r="T200" s="28" t="str">
        <f aca="false">IF(OR($J200="",$N200&lt;&gt;"Concluída",$O200=""),"",MAX(0,$O200-$J200))</f>
        <v/>
      </c>
      <c r="U200" s="33" t="str">
        <f aca="true">IF($E200="","",IF($N200="Cancelada","Cancelada",IF($N200="Concluída",IF($R200=1,"No prazo","Concluída com atraso"),IF($J200="","Na carteira",IF($J200&lt;TODAY(),"VENCIDA",IF($J200=TODAY(),"Hoje","Programada"))))))</f>
        <v/>
      </c>
    </row>
    <row r="201" customFormat="false" ht="15.75" hidden="false" customHeight="true" outlineLevel="0" collapsed="false">
      <c r="A201" s="28" t="str">
        <f aca="false">IF($E201="","",COUNTA($E$4:$E201))</f>
        <v/>
      </c>
      <c r="B201" s="34"/>
      <c r="C201" s="34"/>
      <c r="D201" s="34"/>
      <c r="E201" s="34"/>
      <c r="F201" s="35"/>
      <c r="G201" s="34"/>
      <c r="H201" s="35"/>
      <c r="I201" s="34"/>
      <c r="J201" s="36"/>
      <c r="K201" s="36"/>
      <c r="L201" s="35"/>
      <c r="M201" s="34"/>
      <c r="N201" s="35"/>
      <c r="O201" s="36"/>
      <c r="P201" s="32" t="str">
        <f aca="false">IF($J201="","",$J201-WEEKDAY($J201,3))</f>
        <v/>
      </c>
      <c r="Q201" s="32" t="str">
        <f aca="false">IF($J201="","",IF($K201="",$J201,$K201))</f>
        <v/>
      </c>
      <c r="R201" s="28" t="str">
        <f aca="false">IF($E201="","",IF(OR($N201&lt;&gt;"Concluída",$O201="",$J201=""),0,IF($O201&lt;=$J201,1,0)))</f>
        <v/>
      </c>
      <c r="S201" s="28" t="str">
        <f aca="false">IF($E201="","",IF(OR($N201&lt;&gt;"Concluída",$O201="",$Q201=""),0,IF($O201&lt;=$Q201,1,0)))</f>
        <v/>
      </c>
      <c r="T201" s="28" t="str">
        <f aca="false">IF(OR($J201="",$N201&lt;&gt;"Concluída",$O201=""),"",MAX(0,$O201-$J201))</f>
        <v/>
      </c>
      <c r="U201" s="33" t="str">
        <f aca="true">IF($E201="","",IF($N201="Cancelada","Cancelada",IF($N201="Concluída",IF($R201=1,"No prazo","Concluída com atraso"),IF($J201="","Na carteira",IF($J201&lt;TODAY(),"VENCIDA",IF($J201=TODAY(),"Hoje","Programada"))))))</f>
        <v/>
      </c>
    </row>
    <row r="202" customFormat="false" ht="15.75" hidden="false" customHeight="true" outlineLevel="0" collapsed="false">
      <c r="A202" s="28" t="str">
        <f aca="false">IF($E202="","",COUNTA($E$4:$E202))</f>
        <v/>
      </c>
      <c r="B202" s="29"/>
      <c r="C202" s="29"/>
      <c r="D202" s="29"/>
      <c r="E202" s="29"/>
      <c r="F202" s="30"/>
      <c r="G202" s="29"/>
      <c r="H202" s="30"/>
      <c r="I202" s="29"/>
      <c r="J202" s="31"/>
      <c r="K202" s="31"/>
      <c r="L202" s="30"/>
      <c r="M202" s="29"/>
      <c r="N202" s="30"/>
      <c r="O202" s="31"/>
      <c r="P202" s="32" t="str">
        <f aca="false">IF($J202="","",$J202-WEEKDAY($J202,3))</f>
        <v/>
      </c>
      <c r="Q202" s="32" t="str">
        <f aca="false">IF($J202="","",IF($K202="",$J202,$K202))</f>
        <v/>
      </c>
      <c r="R202" s="28" t="str">
        <f aca="false">IF($E202="","",IF(OR($N202&lt;&gt;"Concluída",$O202="",$J202=""),0,IF($O202&lt;=$J202,1,0)))</f>
        <v/>
      </c>
      <c r="S202" s="28" t="str">
        <f aca="false">IF($E202="","",IF(OR($N202&lt;&gt;"Concluída",$O202="",$Q202=""),0,IF($O202&lt;=$Q202,1,0)))</f>
        <v/>
      </c>
      <c r="T202" s="28" t="str">
        <f aca="false">IF(OR($J202="",$N202&lt;&gt;"Concluída",$O202=""),"",MAX(0,$O202-$J202))</f>
        <v/>
      </c>
      <c r="U202" s="33" t="str">
        <f aca="true">IF($E202="","",IF($N202="Cancelada","Cancelada",IF($N202="Concluída",IF($R202=1,"No prazo","Concluída com atraso"),IF($J202="","Na carteira",IF($J202&lt;TODAY(),"VENCIDA",IF($J202=TODAY(),"Hoje","Programada"))))))</f>
        <v/>
      </c>
    </row>
    <row r="203" customFormat="false" ht="15.75" hidden="false" customHeight="true" outlineLevel="0" collapsed="false">
      <c r="A203" s="28" t="str">
        <f aca="false">IF($E203="","",COUNTA($E$4:$E203))</f>
        <v/>
      </c>
      <c r="B203" s="34"/>
      <c r="C203" s="34"/>
      <c r="D203" s="34"/>
      <c r="E203" s="34"/>
      <c r="F203" s="35"/>
      <c r="G203" s="34"/>
      <c r="H203" s="35"/>
      <c r="I203" s="34"/>
      <c r="J203" s="36"/>
      <c r="K203" s="36"/>
      <c r="L203" s="35"/>
      <c r="M203" s="34"/>
      <c r="N203" s="35"/>
      <c r="O203" s="36"/>
      <c r="P203" s="32" t="str">
        <f aca="false">IF($J203="","",$J203-WEEKDAY($J203,3))</f>
        <v/>
      </c>
      <c r="Q203" s="32" t="str">
        <f aca="false">IF($J203="","",IF($K203="",$J203,$K203))</f>
        <v/>
      </c>
      <c r="R203" s="28" t="str">
        <f aca="false">IF($E203="","",IF(OR($N203&lt;&gt;"Concluída",$O203="",$J203=""),0,IF($O203&lt;=$J203,1,0)))</f>
        <v/>
      </c>
      <c r="S203" s="28" t="str">
        <f aca="false">IF($E203="","",IF(OR($N203&lt;&gt;"Concluída",$O203="",$Q203=""),0,IF($O203&lt;=$Q203,1,0)))</f>
        <v/>
      </c>
      <c r="T203" s="28" t="str">
        <f aca="false">IF(OR($J203="",$N203&lt;&gt;"Concluída",$O203=""),"",MAX(0,$O203-$J203))</f>
        <v/>
      </c>
      <c r="U203" s="33" t="str">
        <f aca="true">IF($E203="","",IF($N203="Cancelada","Cancelada",IF($N203="Concluída",IF($R203=1,"No prazo","Concluída com atraso"),IF($J203="","Na carteira",IF($J203&lt;TODAY(),"VENCIDA",IF($J203=TODAY(),"Hoje","Programada"))))))</f>
        <v/>
      </c>
    </row>
    <row r="204" customFormat="false" ht="15.75" hidden="false" customHeight="true" outlineLevel="0" collapsed="false">
      <c r="A204" s="28" t="str">
        <f aca="false">IF($E204="","",COUNTA($E$4:$E204))</f>
        <v/>
      </c>
      <c r="B204" s="29"/>
      <c r="C204" s="29"/>
      <c r="D204" s="29"/>
      <c r="E204" s="29"/>
      <c r="F204" s="30"/>
      <c r="G204" s="29"/>
      <c r="H204" s="30"/>
      <c r="I204" s="29"/>
      <c r="J204" s="31"/>
      <c r="K204" s="31"/>
      <c r="L204" s="30"/>
      <c r="M204" s="29"/>
      <c r="N204" s="30"/>
      <c r="O204" s="31"/>
      <c r="P204" s="32" t="str">
        <f aca="false">IF($J204="","",$J204-WEEKDAY($J204,3))</f>
        <v/>
      </c>
      <c r="Q204" s="32" t="str">
        <f aca="false">IF($J204="","",IF($K204="",$J204,$K204))</f>
        <v/>
      </c>
      <c r="R204" s="28" t="str">
        <f aca="false">IF($E204="","",IF(OR($N204&lt;&gt;"Concluída",$O204="",$J204=""),0,IF($O204&lt;=$J204,1,0)))</f>
        <v/>
      </c>
      <c r="S204" s="28" t="str">
        <f aca="false">IF($E204="","",IF(OR($N204&lt;&gt;"Concluída",$O204="",$Q204=""),0,IF($O204&lt;=$Q204,1,0)))</f>
        <v/>
      </c>
      <c r="T204" s="28" t="str">
        <f aca="false">IF(OR($J204="",$N204&lt;&gt;"Concluída",$O204=""),"",MAX(0,$O204-$J204))</f>
        <v/>
      </c>
      <c r="U204" s="33" t="str">
        <f aca="true">IF($E204="","",IF($N204="Cancelada","Cancelada",IF($N204="Concluída",IF($R204=1,"No prazo","Concluída com atraso"),IF($J204="","Na carteira",IF($J204&lt;TODAY(),"VENCIDA",IF($J204=TODAY(),"Hoje","Programada"))))))</f>
        <v/>
      </c>
    </row>
    <row r="205" customFormat="false" ht="15.75" hidden="false" customHeight="true" outlineLevel="0" collapsed="false">
      <c r="A205" s="28" t="str">
        <f aca="false">IF($E205="","",COUNTA($E$4:$E205))</f>
        <v/>
      </c>
      <c r="B205" s="34"/>
      <c r="C205" s="34"/>
      <c r="D205" s="34"/>
      <c r="E205" s="34"/>
      <c r="F205" s="35"/>
      <c r="G205" s="34"/>
      <c r="H205" s="35"/>
      <c r="I205" s="34"/>
      <c r="J205" s="36"/>
      <c r="K205" s="36"/>
      <c r="L205" s="35"/>
      <c r="M205" s="34"/>
      <c r="N205" s="35"/>
      <c r="O205" s="36"/>
      <c r="P205" s="32" t="str">
        <f aca="false">IF($J205="","",$J205-WEEKDAY($J205,3))</f>
        <v/>
      </c>
      <c r="Q205" s="32" t="str">
        <f aca="false">IF($J205="","",IF($K205="",$J205,$K205))</f>
        <v/>
      </c>
      <c r="R205" s="28" t="str">
        <f aca="false">IF($E205="","",IF(OR($N205&lt;&gt;"Concluída",$O205="",$J205=""),0,IF($O205&lt;=$J205,1,0)))</f>
        <v/>
      </c>
      <c r="S205" s="28" t="str">
        <f aca="false">IF($E205="","",IF(OR($N205&lt;&gt;"Concluída",$O205="",$Q205=""),0,IF($O205&lt;=$Q205,1,0)))</f>
        <v/>
      </c>
      <c r="T205" s="28" t="str">
        <f aca="false">IF(OR($J205="",$N205&lt;&gt;"Concluída",$O205=""),"",MAX(0,$O205-$J205))</f>
        <v/>
      </c>
      <c r="U205" s="33" t="str">
        <f aca="true">IF($E205="","",IF($N205="Cancelada","Cancelada",IF($N205="Concluída",IF($R205=1,"No prazo","Concluída com atraso"),IF($J205="","Na carteira",IF($J205&lt;TODAY(),"VENCIDA",IF($J205=TODAY(),"Hoje","Programada"))))))</f>
        <v/>
      </c>
    </row>
    <row r="206" customFormat="false" ht="15.75" hidden="false" customHeight="true" outlineLevel="0" collapsed="false">
      <c r="A206" s="28" t="str">
        <f aca="false">IF($E206="","",COUNTA($E$4:$E206))</f>
        <v/>
      </c>
      <c r="B206" s="29"/>
      <c r="C206" s="29"/>
      <c r="D206" s="29"/>
      <c r="E206" s="29"/>
      <c r="F206" s="30"/>
      <c r="G206" s="29"/>
      <c r="H206" s="30"/>
      <c r="I206" s="29"/>
      <c r="J206" s="31"/>
      <c r="K206" s="31"/>
      <c r="L206" s="30"/>
      <c r="M206" s="29"/>
      <c r="N206" s="30"/>
      <c r="O206" s="31"/>
      <c r="P206" s="32" t="str">
        <f aca="false">IF($J206="","",$J206-WEEKDAY($J206,3))</f>
        <v/>
      </c>
      <c r="Q206" s="32" t="str">
        <f aca="false">IF($J206="","",IF($K206="",$J206,$K206))</f>
        <v/>
      </c>
      <c r="R206" s="28" t="str">
        <f aca="false">IF($E206="","",IF(OR($N206&lt;&gt;"Concluída",$O206="",$J206=""),0,IF($O206&lt;=$J206,1,0)))</f>
        <v/>
      </c>
      <c r="S206" s="28" t="str">
        <f aca="false">IF($E206="","",IF(OR($N206&lt;&gt;"Concluída",$O206="",$Q206=""),0,IF($O206&lt;=$Q206,1,0)))</f>
        <v/>
      </c>
      <c r="T206" s="28" t="str">
        <f aca="false">IF(OR($J206="",$N206&lt;&gt;"Concluída",$O206=""),"",MAX(0,$O206-$J206))</f>
        <v/>
      </c>
      <c r="U206" s="33" t="str">
        <f aca="true">IF($E206="","",IF($N206="Cancelada","Cancelada",IF($N206="Concluída",IF($R206=1,"No prazo","Concluída com atraso"),IF($J206="","Na carteira",IF($J206&lt;TODAY(),"VENCIDA",IF($J206=TODAY(),"Hoje","Programada"))))))</f>
        <v/>
      </c>
    </row>
    <row r="207" customFormat="false" ht="15.75" hidden="false" customHeight="true" outlineLevel="0" collapsed="false">
      <c r="A207" s="28" t="str">
        <f aca="false">IF($E207="","",COUNTA($E$4:$E207))</f>
        <v/>
      </c>
      <c r="B207" s="34"/>
      <c r="C207" s="34"/>
      <c r="D207" s="34"/>
      <c r="E207" s="34"/>
      <c r="F207" s="35"/>
      <c r="G207" s="34"/>
      <c r="H207" s="35"/>
      <c r="I207" s="34"/>
      <c r="J207" s="36"/>
      <c r="K207" s="36"/>
      <c r="L207" s="35"/>
      <c r="M207" s="34"/>
      <c r="N207" s="35"/>
      <c r="O207" s="36"/>
      <c r="P207" s="32" t="str">
        <f aca="false">IF($J207="","",$J207-WEEKDAY($J207,3))</f>
        <v/>
      </c>
      <c r="Q207" s="32" t="str">
        <f aca="false">IF($J207="","",IF($K207="",$J207,$K207))</f>
        <v/>
      </c>
      <c r="R207" s="28" t="str">
        <f aca="false">IF($E207="","",IF(OR($N207&lt;&gt;"Concluída",$O207="",$J207=""),0,IF($O207&lt;=$J207,1,0)))</f>
        <v/>
      </c>
      <c r="S207" s="28" t="str">
        <f aca="false">IF($E207="","",IF(OR($N207&lt;&gt;"Concluída",$O207="",$Q207=""),0,IF($O207&lt;=$Q207,1,0)))</f>
        <v/>
      </c>
      <c r="T207" s="28" t="str">
        <f aca="false">IF(OR($J207="",$N207&lt;&gt;"Concluída",$O207=""),"",MAX(0,$O207-$J207))</f>
        <v/>
      </c>
      <c r="U207" s="33" t="str">
        <f aca="true">IF($E207="","",IF($N207="Cancelada","Cancelada",IF($N207="Concluída",IF($R207=1,"No prazo","Concluída com atraso"),IF($J207="","Na carteira",IF($J207&lt;TODAY(),"VENCIDA",IF($J207=TODAY(),"Hoje","Programada"))))))</f>
        <v/>
      </c>
    </row>
    <row r="208" customFormat="false" ht="15.75" hidden="false" customHeight="true" outlineLevel="0" collapsed="false">
      <c r="A208" s="28" t="str">
        <f aca="false">IF($E208="","",COUNTA($E$4:$E208))</f>
        <v/>
      </c>
      <c r="B208" s="29"/>
      <c r="C208" s="29"/>
      <c r="D208" s="29"/>
      <c r="E208" s="29"/>
      <c r="F208" s="30"/>
      <c r="G208" s="29"/>
      <c r="H208" s="30"/>
      <c r="I208" s="29"/>
      <c r="J208" s="31"/>
      <c r="K208" s="31"/>
      <c r="L208" s="30"/>
      <c r="M208" s="29"/>
      <c r="N208" s="30"/>
      <c r="O208" s="31"/>
      <c r="P208" s="32" t="str">
        <f aca="false">IF($J208="","",$J208-WEEKDAY($J208,3))</f>
        <v/>
      </c>
      <c r="Q208" s="32" t="str">
        <f aca="false">IF($J208="","",IF($K208="",$J208,$K208))</f>
        <v/>
      </c>
      <c r="R208" s="28" t="str">
        <f aca="false">IF($E208="","",IF(OR($N208&lt;&gt;"Concluída",$O208="",$J208=""),0,IF($O208&lt;=$J208,1,0)))</f>
        <v/>
      </c>
      <c r="S208" s="28" t="str">
        <f aca="false">IF($E208="","",IF(OR($N208&lt;&gt;"Concluída",$O208="",$Q208=""),0,IF($O208&lt;=$Q208,1,0)))</f>
        <v/>
      </c>
      <c r="T208" s="28" t="str">
        <f aca="false">IF(OR($J208="",$N208&lt;&gt;"Concluída",$O208=""),"",MAX(0,$O208-$J208))</f>
        <v/>
      </c>
      <c r="U208" s="33" t="str">
        <f aca="true">IF($E208="","",IF($N208="Cancelada","Cancelada",IF($N208="Concluída",IF($R208=1,"No prazo","Concluída com atraso"),IF($J208="","Na carteira",IF($J208&lt;TODAY(),"VENCIDA",IF($J208=TODAY(),"Hoje","Programada"))))))</f>
        <v/>
      </c>
    </row>
    <row r="209" customFormat="false" ht="15.75" hidden="false" customHeight="true" outlineLevel="0" collapsed="false">
      <c r="A209" s="28" t="str">
        <f aca="false">IF($E209="","",COUNTA($E$4:$E209))</f>
        <v/>
      </c>
      <c r="B209" s="34"/>
      <c r="C209" s="34"/>
      <c r="D209" s="34"/>
      <c r="E209" s="34"/>
      <c r="F209" s="35"/>
      <c r="G209" s="34"/>
      <c r="H209" s="35"/>
      <c r="I209" s="34"/>
      <c r="J209" s="36"/>
      <c r="K209" s="36"/>
      <c r="L209" s="35"/>
      <c r="M209" s="34"/>
      <c r="N209" s="35"/>
      <c r="O209" s="36"/>
      <c r="P209" s="32" t="str">
        <f aca="false">IF($J209="","",$J209-WEEKDAY($J209,3))</f>
        <v/>
      </c>
      <c r="Q209" s="32" t="str">
        <f aca="false">IF($J209="","",IF($K209="",$J209,$K209))</f>
        <v/>
      </c>
      <c r="R209" s="28" t="str">
        <f aca="false">IF($E209="","",IF(OR($N209&lt;&gt;"Concluída",$O209="",$J209=""),0,IF($O209&lt;=$J209,1,0)))</f>
        <v/>
      </c>
      <c r="S209" s="28" t="str">
        <f aca="false">IF($E209="","",IF(OR($N209&lt;&gt;"Concluída",$O209="",$Q209=""),0,IF($O209&lt;=$Q209,1,0)))</f>
        <v/>
      </c>
      <c r="T209" s="28" t="str">
        <f aca="false">IF(OR($J209="",$N209&lt;&gt;"Concluída",$O209=""),"",MAX(0,$O209-$J209))</f>
        <v/>
      </c>
      <c r="U209" s="33" t="str">
        <f aca="true">IF($E209="","",IF($N209="Cancelada","Cancelada",IF($N209="Concluída",IF($R209=1,"No prazo","Concluída com atraso"),IF($J209="","Na carteira",IF($J209&lt;TODAY(),"VENCIDA",IF($J209=TODAY(),"Hoje","Programada"))))))</f>
        <v/>
      </c>
    </row>
    <row r="210" customFormat="false" ht="15.75" hidden="false" customHeight="true" outlineLevel="0" collapsed="false">
      <c r="A210" s="28" t="str">
        <f aca="false">IF($E210="","",COUNTA($E$4:$E210))</f>
        <v/>
      </c>
      <c r="B210" s="29"/>
      <c r="C210" s="29"/>
      <c r="D210" s="29"/>
      <c r="E210" s="29"/>
      <c r="F210" s="30"/>
      <c r="G210" s="29"/>
      <c r="H210" s="30"/>
      <c r="I210" s="29"/>
      <c r="J210" s="31"/>
      <c r="K210" s="31"/>
      <c r="L210" s="30"/>
      <c r="M210" s="29"/>
      <c r="N210" s="30"/>
      <c r="O210" s="31"/>
      <c r="P210" s="32" t="str">
        <f aca="false">IF($J210="","",$J210-WEEKDAY($J210,3))</f>
        <v/>
      </c>
      <c r="Q210" s="32" t="str">
        <f aca="false">IF($J210="","",IF($K210="",$J210,$K210))</f>
        <v/>
      </c>
      <c r="R210" s="28" t="str">
        <f aca="false">IF($E210="","",IF(OR($N210&lt;&gt;"Concluída",$O210="",$J210=""),0,IF($O210&lt;=$J210,1,0)))</f>
        <v/>
      </c>
      <c r="S210" s="28" t="str">
        <f aca="false">IF($E210="","",IF(OR($N210&lt;&gt;"Concluída",$O210="",$Q210=""),0,IF($O210&lt;=$Q210,1,0)))</f>
        <v/>
      </c>
      <c r="T210" s="28" t="str">
        <f aca="false">IF(OR($J210="",$N210&lt;&gt;"Concluída",$O210=""),"",MAX(0,$O210-$J210))</f>
        <v/>
      </c>
      <c r="U210" s="33" t="str">
        <f aca="true">IF($E210="","",IF($N210="Cancelada","Cancelada",IF($N210="Concluída",IF($R210=1,"No prazo","Concluída com atraso"),IF($J210="","Na carteira",IF($J210&lt;TODAY(),"VENCIDA",IF($J210=TODAY(),"Hoje","Programada"))))))</f>
        <v/>
      </c>
    </row>
    <row r="211" customFormat="false" ht="15.75" hidden="false" customHeight="true" outlineLevel="0" collapsed="false">
      <c r="A211" s="28" t="str">
        <f aca="false">IF($E211="","",COUNTA($E$4:$E211))</f>
        <v/>
      </c>
      <c r="B211" s="34"/>
      <c r="C211" s="34"/>
      <c r="D211" s="34"/>
      <c r="E211" s="34"/>
      <c r="F211" s="35"/>
      <c r="G211" s="34"/>
      <c r="H211" s="35"/>
      <c r="I211" s="34"/>
      <c r="J211" s="36"/>
      <c r="K211" s="36"/>
      <c r="L211" s="35"/>
      <c r="M211" s="34"/>
      <c r="N211" s="35"/>
      <c r="O211" s="36"/>
      <c r="P211" s="32" t="str">
        <f aca="false">IF($J211="","",$J211-WEEKDAY($J211,3))</f>
        <v/>
      </c>
      <c r="Q211" s="32" t="str">
        <f aca="false">IF($J211="","",IF($K211="",$J211,$K211))</f>
        <v/>
      </c>
      <c r="R211" s="28" t="str">
        <f aca="false">IF($E211="","",IF(OR($N211&lt;&gt;"Concluída",$O211="",$J211=""),0,IF($O211&lt;=$J211,1,0)))</f>
        <v/>
      </c>
      <c r="S211" s="28" t="str">
        <f aca="false">IF($E211="","",IF(OR($N211&lt;&gt;"Concluída",$O211="",$Q211=""),0,IF($O211&lt;=$Q211,1,0)))</f>
        <v/>
      </c>
      <c r="T211" s="28" t="str">
        <f aca="false">IF(OR($J211="",$N211&lt;&gt;"Concluída",$O211=""),"",MAX(0,$O211-$J211))</f>
        <v/>
      </c>
      <c r="U211" s="33" t="str">
        <f aca="true">IF($E211="","",IF($N211="Cancelada","Cancelada",IF($N211="Concluída",IF($R211=1,"No prazo","Concluída com atraso"),IF($J211="","Na carteira",IF($J211&lt;TODAY(),"VENCIDA",IF($J211=TODAY(),"Hoje","Programada"))))))</f>
        <v/>
      </c>
    </row>
    <row r="212" customFormat="false" ht="15.75" hidden="false" customHeight="true" outlineLevel="0" collapsed="false">
      <c r="A212" s="28" t="str">
        <f aca="false">IF($E212="","",COUNTA($E$4:$E212))</f>
        <v/>
      </c>
      <c r="B212" s="29"/>
      <c r="C212" s="29"/>
      <c r="D212" s="29"/>
      <c r="E212" s="29"/>
      <c r="F212" s="30"/>
      <c r="G212" s="29"/>
      <c r="H212" s="30"/>
      <c r="I212" s="29"/>
      <c r="J212" s="31"/>
      <c r="K212" s="31"/>
      <c r="L212" s="30"/>
      <c r="M212" s="29"/>
      <c r="N212" s="30"/>
      <c r="O212" s="31"/>
      <c r="P212" s="32" t="str">
        <f aca="false">IF($J212="","",$J212-WEEKDAY($J212,3))</f>
        <v/>
      </c>
      <c r="Q212" s="32" t="str">
        <f aca="false">IF($J212="","",IF($K212="",$J212,$K212))</f>
        <v/>
      </c>
      <c r="R212" s="28" t="str">
        <f aca="false">IF($E212="","",IF(OR($N212&lt;&gt;"Concluída",$O212="",$J212=""),0,IF($O212&lt;=$J212,1,0)))</f>
        <v/>
      </c>
      <c r="S212" s="28" t="str">
        <f aca="false">IF($E212="","",IF(OR($N212&lt;&gt;"Concluída",$O212="",$Q212=""),0,IF($O212&lt;=$Q212,1,0)))</f>
        <v/>
      </c>
      <c r="T212" s="28" t="str">
        <f aca="false">IF(OR($J212="",$N212&lt;&gt;"Concluída",$O212=""),"",MAX(0,$O212-$J212))</f>
        <v/>
      </c>
      <c r="U212" s="33" t="str">
        <f aca="true">IF($E212="","",IF($N212="Cancelada","Cancelada",IF($N212="Concluída",IF($R212=1,"No prazo","Concluída com atraso"),IF($J212="","Na carteira",IF($J212&lt;TODAY(),"VENCIDA",IF($J212=TODAY(),"Hoje","Programada"))))))</f>
        <v/>
      </c>
    </row>
    <row r="213" customFormat="false" ht="15.75" hidden="false" customHeight="true" outlineLevel="0" collapsed="false">
      <c r="A213" s="28" t="str">
        <f aca="false">IF($E213="","",COUNTA($E$4:$E213))</f>
        <v/>
      </c>
      <c r="B213" s="34"/>
      <c r="C213" s="34"/>
      <c r="D213" s="34"/>
      <c r="E213" s="34"/>
      <c r="F213" s="35"/>
      <c r="G213" s="34"/>
      <c r="H213" s="35"/>
      <c r="I213" s="34"/>
      <c r="J213" s="36"/>
      <c r="K213" s="36"/>
      <c r="L213" s="35"/>
      <c r="M213" s="34"/>
      <c r="N213" s="35"/>
      <c r="O213" s="36"/>
      <c r="P213" s="32" t="str">
        <f aca="false">IF($J213="","",$J213-WEEKDAY($J213,3))</f>
        <v/>
      </c>
      <c r="Q213" s="32" t="str">
        <f aca="false">IF($J213="","",IF($K213="",$J213,$K213))</f>
        <v/>
      </c>
      <c r="R213" s="28" t="str">
        <f aca="false">IF($E213="","",IF(OR($N213&lt;&gt;"Concluída",$O213="",$J213=""),0,IF($O213&lt;=$J213,1,0)))</f>
        <v/>
      </c>
      <c r="S213" s="28" t="str">
        <f aca="false">IF($E213="","",IF(OR($N213&lt;&gt;"Concluída",$O213="",$Q213=""),0,IF($O213&lt;=$Q213,1,0)))</f>
        <v/>
      </c>
      <c r="T213" s="28" t="str">
        <f aca="false">IF(OR($J213="",$N213&lt;&gt;"Concluída",$O213=""),"",MAX(0,$O213-$J213))</f>
        <v/>
      </c>
      <c r="U213" s="33" t="str">
        <f aca="true">IF($E213="","",IF($N213="Cancelada","Cancelada",IF($N213="Concluída",IF($R213=1,"No prazo","Concluída com atraso"),IF($J213="","Na carteira",IF($J213&lt;TODAY(),"VENCIDA",IF($J213=TODAY(),"Hoje","Programada"))))))</f>
        <v/>
      </c>
    </row>
    <row r="214" customFormat="false" ht="15.75" hidden="false" customHeight="true" outlineLevel="0" collapsed="false">
      <c r="A214" s="28" t="str">
        <f aca="false">IF($E214="","",COUNTA($E$4:$E214))</f>
        <v/>
      </c>
      <c r="B214" s="29"/>
      <c r="C214" s="29"/>
      <c r="D214" s="29"/>
      <c r="E214" s="29"/>
      <c r="F214" s="30"/>
      <c r="G214" s="29"/>
      <c r="H214" s="30"/>
      <c r="I214" s="29"/>
      <c r="J214" s="31"/>
      <c r="K214" s="31"/>
      <c r="L214" s="30"/>
      <c r="M214" s="29"/>
      <c r="N214" s="30"/>
      <c r="O214" s="31"/>
      <c r="P214" s="32" t="str">
        <f aca="false">IF($J214="","",$J214-WEEKDAY($J214,3))</f>
        <v/>
      </c>
      <c r="Q214" s="32" t="str">
        <f aca="false">IF($J214="","",IF($K214="",$J214,$K214))</f>
        <v/>
      </c>
      <c r="R214" s="28" t="str">
        <f aca="false">IF($E214="","",IF(OR($N214&lt;&gt;"Concluída",$O214="",$J214=""),0,IF($O214&lt;=$J214,1,0)))</f>
        <v/>
      </c>
      <c r="S214" s="28" t="str">
        <f aca="false">IF($E214="","",IF(OR($N214&lt;&gt;"Concluída",$O214="",$Q214=""),0,IF($O214&lt;=$Q214,1,0)))</f>
        <v/>
      </c>
      <c r="T214" s="28" t="str">
        <f aca="false">IF(OR($J214="",$N214&lt;&gt;"Concluída",$O214=""),"",MAX(0,$O214-$J214))</f>
        <v/>
      </c>
      <c r="U214" s="33" t="str">
        <f aca="true">IF($E214="","",IF($N214="Cancelada","Cancelada",IF($N214="Concluída",IF($R214=1,"No prazo","Concluída com atraso"),IF($J214="","Na carteira",IF($J214&lt;TODAY(),"VENCIDA",IF($J214=TODAY(),"Hoje","Programada"))))))</f>
        <v/>
      </c>
    </row>
    <row r="215" customFormat="false" ht="15.75" hidden="false" customHeight="true" outlineLevel="0" collapsed="false">
      <c r="A215" s="28" t="str">
        <f aca="false">IF($E215="","",COUNTA($E$4:$E215))</f>
        <v/>
      </c>
      <c r="B215" s="34"/>
      <c r="C215" s="34"/>
      <c r="D215" s="34"/>
      <c r="E215" s="34"/>
      <c r="F215" s="35"/>
      <c r="G215" s="34"/>
      <c r="H215" s="35"/>
      <c r="I215" s="34"/>
      <c r="J215" s="36"/>
      <c r="K215" s="36"/>
      <c r="L215" s="35"/>
      <c r="M215" s="34"/>
      <c r="N215" s="35"/>
      <c r="O215" s="36"/>
      <c r="P215" s="32" t="str">
        <f aca="false">IF($J215="","",$J215-WEEKDAY($J215,3))</f>
        <v/>
      </c>
      <c r="Q215" s="32" t="str">
        <f aca="false">IF($J215="","",IF($K215="",$J215,$K215))</f>
        <v/>
      </c>
      <c r="R215" s="28" t="str">
        <f aca="false">IF($E215="","",IF(OR($N215&lt;&gt;"Concluída",$O215="",$J215=""),0,IF($O215&lt;=$J215,1,0)))</f>
        <v/>
      </c>
      <c r="S215" s="28" t="str">
        <f aca="false">IF($E215="","",IF(OR($N215&lt;&gt;"Concluída",$O215="",$Q215=""),0,IF($O215&lt;=$Q215,1,0)))</f>
        <v/>
      </c>
      <c r="T215" s="28" t="str">
        <f aca="false">IF(OR($J215="",$N215&lt;&gt;"Concluída",$O215=""),"",MAX(0,$O215-$J215))</f>
        <v/>
      </c>
      <c r="U215" s="33" t="str">
        <f aca="true">IF($E215="","",IF($N215="Cancelada","Cancelada",IF($N215="Concluída",IF($R215=1,"No prazo","Concluída com atraso"),IF($J215="","Na carteira",IF($J215&lt;TODAY(),"VENCIDA",IF($J215=TODAY(),"Hoje","Programada"))))))</f>
        <v/>
      </c>
    </row>
    <row r="216" customFormat="false" ht="15.75" hidden="false" customHeight="true" outlineLevel="0" collapsed="false">
      <c r="A216" s="28" t="str">
        <f aca="false">IF($E216="","",COUNTA($E$4:$E216))</f>
        <v/>
      </c>
      <c r="B216" s="29"/>
      <c r="C216" s="29"/>
      <c r="D216" s="29"/>
      <c r="E216" s="29"/>
      <c r="F216" s="30"/>
      <c r="G216" s="29"/>
      <c r="H216" s="30"/>
      <c r="I216" s="29"/>
      <c r="J216" s="31"/>
      <c r="K216" s="31"/>
      <c r="L216" s="30"/>
      <c r="M216" s="29"/>
      <c r="N216" s="30"/>
      <c r="O216" s="31"/>
      <c r="P216" s="32" t="str">
        <f aca="false">IF($J216="","",$J216-WEEKDAY($J216,3))</f>
        <v/>
      </c>
      <c r="Q216" s="32" t="str">
        <f aca="false">IF($J216="","",IF($K216="",$J216,$K216))</f>
        <v/>
      </c>
      <c r="R216" s="28" t="str">
        <f aca="false">IF($E216="","",IF(OR($N216&lt;&gt;"Concluída",$O216="",$J216=""),0,IF($O216&lt;=$J216,1,0)))</f>
        <v/>
      </c>
      <c r="S216" s="28" t="str">
        <f aca="false">IF($E216="","",IF(OR($N216&lt;&gt;"Concluída",$O216="",$Q216=""),0,IF($O216&lt;=$Q216,1,0)))</f>
        <v/>
      </c>
      <c r="T216" s="28" t="str">
        <f aca="false">IF(OR($J216="",$N216&lt;&gt;"Concluída",$O216=""),"",MAX(0,$O216-$J216))</f>
        <v/>
      </c>
      <c r="U216" s="33" t="str">
        <f aca="true">IF($E216="","",IF($N216="Cancelada","Cancelada",IF($N216="Concluída",IF($R216=1,"No prazo","Concluída com atraso"),IF($J216="","Na carteira",IF($J216&lt;TODAY(),"VENCIDA",IF($J216=TODAY(),"Hoje","Programada"))))))</f>
        <v/>
      </c>
    </row>
    <row r="217" customFormat="false" ht="15.75" hidden="false" customHeight="true" outlineLevel="0" collapsed="false">
      <c r="A217" s="28" t="str">
        <f aca="false">IF($E217="","",COUNTA($E$4:$E217))</f>
        <v/>
      </c>
      <c r="B217" s="34"/>
      <c r="C217" s="34"/>
      <c r="D217" s="34"/>
      <c r="E217" s="34"/>
      <c r="F217" s="35"/>
      <c r="G217" s="34"/>
      <c r="H217" s="35"/>
      <c r="I217" s="34"/>
      <c r="J217" s="36"/>
      <c r="K217" s="36"/>
      <c r="L217" s="35"/>
      <c r="M217" s="34"/>
      <c r="N217" s="35"/>
      <c r="O217" s="36"/>
      <c r="P217" s="32" t="str">
        <f aca="false">IF($J217="","",$J217-WEEKDAY($J217,3))</f>
        <v/>
      </c>
      <c r="Q217" s="32" t="str">
        <f aca="false">IF($J217="","",IF($K217="",$J217,$K217))</f>
        <v/>
      </c>
      <c r="R217" s="28" t="str">
        <f aca="false">IF($E217="","",IF(OR($N217&lt;&gt;"Concluída",$O217="",$J217=""),0,IF($O217&lt;=$J217,1,0)))</f>
        <v/>
      </c>
      <c r="S217" s="28" t="str">
        <f aca="false">IF($E217="","",IF(OR($N217&lt;&gt;"Concluída",$O217="",$Q217=""),0,IF($O217&lt;=$Q217,1,0)))</f>
        <v/>
      </c>
      <c r="T217" s="28" t="str">
        <f aca="false">IF(OR($J217="",$N217&lt;&gt;"Concluída",$O217=""),"",MAX(0,$O217-$J217))</f>
        <v/>
      </c>
      <c r="U217" s="33" t="str">
        <f aca="true">IF($E217="","",IF($N217="Cancelada","Cancelada",IF($N217="Concluída",IF($R217=1,"No prazo","Concluída com atraso"),IF($J217="","Na carteira",IF($J217&lt;TODAY(),"VENCIDA",IF($J217=TODAY(),"Hoje","Programada"))))))</f>
        <v/>
      </c>
    </row>
    <row r="218" customFormat="false" ht="15.75" hidden="false" customHeight="true" outlineLevel="0" collapsed="false">
      <c r="A218" s="28" t="str">
        <f aca="false">IF($E218="","",COUNTA($E$4:$E218))</f>
        <v/>
      </c>
      <c r="B218" s="29"/>
      <c r="C218" s="29"/>
      <c r="D218" s="29"/>
      <c r="E218" s="29"/>
      <c r="F218" s="30"/>
      <c r="G218" s="29"/>
      <c r="H218" s="30"/>
      <c r="I218" s="29"/>
      <c r="J218" s="31"/>
      <c r="K218" s="31"/>
      <c r="L218" s="30"/>
      <c r="M218" s="29"/>
      <c r="N218" s="30"/>
      <c r="O218" s="31"/>
      <c r="P218" s="32" t="str">
        <f aca="false">IF($J218="","",$J218-WEEKDAY($J218,3))</f>
        <v/>
      </c>
      <c r="Q218" s="32" t="str">
        <f aca="false">IF($J218="","",IF($K218="",$J218,$K218))</f>
        <v/>
      </c>
      <c r="R218" s="28" t="str">
        <f aca="false">IF($E218="","",IF(OR($N218&lt;&gt;"Concluída",$O218="",$J218=""),0,IF($O218&lt;=$J218,1,0)))</f>
        <v/>
      </c>
      <c r="S218" s="28" t="str">
        <f aca="false">IF($E218="","",IF(OR($N218&lt;&gt;"Concluída",$O218="",$Q218=""),0,IF($O218&lt;=$Q218,1,0)))</f>
        <v/>
      </c>
      <c r="T218" s="28" t="str">
        <f aca="false">IF(OR($J218="",$N218&lt;&gt;"Concluída",$O218=""),"",MAX(0,$O218-$J218))</f>
        <v/>
      </c>
      <c r="U218" s="33" t="str">
        <f aca="true">IF($E218="","",IF($N218="Cancelada","Cancelada",IF($N218="Concluída",IF($R218=1,"No prazo","Concluída com atraso"),IF($J218="","Na carteira",IF($J218&lt;TODAY(),"VENCIDA",IF($J218=TODAY(),"Hoje","Programada"))))))</f>
        <v/>
      </c>
    </row>
    <row r="219" customFormat="false" ht="15.75" hidden="false" customHeight="true" outlineLevel="0" collapsed="false">
      <c r="A219" s="28" t="str">
        <f aca="false">IF($E219="","",COUNTA($E$4:$E219))</f>
        <v/>
      </c>
      <c r="B219" s="34"/>
      <c r="C219" s="34"/>
      <c r="D219" s="34"/>
      <c r="E219" s="34"/>
      <c r="F219" s="35"/>
      <c r="G219" s="34"/>
      <c r="H219" s="35"/>
      <c r="I219" s="34"/>
      <c r="J219" s="36"/>
      <c r="K219" s="36"/>
      <c r="L219" s="35"/>
      <c r="M219" s="34"/>
      <c r="N219" s="35"/>
      <c r="O219" s="36"/>
      <c r="P219" s="32" t="str">
        <f aca="false">IF($J219="","",$J219-WEEKDAY($J219,3))</f>
        <v/>
      </c>
      <c r="Q219" s="32" t="str">
        <f aca="false">IF($J219="","",IF($K219="",$J219,$K219))</f>
        <v/>
      </c>
      <c r="R219" s="28" t="str">
        <f aca="false">IF($E219="","",IF(OR($N219&lt;&gt;"Concluída",$O219="",$J219=""),0,IF($O219&lt;=$J219,1,0)))</f>
        <v/>
      </c>
      <c r="S219" s="28" t="str">
        <f aca="false">IF($E219="","",IF(OR($N219&lt;&gt;"Concluída",$O219="",$Q219=""),0,IF($O219&lt;=$Q219,1,0)))</f>
        <v/>
      </c>
      <c r="T219" s="28" t="str">
        <f aca="false">IF(OR($J219="",$N219&lt;&gt;"Concluída",$O219=""),"",MAX(0,$O219-$J219))</f>
        <v/>
      </c>
      <c r="U219" s="33" t="str">
        <f aca="true">IF($E219="","",IF($N219="Cancelada","Cancelada",IF($N219="Concluída",IF($R219=1,"No prazo","Concluída com atraso"),IF($J219="","Na carteira",IF($J219&lt;TODAY(),"VENCIDA",IF($J219=TODAY(),"Hoje","Programada"))))))</f>
        <v/>
      </c>
    </row>
    <row r="220" customFormat="false" ht="15.75" hidden="false" customHeight="true" outlineLevel="0" collapsed="false">
      <c r="A220" s="28" t="str">
        <f aca="false">IF($E220="","",COUNTA($E$4:$E220))</f>
        <v/>
      </c>
      <c r="B220" s="29"/>
      <c r="C220" s="29"/>
      <c r="D220" s="29"/>
      <c r="E220" s="29"/>
      <c r="F220" s="30"/>
      <c r="G220" s="29"/>
      <c r="H220" s="30"/>
      <c r="I220" s="29"/>
      <c r="J220" s="31"/>
      <c r="K220" s="31"/>
      <c r="L220" s="30"/>
      <c r="M220" s="29"/>
      <c r="N220" s="30"/>
      <c r="O220" s="31"/>
      <c r="P220" s="32" t="str">
        <f aca="false">IF($J220="","",$J220-WEEKDAY($J220,3))</f>
        <v/>
      </c>
      <c r="Q220" s="32" t="str">
        <f aca="false">IF($J220="","",IF($K220="",$J220,$K220))</f>
        <v/>
      </c>
      <c r="R220" s="28" t="str">
        <f aca="false">IF($E220="","",IF(OR($N220&lt;&gt;"Concluída",$O220="",$J220=""),0,IF($O220&lt;=$J220,1,0)))</f>
        <v/>
      </c>
      <c r="S220" s="28" t="str">
        <f aca="false">IF($E220="","",IF(OR($N220&lt;&gt;"Concluída",$O220="",$Q220=""),0,IF($O220&lt;=$Q220,1,0)))</f>
        <v/>
      </c>
      <c r="T220" s="28" t="str">
        <f aca="false">IF(OR($J220="",$N220&lt;&gt;"Concluída",$O220=""),"",MAX(0,$O220-$J220))</f>
        <v/>
      </c>
      <c r="U220" s="33" t="str">
        <f aca="true">IF($E220="","",IF($N220="Cancelada","Cancelada",IF($N220="Concluída",IF($R220=1,"No prazo","Concluída com atraso"),IF($J220="","Na carteira",IF($J220&lt;TODAY(),"VENCIDA",IF($J220=TODAY(),"Hoje","Programada"))))))</f>
        <v/>
      </c>
    </row>
    <row r="221" customFormat="false" ht="15.75" hidden="false" customHeight="true" outlineLevel="0" collapsed="false">
      <c r="A221" s="28" t="str">
        <f aca="false">IF($E221="","",COUNTA($E$4:$E221))</f>
        <v/>
      </c>
      <c r="B221" s="34"/>
      <c r="C221" s="34"/>
      <c r="D221" s="34"/>
      <c r="E221" s="34"/>
      <c r="F221" s="35"/>
      <c r="G221" s="34"/>
      <c r="H221" s="35"/>
      <c r="I221" s="34"/>
      <c r="J221" s="36"/>
      <c r="K221" s="36"/>
      <c r="L221" s="35"/>
      <c r="M221" s="34"/>
      <c r="N221" s="35"/>
      <c r="O221" s="36"/>
      <c r="P221" s="32" t="str">
        <f aca="false">IF($J221="","",$J221-WEEKDAY($J221,3))</f>
        <v/>
      </c>
      <c r="Q221" s="32" t="str">
        <f aca="false">IF($J221="","",IF($K221="",$J221,$K221))</f>
        <v/>
      </c>
      <c r="R221" s="28" t="str">
        <f aca="false">IF($E221="","",IF(OR($N221&lt;&gt;"Concluída",$O221="",$J221=""),0,IF($O221&lt;=$J221,1,0)))</f>
        <v/>
      </c>
      <c r="S221" s="28" t="str">
        <f aca="false">IF($E221="","",IF(OR($N221&lt;&gt;"Concluída",$O221="",$Q221=""),0,IF($O221&lt;=$Q221,1,0)))</f>
        <v/>
      </c>
      <c r="T221" s="28" t="str">
        <f aca="false">IF(OR($J221="",$N221&lt;&gt;"Concluída",$O221=""),"",MAX(0,$O221-$J221))</f>
        <v/>
      </c>
      <c r="U221" s="33" t="str">
        <f aca="true">IF($E221="","",IF($N221="Cancelada","Cancelada",IF($N221="Concluída",IF($R221=1,"No prazo","Concluída com atraso"),IF($J221="","Na carteira",IF($J221&lt;TODAY(),"VENCIDA",IF($J221=TODAY(),"Hoje","Programada"))))))</f>
        <v/>
      </c>
    </row>
    <row r="222" customFormat="false" ht="15.75" hidden="false" customHeight="true" outlineLevel="0" collapsed="false">
      <c r="A222" s="28" t="str">
        <f aca="false">IF($E222="","",COUNTA($E$4:$E222))</f>
        <v/>
      </c>
      <c r="B222" s="29"/>
      <c r="C222" s="29"/>
      <c r="D222" s="29"/>
      <c r="E222" s="29"/>
      <c r="F222" s="30"/>
      <c r="G222" s="29"/>
      <c r="H222" s="30"/>
      <c r="I222" s="29"/>
      <c r="J222" s="31"/>
      <c r="K222" s="31"/>
      <c r="L222" s="30"/>
      <c r="M222" s="29"/>
      <c r="N222" s="30"/>
      <c r="O222" s="31"/>
      <c r="P222" s="32" t="str">
        <f aca="false">IF($J222="","",$J222-WEEKDAY($J222,3))</f>
        <v/>
      </c>
      <c r="Q222" s="32" t="str">
        <f aca="false">IF($J222="","",IF($K222="",$J222,$K222))</f>
        <v/>
      </c>
      <c r="R222" s="28" t="str">
        <f aca="false">IF($E222="","",IF(OR($N222&lt;&gt;"Concluída",$O222="",$J222=""),0,IF($O222&lt;=$J222,1,0)))</f>
        <v/>
      </c>
      <c r="S222" s="28" t="str">
        <f aca="false">IF($E222="","",IF(OR($N222&lt;&gt;"Concluída",$O222="",$Q222=""),0,IF($O222&lt;=$Q222,1,0)))</f>
        <v/>
      </c>
      <c r="T222" s="28" t="str">
        <f aca="false">IF(OR($J222="",$N222&lt;&gt;"Concluída",$O222=""),"",MAX(0,$O222-$J222))</f>
        <v/>
      </c>
      <c r="U222" s="33" t="str">
        <f aca="true">IF($E222="","",IF($N222="Cancelada","Cancelada",IF($N222="Concluída",IF($R222=1,"No prazo","Concluída com atraso"),IF($J222="","Na carteira",IF($J222&lt;TODAY(),"VENCIDA",IF($J222=TODAY(),"Hoje","Programada"))))))</f>
        <v/>
      </c>
    </row>
    <row r="223" customFormat="false" ht="15.75" hidden="false" customHeight="true" outlineLevel="0" collapsed="false">
      <c r="A223" s="28" t="str">
        <f aca="false">IF($E223="","",COUNTA($E$4:$E223))</f>
        <v/>
      </c>
      <c r="B223" s="34"/>
      <c r="C223" s="34"/>
      <c r="D223" s="34"/>
      <c r="E223" s="34"/>
      <c r="F223" s="35"/>
      <c r="G223" s="34"/>
      <c r="H223" s="35"/>
      <c r="I223" s="34"/>
      <c r="J223" s="36"/>
      <c r="K223" s="36"/>
      <c r="L223" s="35"/>
      <c r="M223" s="34"/>
      <c r="N223" s="35"/>
      <c r="O223" s="36"/>
      <c r="P223" s="32" t="str">
        <f aca="false">IF($J223="","",$J223-WEEKDAY($J223,3))</f>
        <v/>
      </c>
      <c r="Q223" s="32" t="str">
        <f aca="false">IF($J223="","",IF($K223="",$J223,$K223))</f>
        <v/>
      </c>
      <c r="R223" s="28" t="str">
        <f aca="false">IF($E223="","",IF(OR($N223&lt;&gt;"Concluída",$O223="",$J223=""),0,IF($O223&lt;=$J223,1,0)))</f>
        <v/>
      </c>
      <c r="S223" s="28" t="str">
        <f aca="false">IF($E223="","",IF(OR($N223&lt;&gt;"Concluída",$O223="",$Q223=""),0,IF($O223&lt;=$Q223,1,0)))</f>
        <v/>
      </c>
      <c r="T223" s="28" t="str">
        <f aca="false">IF(OR($J223="",$N223&lt;&gt;"Concluída",$O223=""),"",MAX(0,$O223-$J223))</f>
        <v/>
      </c>
      <c r="U223" s="33" t="str">
        <f aca="true">IF($E223="","",IF($N223="Cancelada","Cancelada",IF($N223="Concluída",IF($R223=1,"No prazo","Concluída com atraso"),IF($J223="","Na carteira",IF($J223&lt;TODAY(),"VENCIDA",IF($J223=TODAY(),"Hoje","Programada"))))))</f>
        <v/>
      </c>
    </row>
    <row r="224" customFormat="false" ht="15.75" hidden="false" customHeight="true" outlineLevel="0" collapsed="false">
      <c r="A224" s="28" t="str">
        <f aca="false">IF($E224="","",COUNTA($E$4:$E224))</f>
        <v/>
      </c>
      <c r="B224" s="29"/>
      <c r="C224" s="29"/>
      <c r="D224" s="29"/>
      <c r="E224" s="29"/>
      <c r="F224" s="30"/>
      <c r="G224" s="29"/>
      <c r="H224" s="30"/>
      <c r="I224" s="29"/>
      <c r="J224" s="31"/>
      <c r="K224" s="31"/>
      <c r="L224" s="30"/>
      <c r="M224" s="29"/>
      <c r="N224" s="30"/>
      <c r="O224" s="31"/>
      <c r="P224" s="32" t="str">
        <f aca="false">IF($J224="","",$J224-WEEKDAY($J224,3))</f>
        <v/>
      </c>
      <c r="Q224" s="32" t="str">
        <f aca="false">IF($J224="","",IF($K224="",$J224,$K224))</f>
        <v/>
      </c>
      <c r="R224" s="28" t="str">
        <f aca="false">IF($E224="","",IF(OR($N224&lt;&gt;"Concluída",$O224="",$J224=""),0,IF($O224&lt;=$J224,1,0)))</f>
        <v/>
      </c>
      <c r="S224" s="28" t="str">
        <f aca="false">IF($E224="","",IF(OR($N224&lt;&gt;"Concluída",$O224="",$Q224=""),0,IF($O224&lt;=$Q224,1,0)))</f>
        <v/>
      </c>
      <c r="T224" s="28" t="str">
        <f aca="false">IF(OR($J224="",$N224&lt;&gt;"Concluída",$O224=""),"",MAX(0,$O224-$J224))</f>
        <v/>
      </c>
      <c r="U224" s="33" t="str">
        <f aca="true">IF($E224="","",IF($N224="Cancelada","Cancelada",IF($N224="Concluída",IF($R224=1,"No prazo","Concluída com atraso"),IF($J224="","Na carteira",IF($J224&lt;TODAY(),"VENCIDA",IF($J224=TODAY(),"Hoje","Programada"))))))</f>
        <v/>
      </c>
    </row>
    <row r="225" customFormat="false" ht="15.75" hidden="false" customHeight="true" outlineLevel="0" collapsed="false">
      <c r="A225" s="28" t="str">
        <f aca="false">IF($E225="","",COUNTA($E$4:$E225))</f>
        <v/>
      </c>
      <c r="B225" s="34"/>
      <c r="C225" s="34"/>
      <c r="D225" s="34"/>
      <c r="E225" s="34"/>
      <c r="F225" s="35"/>
      <c r="G225" s="34"/>
      <c r="H225" s="35"/>
      <c r="I225" s="34"/>
      <c r="J225" s="36"/>
      <c r="K225" s="36"/>
      <c r="L225" s="35"/>
      <c r="M225" s="34"/>
      <c r="N225" s="35"/>
      <c r="O225" s="36"/>
      <c r="P225" s="32" t="str">
        <f aca="false">IF($J225="","",$J225-WEEKDAY($J225,3))</f>
        <v/>
      </c>
      <c r="Q225" s="32" t="str">
        <f aca="false">IF($J225="","",IF($K225="",$J225,$K225))</f>
        <v/>
      </c>
      <c r="R225" s="28" t="str">
        <f aca="false">IF($E225="","",IF(OR($N225&lt;&gt;"Concluída",$O225="",$J225=""),0,IF($O225&lt;=$J225,1,0)))</f>
        <v/>
      </c>
      <c r="S225" s="28" t="str">
        <f aca="false">IF($E225="","",IF(OR($N225&lt;&gt;"Concluída",$O225="",$Q225=""),0,IF($O225&lt;=$Q225,1,0)))</f>
        <v/>
      </c>
      <c r="T225" s="28" t="str">
        <f aca="false">IF(OR($J225="",$N225&lt;&gt;"Concluída",$O225=""),"",MAX(0,$O225-$J225))</f>
        <v/>
      </c>
      <c r="U225" s="33" t="str">
        <f aca="true">IF($E225="","",IF($N225="Cancelada","Cancelada",IF($N225="Concluída",IF($R225=1,"No prazo","Concluída com atraso"),IF($J225="","Na carteira",IF($J225&lt;TODAY(),"VENCIDA",IF($J225=TODAY(),"Hoje","Programada"))))))</f>
        <v/>
      </c>
    </row>
    <row r="226" customFormat="false" ht="15.75" hidden="false" customHeight="true" outlineLevel="0" collapsed="false">
      <c r="A226" s="28" t="str">
        <f aca="false">IF($E226="","",COUNTA($E$4:$E226))</f>
        <v/>
      </c>
      <c r="B226" s="29"/>
      <c r="C226" s="29"/>
      <c r="D226" s="29"/>
      <c r="E226" s="29"/>
      <c r="F226" s="30"/>
      <c r="G226" s="29"/>
      <c r="H226" s="30"/>
      <c r="I226" s="29"/>
      <c r="J226" s="31"/>
      <c r="K226" s="31"/>
      <c r="L226" s="30"/>
      <c r="M226" s="29"/>
      <c r="N226" s="30"/>
      <c r="O226" s="31"/>
      <c r="P226" s="32" t="str">
        <f aca="false">IF($J226="","",$J226-WEEKDAY($J226,3))</f>
        <v/>
      </c>
      <c r="Q226" s="32" t="str">
        <f aca="false">IF($J226="","",IF($K226="",$J226,$K226))</f>
        <v/>
      </c>
      <c r="R226" s="28" t="str">
        <f aca="false">IF($E226="","",IF(OR($N226&lt;&gt;"Concluída",$O226="",$J226=""),0,IF($O226&lt;=$J226,1,0)))</f>
        <v/>
      </c>
      <c r="S226" s="28" t="str">
        <f aca="false">IF($E226="","",IF(OR($N226&lt;&gt;"Concluída",$O226="",$Q226=""),0,IF($O226&lt;=$Q226,1,0)))</f>
        <v/>
      </c>
      <c r="T226" s="28" t="str">
        <f aca="false">IF(OR($J226="",$N226&lt;&gt;"Concluída",$O226=""),"",MAX(0,$O226-$J226))</f>
        <v/>
      </c>
      <c r="U226" s="33" t="str">
        <f aca="true">IF($E226="","",IF($N226="Cancelada","Cancelada",IF($N226="Concluída",IF($R226=1,"No prazo","Concluída com atraso"),IF($J226="","Na carteira",IF($J226&lt;TODAY(),"VENCIDA",IF($J226=TODAY(),"Hoje","Programada"))))))</f>
        <v/>
      </c>
    </row>
    <row r="227" customFormat="false" ht="15.75" hidden="false" customHeight="true" outlineLevel="0" collapsed="false">
      <c r="A227" s="28" t="str">
        <f aca="false">IF($E227="","",COUNTA($E$4:$E227))</f>
        <v/>
      </c>
      <c r="B227" s="34"/>
      <c r="C227" s="34"/>
      <c r="D227" s="34"/>
      <c r="E227" s="34"/>
      <c r="F227" s="35"/>
      <c r="G227" s="34"/>
      <c r="H227" s="35"/>
      <c r="I227" s="34"/>
      <c r="J227" s="36"/>
      <c r="K227" s="36"/>
      <c r="L227" s="35"/>
      <c r="M227" s="34"/>
      <c r="N227" s="35"/>
      <c r="O227" s="36"/>
      <c r="P227" s="32" t="str">
        <f aca="false">IF($J227="","",$J227-WEEKDAY($J227,3))</f>
        <v/>
      </c>
      <c r="Q227" s="32" t="str">
        <f aca="false">IF($J227="","",IF($K227="",$J227,$K227))</f>
        <v/>
      </c>
      <c r="R227" s="28" t="str">
        <f aca="false">IF($E227="","",IF(OR($N227&lt;&gt;"Concluída",$O227="",$J227=""),0,IF($O227&lt;=$J227,1,0)))</f>
        <v/>
      </c>
      <c r="S227" s="28" t="str">
        <f aca="false">IF($E227="","",IF(OR($N227&lt;&gt;"Concluída",$O227="",$Q227=""),0,IF($O227&lt;=$Q227,1,0)))</f>
        <v/>
      </c>
      <c r="T227" s="28" t="str">
        <f aca="false">IF(OR($J227="",$N227&lt;&gt;"Concluída",$O227=""),"",MAX(0,$O227-$J227))</f>
        <v/>
      </c>
      <c r="U227" s="33" t="str">
        <f aca="true">IF($E227="","",IF($N227="Cancelada","Cancelada",IF($N227="Concluída",IF($R227=1,"No prazo","Concluída com atraso"),IF($J227="","Na carteira",IF($J227&lt;TODAY(),"VENCIDA",IF($J227=TODAY(),"Hoje","Programada"))))))</f>
        <v/>
      </c>
    </row>
    <row r="228" customFormat="false" ht="15.75" hidden="false" customHeight="true" outlineLevel="0" collapsed="false">
      <c r="A228" s="28" t="str">
        <f aca="false">IF($E228="","",COUNTA($E$4:$E228))</f>
        <v/>
      </c>
      <c r="B228" s="29"/>
      <c r="C228" s="29"/>
      <c r="D228" s="29"/>
      <c r="E228" s="29"/>
      <c r="F228" s="30"/>
      <c r="G228" s="29"/>
      <c r="H228" s="30"/>
      <c r="I228" s="29"/>
      <c r="J228" s="31"/>
      <c r="K228" s="31"/>
      <c r="L228" s="30"/>
      <c r="M228" s="29"/>
      <c r="N228" s="30"/>
      <c r="O228" s="31"/>
      <c r="P228" s="32" t="str">
        <f aca="false">IF($J228="","",$J228-WEEKDAY($J228,3))</f>
        <v/>
      </c>
      <c r="Q228" s="32" t="str">
        <f aca="false">IF($J228="","",IF($K228="",$J228,$K228))</f>
        <v/>
      </c>
      <c r="R228" s="28" t="str">
        <f aca="false">IF($E228="","",IF(OR($N228&lt;&gt;"Concluída",$O228="",$J228=""),0,IF($O228&lt;=$J228,1,0)))</f>
        <v/>
      </c>
      <c r="S228" s="28" t="str">
        <f aca="false">IF($E228="","",IF(OR($N228&lt;&gt;"Concluída",$O228="",$Q228=""),0,IF($O228&lt;=$Q228,1,0)))</f>
        <v/>
      </c>
      <c r="T228" s="28" t="str">
        <f aca="false">IF(OR($J228="",$N228&lt;&gt;"Concluída",$O228=""),"",MAX(0,$O228-$J228))</f>
        <v/>
      </c>
      <c r="U228" s="33" t="str">
        <f aca="true">IF($E228="","",IF($N228="Cancelada","Cancelada",IF($N228="Concluída",IF($R228=1,"No prazo","Concluída com atraso"),IF($J228="","Na carteira",IF($J228&lt;TODAY(),"VENCIDA",IF($J228=TODAY(),"Hoje","Programada"))))))</f>
        <v/>
      </c>
    </row>
    <row r="229" customFormat="false" ht="15.75" hidden="false" customHeight="true" outlineLevel="0" collapsed="false">
      <c r="A229" s="28" t="str">
        <f aca="false">IF($E229="","",COUNTA($E$4:$E229))</f>
        <v/>
      </c>
      <c r="B229" s="34"/>
      <c r="C229" s="34"/>
      <c r="D229" s="34"/>
      <c r="E229" s="34"/>
      <c r="F229" s="35"/>
      <c r="G229" s="34"/>
      <c r="H229" s="35"/>
      <c r="I229" s="34"/>
      <c r="J229" s="36"/>
      <c r="K229" s="36"/>
      <c r="L229" s="35"/>
      <c r="M229" s="34"/>
      <c r="N229" s="35"/>
      <c r="O229" s="36"/>
      <c r="P229" s="32" t="str">
        <f aca="false">IF($J229="","",$J229-WEEKDAY($J229,3))</f>
        <v/>
      </c>
      <c r="Q229" s="32" t="str">
        <f aca="false">IF($J229="","",IF($K229="",$J229,$K229))</f>
        <v/>
      </c>
      <c r="R229" s="28" t="str">
        <f aca="false">IF($E229="","",IF(OR($N229&lt;&gt;"Concluída",$O229="",$J229=""),0,IF($O229&lt;=$J229,1,0)))</f>
        <v/>
      </c>
      <c r="S229" s="28" t="str">
        <f aca="false">IF($E229="","",IF(OR($N229&lt;&gt;"Concluída",$O229="",$Q229=""),0,IF($O229&lt;=$Q229,1,0)))</f>
        <v/>
      </c>
      <c r="T229" s="28" t="str">
        <f aca="false">IF(OR($J229="",$N229&lt;&gt;"Concluída",$O229=""),"",MAX(0,$O229-$J229))</f>
        <v/>
      </c>
      <c r="U229" s="33" t="str">
        <f aca="true">IF($E229="","",IF($N229="Cancelada","Cancelada",IF($N229="Concluída",IF($R229=1,"No prazo","Concluída com atraso"),IF($J229="","Na carteira",IF($J229&lt;TODAY(),"VENCIDA",IF($J229=TODAY(),"Hoje","Programada"))))))</f>
        <v/>
      </c>
    </row>
    <row r="230" customFormat="false" ht="15.75" hidden="false" customHeight="true" outlineLevel="0" collapsed="false">
      <c r="A230" s="28" t="str">
        <f aca="false">IF($E230="","",COUNTA($E$4:$E230))</f>
        <v/>
      </c>
      <c r="B230" s="29"/>
      <c r="C230" s="29"/>
      <c r="D230" s="29"/>
      <c r="E230" s="29"/>
      <c r="F230" s="30"/>
      <c r="G230" s="29"/>
      <c r="H230" s="30"/>
      <c r="I230" s="29"/>
      <c r="J230" s="31"/>
      <c r="K230" s="31"/>
      <c r="L230" s="30"/>
      <c r="M230" s="29"/>
      <c r="N230" s="30"/>
      <c r="O230" s="31"/>
      <c r="P230" s="32" t="str">
        <f aca="false">IF($J230="","",$J230-WEEKDAY($J230,3))</f>
        <v/>
      </c>
      <c r="Q230" s="32" t="str">
        <f aca="false">IF($J230="","",IF($K230="",$J230,$K230))</f>
        <v/>
      </c>
      <c r="R230" s="28" t="str">
        <f aca="false">IF($E230="","",IF(OR($N230&lt;&gt;"Concluída",$O230="",$J230=""),0,IF($O230&lt;=$J230,1,0)))</f>
        <v/>
      </c>
      <c r="S230" s="28" t="str">
        <f aca="false">IF($E230="","",IF(OR($N230&lt;&gt;"Concluída",$O230="",$Q230=""),0,IF($O230&lt;=$Q230,1,0)))</f>
        <v/>
      </c>
      <c r="T230" s="28" t="str">
        <f aca="false">IF(OR($J230="",$N230&lt;&gt;"Concluída",$O230=""),"",MAX(0,$O230-$J230))</f>
        <v/>
      </c>
      <c r="U230" s="33" t="str">
        <f aca="true">IF($E230="","",IF($N230="Cancelada","Cancelada",IF($N230="Concluída",IF($R230=1,"No prazo","Concluída com atraso"),IF($J230="","Na carteira",IF($J230&lt;TODAY(),"VENCIDA",IF($J230=TODAY(),"Hoje","Programada"))))))</f>
        <v/>
      </c>
    </row>
    <row r="231" customFormat="false" ht="15.75" hidden="false" customHeight="true" outlineLevel="0" collapsed="false">
      <c r="A231" s="28" t="str">
        <f aca="false">IF($E231="","",COUNTA($E$4:$E231))</f>
        <v/>
      </c>
      <c r="B231" s="34"/>
      <c r="C231" s="34"/>
      <c r="D231" s="34"/>
      <c r="E231" s="34"/>
      <c r="F231" s="35"/>
      <c r="G231" s="34"/>
      <c r="H231" s="35"/>
      <c r="I231" s="34"/>
      <c r="J231" s="36"/>
      <c r="K231" s="36"/>
      <c r="L231" s="35"/>
      <c r="M231" s="34"/>
      <c r="N231" s="35"/>
      <c r="O231" s="36"/>
      <c r="P231" s="32" t="str">
        <f aca="false">IF($J231="","",$J231-WEEKDAY($J231,3))</f>
        <v/>
      </c>
      <c r="Q231" s="32" t="str">
        <f aca="false">IF($J231="","",IF($K231="",$J231,$K231))</f>
        <v/>
      </c>
      <c r="R231" s="28" t="str">
        <f aca="false">IF($E231="","",IF(OR($N231&lt;&gt;"Concluída",$O231="",$J231=""),0,IF($O231&lt;=$J231,1,0)))</f>
        <v/>
      </c>
      <c r="S231" s="28" t="str">
        <f aca="false">IF($E231="","",IF(OR($N231&lt;&gt;"Concluída",$O231="",$Q231=""),0,IF($O231&lt;=$Q231,1,0)))</f>
        <v/>
      </c>
      <c r="T231" s="28" t="str">
        <f aca="false">IF(OR($J231="",$N231&lt;&gt;"Concluída",$O231=""),"",MAX(0,$O231-$J231))</f>
        <v/>
      </c>
      <c r="U231" s="33" t="str">
        <f aca="true">IF($E231="","",IF($N231="Cancelada","Cancelada",IF($N231="Concluída",IF($R231=1,"No prazo","Concluída com atraso"),IF($J231="","Na carteira",IF($J231&lt;TODAY(),"VENCIDA",IF($J231=TODAY(),"Hoje","Programada"))))))</f>
        <v/>
      </c>
    </row>
    <row r="232" customFormat="false" ht="15.75" hidden="false" customHeight="true" outlineLevel="0" collapsed="false">
      <c r="A232" s="28" t="str">
        <f aca="false">IF($E232="","",COUNTA($E$4:$E232))</f>
        <v/>
      </c>
      <c r="B232" s="29"/>
      <c r="C232" s="29"/>
      <c r="D232" s="29"/>
      <c r="E232" s="29"/>
      <c r="F232" s="30"/>
      <c r="G232" s="29"/>
      <c r="H232" s="30"/>
      <c r="I232" s="29"/>
      <c r="J232" s="31"/>
      <c r="K232" s="31"/>
      <c r="L232" s="30"/>
      <c r="M232" s="29"/>
      <c r="N232" s="30"/>
      <c r="O232" s="31"/>
      <c r="P232" s="32" t="str">
        <f aca="false">IF($J232="","",$J232-WEEKDAY($J232,3))</f>
        <v/>
      </c>
      <c r="Q232" s="32" t="str">
        <f aca="false">IF($J232="","",IF($K232="",$J232,$K232))</f>
        <v/>
      </c>
      <c r="R232" s="28" t="str">
        <f aca="false">IF($E232="","",IF(OR($N232&lt;&gt;"Concluída",$O232="",$J232=""),0,IF($O232&lt;=$J232,1,0)))</f>
        <v/>
      </c>
      <c r="S232" s="28" t="str">
        <f aca="false">IF($E232="","",IF(OR($N232&lt;&gt;"Concluída",$O232="",$Q232=""),0,IF($O232&lt;=$Q232,1,0)))</f>
        <v/>
      </c>
      <c r="T232" s="28" t="str">
        <f aca="false">IF(OR($J232="",$N232&lt;&gt;"Concluída",$O232=""),"",MAX(0,$O232-$J232))</f>
        <v/>
      </c>
      <c r="U232" s="33" t="str">
        <f aca="true">IF($E232="","",IF($N232="Cancelada","Cancelada",IF($N232="Concluída",IF($R232=1,"No prazo","Concluída com atraso"),IF($J232="","Na carteira",IF($J232&lt;TODAY(),"VENCIDA",IF($J232=TODAY(),"Hoje","Programada"))))))</f>
        <v/>
      </c>
    </row>
    <row r="233" customFormat="false" ht="15.75" hidden="false" customHeight="true" outlineLevel="0" collapsed="false">
      <c r="A233" s="28" t="str">
        <f aca="false">IF($E233="","",COUNTA($E$4:$E233))</f>
        <v/>
      </c>
      <c r="B233" s="34"/>
      <c r="C233" s="34"/>
      <c r="D233" s="34"/>
      <c r="E233" s="34"/>
      <c r="F233" s="35"/>
      <c r="G233" s="34"/>
      <c r="H233" s="35"/>
      <c r="I233" s="34"/>
      <c r="J233" s="36"/>
      <c r="K233" s="36"/>
      <c r="L233" s="35"/>
      <c r="M233" s="34"/>
      <c r="N233" s="35"/>
      <c r="O233" s="36"/>
      <c r="P233" s="32" t="str">
        <f aca="false">IF($J233="","",$J233-WEEKDAY($J233,3))</f>
        <v/>
      </c>
      <c r="Q233" s="32" t="str">
        <f aca="false">IF($J233="","",IF($K233="",$J233,$K233))</f>
        <v/>
      </c>
      <c r="R233" s="28" t="str">
        <f aca="false">IF($E233="","",IF(OR($N233&lt;&gt;"Concluída",$O233="",$J233=""),0,IF($O233&lt;=$J233,1,0)))</f>
        <v/>
      </c>
      <c r="S233" s="28" t="str">
        <f aca="false">IF($E233="","",IF(OR($N233&lt;&gt;"Concluída",$O233="",$Q233=""),0,IF($O233&lt;=$Q233,1,0)))</f>
        <v/>
      </c>
      <c r="T233" s="28" t="str">
        <f aca="false">IF(OR($J233="",$N233&lt;&gt;"Concluída",$O233=""),"",MAX(0,$O233-$J233))</f>
        <v/>
      </c>
      <c r="U233" s="33" t="str">
        <f aca="true">IF($E233="","",IF($N233="Cancelada","Cancelada",IF($N233="Concluída",IF($R233=1,"No prazo","Concluída com atraso"),IF($J233="","Na carteira",IF($J233&lt;TODAY(),"VENCIDA",IF($J233=TODAY(),"Hoje","Programada"))))))</f>
        <v/>
      </c>
    </row>
    <row r="234" customFormat="false" ht="15.75" hidden="false" customHeight="true" outlineLevel="0" collapsed="false">
      <c r="A234" s="28" t="str">
        <f aca="false">IF($E234="","",COUNTA($E$4:$E234))</f>
        <v/>
      </c>
      <c r="B234" s="29"/>
      <c r="C234" s="29"/>
      <c r="D234" s="29"/>
      <c r="E234" s="29"/>
      <c r="F234" s="30"/>
      <c r="G234" s="29"/>
      <c r="H234" s="30"/>
      <c r="I234" s="29"/>
      <c r="J234" s="31"/>
      <c r="K234" s="31"/>
      <c r="L234" s="30"/>
      <c r="M234" s="29"/>
      <c r="N234" s="30"/>
      <c r="O234" s="31"/>
      <c r="P234" s="32" t="str">
        <f aca="false">IF($J234="","",$J234-WEEKDAY($J234,3))</f>
        <v/>
      </c>
      <c r="Q234" s="32" t="str">
        <f aca="false">IF($J234="","",IF($K234="",$J234,$K234))</f>
        <v/>
      </c>
      <c r="R234" s="28" t="str">
        <f aca="false">IF($E234="","",IF(OR($N234&lt;&gt;"Concluída",$O234="",$J234=""),0,IF($O234&lt;=$J234,1,0)))</f>
        <v/>
      </c>
      <c r="S234" s="28" t="str">
        <f aca="false">IF($E234="","",IF(OR($N234&lt;&gt;"Concluída",$O234="",$Q234=""),0,IF($O234&lt;=$Q234,1,0)))</f>
        <v/>
      </c>
      <c r="T234" s="28" t="str">
        <f aca="false">IF(OR($J234="",$N234&lt;&gt;"Concluída",$O234=""),"",MAX(0,$O234-$J234))</f>
        <v/>
      </c>
      <c r="U234" s="33" t="str">
        <f aca="true">IF($E234="","",IF($N234="Cancelada","Cancelada",IF($N234="Concluída",IF($R234=1,"No prazo","Concluída com atraso"),IF($J234="","Na carteira",IF($J234&lt;TODAY(),"VENCIDA",IF($J234=TODAY(),"Hoje","Programada"))))))</f>
        <v/>
      </c>
    </row>
    <row r="235" customFormat="false" ht="15.75" hidden="false" customHeight="true" outlineLevel="0" collapsed="false">
      <c r="A235" s="28" t="str">
        <f aca="false">IF($E235="","",COUNTA($E$4:$E235))</f>
        <v/>
      </c>
      <c r="B235" s="34"/>
      <c r="C235" s="34"/>
      <c r="D235" s="34"/>
      <c r="E235" s="34"/>
      <c r="F235" s="35"/>
      <c r="G235" s="34"/>
      <c r="H235" s="35"/>
      <c r="I235" s="34"/>
      <c r="J235" s="36"/>
      <c r="K235" s="36"/>
      <c r="L235" s="35"/>
      <c r="M235" s="34"/>
      <c r="N235" s="35"/>
      <c r="O235" s="36"/>
      <c r="P235" s="32" t="str">
        <f aca="false">IF($J235="","",$J235-WEEKDAY($J235,3))</f>
        <v/>
      </c>
      <c r="Q235" s="32" t="str">
        <f aca="false">IF($J235="","",IF($K235="",$J235,$K235))</f>
        <v/>
      </c>
      <c r="R235" s="28" t="str">
        <f aca="false">IF($E235="","",IF(OR($N235&lt;&gt;"Concluída",$O235="",$J235=""),0,IF($O235&lt;=$J235,1,0)))</f>
        <v/>
      </c>
      <c r="S235" s="28" t="str">
        <f aca="false">IF($E235="","",IF(OR($N235&lt;&gt;"Concluída",$O235="",$Q235=""),0,IF($O235&lt;=$Q235,1,0)))</f>
        <v/>
      </c>
      <c r="T235" s="28" t="str">
        <f aca="false">IF(OR($J235="",$N235&lt;&gt;"Concluída",$O235=""),"",MAX(0,$O235-$J235))</f>
        <v/>
      </c>
      <c r="U235" s="33" t="str">
        <f aca="true">IF($E235="","",IF($N235="Cancelada","Cancelada",IF($N235="Concluída",IF($R235=1,"No prazo","Concluída com atraso"),IF($J235="","Na carteira",IF($J235&lt;TODAY(),"VENCIDA",IF($J235=TODAY(),"Hoje","Programada"))))))</f>
        <v/>
      </c>
    </row>
    <row r="236" customFormat="false" ht="15.75" hidden="false" customHeight="true" outlineLevel="0" collapsed="false">
      <c r="A236" s="28" t="str">
        <f aca="false">IF($E236="","",COUNTA($E$4:$E236))</f>
        <v/>
      </c>
      <c r="B236" s="29"/>
      <c r="C236" s="29"/>
      <c r="D236" s="29"/>
      <c r="E236" s="29"/>
      <c r="F236" s="30"/>
      <c r="G236" s="29"/>
      <c r="H236" s="30"/>
      <c r="I236" s="29"/>
      <c r="J236" s="31"/>
      <c r="K236" s="31"/>
      <c r="L236" s="30"/>
      <c r="M236" s="29"/>
      <c r="N236" s="30"/>
      <c r="O236" s="31"/>
      <c r="P236" s="32" t="str">
        <f aca="false">IF($J236="","",$J236-WEEKDAY($J236,3))</f>
        <v/>
      </c>
      <c r="Q236" s="32" t="str">
        <f aca="false">IF($J236="","",IF($K236="",$J236,$K236))</f>
        <v/>
      </c>
      <c r="R236" s="28" t="str">
        <f aca="false">IF($E236="","",IF(OR($N236&lt;&gt;"Concluída",$O236="",$J236=""),0,IF($O236&lt;=$J236,1,0)))</f>
        <v/>
      </c>
      <c r="S236" s="28" t="str">
        <f aca="false">IF($E236="","",IF(OR($N236&lt;&gt;"Concluída",$O236="",$Q236=""),0,IF($O236&lt;=$Q236,1,0)))</f>
        <v/>
      </c>
      <c r="T236" s="28" t="str">
        <f aca="false">IF(OR($J236="",$N236&lt;&gt;"Concluída",$O236=""),"",MAX(0,$O236-$J236))</f>
        <v/>
      </c>
      <c r="U236" s="33" t="str">
        <f aca="true">IF($E236="","",IF($N236="Cancelada","Cancelada",IF($N236="Concluída",IF($R236=1,"No prazo","Concluída com atraso"),IF($J236="","Na carteira",IF($J236&lt;TODAY(),"VENCIDA",IF($J236=TODAY(),"Hoje","Programada"))))))</f>
        <v/>
      </c>
    </row>
    <row r="237" customFormat="false" ht="15.75" hidden="false" customHeight="true" outlineLevel="0" collapsed="false">
      <c r="A237" s="28" t="str">
        <f aca="false">IF($E237="","",COUNTA($E$4:$E237))</f>
        <v/>
      </c>
      <c r="B237" s="34"/>
      <c r="C237" s="34"/>
      <c r="D237" s="34"/>
      <c r="E237" s="34"/>
      <c r="F237" s="35"/>
      <c r="G237" s="34"/>
      <c r="H237" s="35"/>
      <c r="I237" s="34"/>
      <c r="J237" s="36"/>
      <c r="K237" s="36"/>
      <c r="L237" s="35"/>
      <c r="M237" s="34"/>
      <c r="N237" s="35"/>
      <c r="O237" s="36"/>
      <c r="P237" s="32" t="str">
        <f aca="false">IF($J237="","",$J237-WEEKDAY($J237,3))</f>
        <v/>
      </c>
      <c r="Q237" s="32" t="str">
        <f aca="false">IF($J237="","",IF($K237="",$J237,$K237))</f>
        <v/>
      </c>
      <c r="R237" s="28" t="str">
        <f aca="false">IF($E237="","",IF(OR($N237&lt;&gt;"Concluída",$O237="",$J237=""),0,IF($O237&lt;=$J237,1,0)))</f>
        <v/>
      </c>
      <c r="S237" s="28" t="str">
        <f aca="false">IF($E237="","",IF(OR($N237&lt;&gt;"Concluída",$O237="",$Q237=""),0,IF($O237&lt;=$Q237,1,0)))</f>
        <v/>
      </c>
      <c r="T237" s="28" t="str">
        <f aca="false">IF(OR($J237="",$N237&lt;&gt;"Concluída",$O237=""),"",MAX(0,$O237-$J237))</f>
        <v/>
      </c>
      <c r="U237" s="33" t="str">
        <f aca="true">IF($E237="","",IF($N237="Cancelada","Cancelada",IF($N237="Concluída",IF($R237=1,"No prazo","Concluída com atraso"),IF($J237="","Na carteira",IF($J237&lt;TODAY(),"VENCIDA",IF($J237=TODAY(),"Hoje","Programada"))))))</f>
        <v/>
      </c>
    </row>
    <row r="238" customFormat="false" ht="15.75" hidden="false" customHeight="true" outlineLevel="0" collapsed="false">
      <c r="A238" s="28" t="str">
        <f aca="false">IF($E238="","",COUNTA($E$4:$E238))</f>
        <v/>
      </c>
      <c r="B238" s="29"/>
      <c r="C238" s="29"/>
      <c r="D238" s="29"/>
      <c r="E238" s="29"/>
      <c r="F238" s="30"/>
      <c r="G238" s="29"/>
      <c r="H238" s="30"/>
      <c r="I238" s="29"/>
      <c r="J238" s="31"/>
      <c r="K238" s="31"/>
      <c r="L238" s="30"/>
      <c r="M238" s="29"/>
      <c r="N238" s="30"/>
      <c r="O238" s="31"/>
      <c r="P238" s="32" t="str">
        <f aca="false">IF($J238="","",$J238-WEEKDAY($J238,3))</f>
        <v/>
      </c>
      <c r="Q238" s="32" t="str">
        <f aca="false">IF($J238="","",IF($K238="",$J238,$K238))</f>
        <v/>
      </c>
      <c r="R238" s="28" t="str">
        <f aca="false">IF($E238="","",IF(OR($N238&lt;&gt;"Concluída",$O238="",$J238=""),0,IF($O238&lt;=$J238,1,0)))</f>
        <v/>
      </c>
      <c r="S238" s="28" t="str">
        <f aca="false">IF($E238="","",IF(OR($N238&lt;&gt;"Concluída",$O238="",$Q238=""),0,IF($O238&lt;=$Q238,1,0)))</f>
        <v/>
      </c>
      <c r="T238" s="28" t="str">
        <f aca="false">IF(OR($J238="",$N238&lt;&gt;"Concluída",$O238=""),"",MAX(0,$O238-$J238))</f>
        <v/>
      </c>
      <c r="U238" s="33" t="str">
        <f aca="true">IF($E238="","",IF($N238="Cancelada","Cancelada",IF($N238="Concluída",IF($R238=1,"No prazo","Concluída com atraso"),IF($J238="","Na carteira",IF($J238&lt;TODAY(),"VENCIDA",IF($J238=TODAY(),"Hoje","Programada"))))))</f>
        <v/>
      </c>
    </row>
    <row r="239" customFormat="false" ht="15.75" hidden="false" customHeight="true" outlineLevel="0" collapsed="false">
      <c r="A239" s="28" t="str">
        <f aca="false">IF($E239="","",COUNTA($E$4:$E239))</f>
        <v/>
      </c>
      <c r="B239" s="34"/>
      <c r="C239" s="34"/>
      <c r="D239" s="34"/>
      <c r="E239" s="34"/>
      <c r="F239" s="35"/>
      <c r="G239" s="34"/>
      <c r="H239" s="35"/>
      <c r="I239" s="34"/>
      <c r="J239" s="36"/>
      <c r="K239" s="36"/>
      <c r="L239" s="35"/>
      <c r="M239" s="34"/>
      <c r="N239" s="35"/>
      <c r="O239" s="36"/>
      <c r="P239" s="32" t="str">
        <f aca="false">IF($J239="","",$J239-WEEKDAY($J239,3))</f>
        <v/>
      </c>
      <c r="Q239" s="32" t="str">
        <f aca="false">IF($J239="","",IF($K239="",$J239,$K239))</f>
        <v/>
      </c>
      <c r="R239" s="28" t="str">
        <f aca="false">IF($E239="","",IF(OR($N239&lt;&gt;"Concluída",$O239="",$J239=""),0,IF($O239&lt;=$J239,1,0)))</f>
        <v/>
      </c>
      <c r="S239" s="28" t="str">
        <f aca="false">IF($E239="","",IF(OR($N239&lt;&gt;"Concluída",$O239="",$Q239=""),0,IF($O239&lt;=$Q239,1,0)))</f>
        <v/>
      </c>
      <c r="T239" s="28" t="str">
        <f aca="false">IF(OR($J239="",$N239&lt;&gt;"Concluída",$O239=""),"",MAX(0,$O239-$J239))</f>
        <v/>
      </c>
      <c r="U239" s="33" t="str">
        <f aca="true">IF($E239="","",IF($N239="Cancelada","Cancelada",IF($N239="Concluída",IF($R239=1,"No prazo","Concluída com atraso"),IF($J239="","Na carteira",IF($J239&lt;TODAY(),"VENCIDA",IF($J239=TODAY(),"Hoje","Programada"))))))</f>
        <v/>
      </c>
    </row>
    <row r="240" customFormat="false" ht="15.75" hidden="false" customHeight="true" outlineLevel="0" collapsed="false">
      <c r="A240" s="28" t="str">
        <f aca="false">IF($E240="","",COUNTA($E$4:$E240))</f>
        <v/>
      </c>
      <c r="B240" s="29"/>
      <c r="C240" s="29"/>
      <c r="D240" s="29"/>
      <c r="E240" s="29"/>
      <c r="F240" s="30"/>
      <c r="G240" s="29"/>
      <c r="H240" s="30"/>
      <c r="I240" s="29"/>
      <c r="J240" s="31"/>
      <c r="K240" s="31"/>
      <c r="L240" s="30"/>
      <c r="M240" s="29"/>
      <c r="N240" s="30"/>
      <c r="O240" s="31"/>
      <c r="P240" s="32" t="str">
        <f aca="false">IF($J240="","",$J240-WEEKDAY($J240,3))</f>
        <v/>
      </c>
      <c r="Q240" s="32" t="str">
        <f aca="false">IF($J240="","",IF($K240="",$J240,$K240))</f>
        <v/>
      </c>
      <c r="R240" s="28" t="str">
        <f aca="false">IF($E240="","",IF(OR($N240&lt;&gt;"Concluída",$O240="",$J240=""),0,IF($O240&lt;=$J240,1,0)))</f>
        <v/>
      </c>
      <c r="S240" s="28" t="str">
        <f aca="false">IF($E240="","",IF(OR($N240&lt;&gt;"Concluída",$O240="",$Q240=""),0,IF($O240&lt;=$Q240,1,0)))</f>
        <v/>
      </c>
      <c r="T240" s="28" t="str">
        <f aca="false">IF(OR($J240="",$N240&lt;&gt;"Concluída",$O240=""),"",MAX(0,$O240-$J240))</f>
        <v/>
      </c>
      <c r="U240" s="33" t="str">
        <f aca="true">IF($E240="","",IF($N240="Cancelada","Cancelada",IF($N240="Concluída",IF($R240=1,"No prazo","Concluída com atraso"),IF($J240="","Na carteira",IF($J240&lt;TODAY(),"VENCIDA",IF($J240=TODAY(),"Hoje","Programada"))))))</f>
        <v/>
      </c>
    </row>
    <row r="241" customFormat="false" ht="15.75" hidden="false" customHeight="true" outlineLevel="0" collapsed="false">
      <c r="A241" s="28" t="str">
        <f aca="false">IF($E241="","",COUNTA($E$4:$E241))</f>
        <v/>
      </c>
      <c r="B241" s="34"/>
      <c r="C241" s="34"/>
      <c r="D241" s="34"/>
      <c r="E241" s="34"/>
      <c r="F241" s="35"/>
      <c r="G241" s="34"/>
      <c r="H241" s="35"/>
      <c r="I241" s="34"/>
      <c r="J241" s="36"/>
      <c r="K241" s="36"/>
      <c r="L241" s="35"/>
      <c r="M241" s="34"/>
      <c r="N241" s="35"/>
      <c r="O241" s="36"/>
      <c r="P241" s="32" t="str">
        <f aca="false">IF($J241="","",$J241-WEEKDAY($J241,3))</f>
        <v/>
      </c>
      <c r="Q241" s="32" t="str">
        <f aca="false">IF($J241="","",IF($K241="",$J241,$K241))</f>
        <v/>
      </c>
      <c r="R241" s="28" t="str">
        <f aca="false">IF($E241="","",IF(OR($N241&lt;&gt;"Concluída",$O241="",$J241=""),0,IF($O241&lt;=$J241,1,0)))</f>
        <v/>
      </c>
      <c r="S241" s="28" t="str">
        <f aca="false">IF($E241="","",IF(OR($N241&lt;&gt;"Concluída",$O241="",$Q241=""),0,IF($O241&lt;=$Q241,1,0)))</f>
        <v/>
      </c>
      <c r="T241" s="28" t="str">
        <f aca="false">IF(OR($J241="",$N241&lt;&gt;"Concluída",$O241=""),"",MAX(0,$O241-$J241))</f>
        <v/>
      </c>
      <c r="U241" s="33" t="str">
        <f aca="true">IF($E241="","",IF($N241="Cancelada","Cancelada",IF($N241="Concluída",IF($R241=1,"No prazo","Concluída com atraso"),IF($J241="","Na carteira",IF($J241&lt;TODAY(),"VENCIDA",IF($J241=TODAY(),"Hoje","Programada"))))))</f>
        <v/>
      </c>
    </row>
    <row r="242" customFormat="false" ht="15.75" hidden="false" customHeight="true" outlineLevel="0" collapsed="false">
      <c r="A242" s="28" t="str">
        <f aca="false">IF($E242="","",COUNTA($E$4:$E242))</f>
        <v/>
      </c>
      <c r="B242" s="29"/>
      <c r="C242" s="29"/>
      <c r="D242" s="29"/>
      <c r="E242" s="29"/>
      <c r="F242" s="30"/>
      <c r="G242" s="29"/>
      <c r="H242" s="30"/>
      <c r="I242" s="29"/>
      <c r="J242" s="31"/>
      <c r="K242" s="31"/>
      <c r="L242" s="30"/>
      <c r="M242" s="29"/>
      <c r="N242" s="30"/>
      <c r="O242" s="31"/>
      <c r="P242" s="32" t="str">
        <f aca="false">IF($J242="","",$J242-WEEKDAY($J242,3))</f>
        <v/>
      </c>
      <c r="Q242" s="32" t="str">
        <f aca="false">IF($J242="","",IF($K242="",$J242,$K242))</f>
        <v/>
      </c>
      <c r="R242" s="28" t="str">
        <f aca="false">IF($E242="","",IF(OR($N242&lt;&gt;"Concluída",$O242="",$J242=""),0,IF($O242&lt;=$J242,1,0)))</f>
        <v/>
      </c>
      <c r="S242" s="28" t="str">
        <f aca="false">IF($E242="","",IF(OR($N242&lt;&gt;"Concluída",$O242="",$Q242=""),0,IF($O242&lt;=$Q242,1,0)))</f>
        <v/>
      </c>
      <c r="T242" s="28" t="str">
        <f aca="false">IF(OR($J242="",$N242&lt;&gt;"Concluída",$O242=""),"",MAX(0,$O242-$J242))</f>
        <v/>
      </c>
      <c r="U242" s="33" t="str">
        <f aca="true">IF($E242="","",IF($N242="Cancelada","Cancelada",IF($N242="Concluída",IF($R242=1,"No prazo","Concluída com atraso"),IF($J242="","Na carteira",IF($J242&lt;TODAY(),"VENCIDA",IF($J242=TODAY(),"Hoje","Programada"))))))</f>
        <v/>
      </c>
    </row>
    <row r="243" customFormat="false" ht="15.75" hidden="false" customHeight="true" outlineLevel="0" collapsed="false">
      <c r="A243" s="28" t="str">
        <f aca="false">IF($E243="","",COUNTA($E$4:$E243))</f>
        <v/>
      </c>
      <c r="B243" s="34"/>
      <c r="C243" s="34"/>
      <c r="D243" s="34"/>
      <c r="E243" s="34"/>
      <c r="F243" s="35"/>
      <c r="G243" s="34"/>
      <c r="H243" s="35"/>
      <c r="I243" s="34"/>
      <c r="J243" s="36"/>
      <c r="K243" s="36"/>
      <c r="L243" s="35"/>
      <c r="M243" s="34"/>
      <c r="N243" s="35"/>
      <c r="O243" s="36"/>
      <c r="P243" s="32" t="str">
        <f aca="false">IF($J243="","",$J243-WEEKDAY($J243,3))</f>
        <v/>
      </c>
      <c r="Q243" s="32" t="str">
        <f aca="false">IF($J243="","",IF($K243="",$J243,$K243))</f>
        <v/>
      </c>
      <c r="R243" s="28" t="str">
        <f aca="false">IF($E243="","",IF(OR($N243&lt;&gt;"Concluída",$O243="",$J243=""),0,IF($O243&lt;=$J243,1,0)))</f>
        <v/>
      </c>
      <c r="S243" s="28" t="str">
        <f aca="false">IF($E243="","",IF(OR($N243&lt;&gt;"Concluída",$O243="",$Q243=""),0,IF($O243&lt;=$Q243,1,0)))</f>
        <v/>
      </c>
      <c r="T243" s="28" t="str">
        <f aca="false">IF(OR($J243="",$N243&lt;&gt;"Concluída",$O243=""),"",MAX(0,$O243-$J243))</f>
        <v/>
      </c>
      <c r="U243" s="33" t="str">
        <f aca="true">IF($E243="","",IF($N243="Cancelada","Cancelada",IF($N243="Concluída",IF($R243=1,"No prazo","Concluída com atraso"),IF($J243="","Na carteira",IF($J243&lt;TODAY(),"VENCIDA",IF($J243=TODAY(),"Hoje","Programada"))))))</f>
        <v/>
      </c>
    </row>
    <row r="244" customFormat="false" ht="15.75" hidden="false" customHeight="true" outlineLevel="0" collapsed="false">
      <c r="A244" s="28" t="str">
        <f aca="false">IF($E244="","",COUNTA($E$4:$E244))</f>
        <v/>
      </c>
      <c r="B244" s="29"/>
      <c r="C244" s="29"/>
      <c r="D244" s="29"/>
      <c r="E244" s="29"/>
      <c r="F244" s="30"/>
      <c r="G244" s="29"/>
      <c r="H244" s="30"/>
      <c r="I244" s="29"/>
      <c r="J244" s="31"/>
      <c r="K244" s="31"/>
      <c r="L244" s="30"/>
      <c r="M244" s="29"/>
      <c r="N244" s="30"/>
      <c r="O244" s="31"/>
      <c r="P244" s="32" t="str">
        <f aca="false">IF($J244="","",$J244-WEEKDAY($J244,3))</f>
        <v/>
      </c>
      <c r="Q244" s="32" t="str">
        <f aca="false">IF($J244="","",IF($K244="",$J244,$K244))</f>
        <v/>
      </c>
      <c r="R244" s="28" t="str">
        <f aca="false">IF($E244="","",IF(OR($N244&lt;&gt;"Concluída",$O244="",$J244=""),0,IF($O244&lt;=$J244,1,0)))</f>
        <v/>
      </c>
      <c r="S244" s="28" t="str">
        <f aca="false">IF($E244="","",IF(OR($N244&lt;&gt;"Concluída",$O244="",$Q244=""),0,IF($O244&lt;=$Q244,1,0)))</f>
        <v/>
      </c>
      <c r="T244" s="28" t="str">
        <f aca="false">IF(OR($J244="",$N244&lt;&gt;"Concluída",$O244=""),"",MAX(0,$O244-$J244))</f>
        <v/>
      </c>
      <c r="U244" s="33" t="str">
        <f aca="true">IF($E244="","",IF($N244="Cancelada","Cancelada",IF($N244="Concluída",IF($R244=1,"No prazo","Concluída com atraso"),IF($J244="","Na carteira",IF($J244&lt;TODAY(),"VENCIDA",IF($J244=TODAY(),"Hoje","Programada"))))))</f>
        <v/>
      </c>
    </row>
    <row r="245" customFormat="false" ht="15.75" hidden="false" customHeight="true" outlineLevel="0" collapsed="false">
      <c r="A245" s="28" t="str">
        <f aca="false">IF($E245="","",COUNTA($E$4:$E245))</f>
        <v/>
      </c>
      <c r="B245" s="34"/>
      <c r="C245" s="34"/>
      <c r="D245" s="34"/>
      <c r="E245" s="34"/>
      <c r="F245" s="35"/>
      <c r="G245" s="34"/>
      <c r="H245" s="35"/>
      <c r="I245" s="34"/>
      <c r="J245" s="36"/>
      <c r="K245" s="36"/>
      <c r="L245" s="35"/>
      <c r="M245" s="34"/>
      <c r="N245" s="35"/>
      <c r="O245" s="36"/>
      <c r="P245" s="32" t="str">
        <f aca="false">IF($J245="","",$J245-WEEKDAY($J245,3))</f>
        <v/>
      </c>
      <c r="Q245" s="32" t="str">
        <f aca="false">IF($J245="","",IF($K245="",$J245,$K245))</f>
        <v/>
      </c>
      <c r="R245" s="28" t="str">
        <f aca="false">IF($E245="","",IF(OR($N245&lt;&gt;"Concluída",$O245="",$J245=""),0,IF($O245&lt;=$J245,1,0)))</f>
        <v/>
      </c>
      <c r="S245" s="28" t="str">
        <f aca="false">IF($E245="","",IF(OR($N245&lt;&gt;"Concluída",$O245="",$Q245=""),0,IF($O245&lt;=$Q245,1,0)))</f>
        <v/>
      </c>
      <c r="T245" s="28" t="str">
        <f aca="false">IF(OR($J245="",$N245&lt;&gt;"Concluída",$O245=""),"",MAX(0,$O245-$J245))</f>
        <v/>
      </c>
      <c r="U245" s="33" t="str">
        <f aca="true">IF($E245="","",IF($N245="Cancelada","Cancelada",IF($N245="Concluída",IF($R245=1,"No prazo","Concluída com atraso"),IF($J245="","Na carteira",IF($J245&lt;TODAY(),"VENCIDA",IF($J245=TODAY(),"Hoje","Programada"))))))</f>
        <v/>
      </c>
    </row>
    <row r="246" customFormat="false" ht="15.75" hidden="false" customHeight="true" outlineLevel="0" collapsed="false">
      <c r="A246" s="28" t="str">
        <f aca="false">IF($E246="","",COUNTA($E$4:$E246))</f>
        <v/>
      </c>
      <c r="B246" s="29"/>
      <c r="C246" s="29"/>
      <c r="D246" s="29"/>
      <c r="E246" s="29"/>
      <c r="F246" s="30"/>
      <c r="G246" s="29"/>
      <c r="H246" s="30"/>
      <c r="I246" s="29"/>
      <c r="J246" s="31"/>
      <c r="K246" s="31"/>
      <c r="L246" s="30"/>
      <c r="M246" s="29"/>
      <c r="N246" s="30"/>
      <c r="O246" s="31"/>
      <c r="P246" s="32" t="str">
        <f aca="false">IF($J246="","",$J246-WEEKDAY($J246,3))</f>
        <v/>
      </c>
      <c r="Q246" s="32" t="str">
        <f aca="false">IF($J246="","",IF($K246="",$J246,$K246))</f>
        <v/>
      </c>
      <c r="R246" s="28" t="str">
        <f aca="false">IF($E246="","",IF(OR($N246&lt;&gt;"Concluída",$O246="",$J246=""),0,IF($O246&lt;=$J246,1,0)))</f>
        <v/>
      </c>
      <c r="S246" s="28" t="str">
        <f aca="false">IF($E246="","",IF(OR($N246&lt;&gt;"Concluída",$O246="",$Q246=""),0,IF($O246&lt;=$Q246,1,0)))</f>
        <v/>
      </c>
      <c r="T246" s="28" t="str">
        <f aca="false">IF(OR($J246="",$N246&lt;&gt;"Concluída",$O246=""),"",MAX(0,$O246-$J246))</f>
        <v/>
      </c>
      <c r="U246" s="33" t="str">
        <f aca="true">IF($E246="","",IF($N246="Cancelada","Cancelada",IF($N246="Concluída",IF($R246=1,"No prazo","Concluída com atraso"),IF($J246="","Na carteira",IF($J246&lt;TODAY(),"VENCIDA",IF($J246=TODAY(),"Hoje","Programada"))))))</f>
        <v/>
      </c>
    </row>
    <row r="247" customFormat="false" ht="15.75" hidden="false" customHeight="true" outlineLevel="0" collapsed="false">
      <c r="A247" s="28" t="str">
        <f aca="false">IF($E247="","",COUNTA($E$4:$E247))</f>
        <v/>
      </c>
      <c r="B247" s="34"/>
      <c r="C247" s="34"/>
      <c r="D247" s="34"/>
      <c r="E247" s="34"/>
      <c r="F247" s="35"/>
      <c r="G247" s="34"/>
      <c r="H247" s="35"/>
      <c r="I247" s="34"/>
      <c r="J247" s="36"/>
      <c r="K247" s="36"/>
      <c r="L247" s="35"/>
      <c r="M247" s="34"/>
      <c r="N247" s="35"/>
      <c r="O247" s="36"/>
      <c r="P247" s="32" t="str">
        <f aca="false">IF($J247="","",$J247-WEEKDAY($J247,3))</f>
        <v/>
      </c>
      <c r="Q247" s="32" t="str">
        <f aca="false">IF($J247="","",IF($K247="",$J247,$K247))</f>
        <v/>
      </c>
      <c r="R247" s="28" t="str">
        <f aca="false">IF($E247="","",IF(OR($N247&lt;&gt;"Concluída",$O247="",$J247=""),0,IF($O247&lt;=$J247,1,0)))</f>
        <v/>
      </c>
      <c r="S247" s="28" t="str">
        <f aca="false">IF($E247="","",IF(OR($N247&lt;&gt;"Concluída",$O247="",$Q247=""),0,IF($O247&lt;=$Q247,1,0)))</f>
        <v/>
      </c>
      <c r="T247" s="28" t="str">
        <f aca="false">IF(OR($J247="",$N247&lt;&gt;"Concluída",$O247=""),"",MAX(0,$O247-$J247))</f>
        <v/>
      </c>
      <c r="U247" s="33" t="str">
        <f aca="true">IF($E247="","",IF($N247="Cancelada","Cancelada",IF($N247="Concluída",IF($R247=1,"No prazo","Concluída com atraso"),IF($J247="","Na carteira",IF($J247&lt;TODAY(),"VENCIDA",IF($J247=TODAY(),"Hoje","Programada"))))))</f>
        <v/>
      </c>
    </row>
    <row r="248" customFormat="false" ht="15.75" hidden="false" customHeight="true" outlineLevel="0" collapsed="false">
      <c r="A248" s="28" t="str">
        <f aca="false">IF($E248="","",COUNTA($E$4:$E248))</f>
        <v/>
      </c>
      <c r="B248" s="29"/>
      <c r="C248" s="29"/>
      <c r="D248" s="29"/>
      <c r="E248" s="29"/>
      <c r="F248" s="30"/>
      <c r="G248" s="29"/>
      <c r="H248" s="30"/>
      <c r="I248" s="29"/>
      <c r="J248" s="31"/>
      <c r="K248" s="31"/>
      <c r="L248" s="30"/>
      <c r="M248" s="29"/>
      <c r="N248" s="30"/>
      <c r="O248" s="31"/>
      <c r="P248" s="32" t="str">
        <f aca="false">IF($J248="","",$J248-WEEKDAY($J248,3))</f>
        <v/>
      </c>
      <c r="Q248" s="32" t="str">
        <f aca="false">IF($J248="","",IF($K248="",$J248,$K248))</f>
        <v/>
      </c>
      <c r="R248" s="28" t="str">
        <f aca="false">IF($E248="","",IF(OR($N248&lt;&gt;"Concluída",$O248="",$J248=""),0,IF($O248&lt;=$J248,1,0)))</f>
        <v/>
      </c>
      <c r="S248" s="28" t="str">
        <f aca="false">IF($E248="","",IF(OR($N248&lt;&gt;"Concluída",$O248="",$Q248=""),0,IF($O248&lt;=$Q248,1,0)))</f>
        <v/>
      </c>
      <c r="T248" s="28" t="str">
        <f aca="false">IF(OR($J248="",$N248&lt;&gt;"Concluída",$O248=""),"",MAX(0,$O248-$J248))</f>
        <v/>
      </c>
      <c r="U248" s="33" t="str">
        <f aca="true">IF($E248="","",IF($N248="Cancelada","Cancelada",IF($N248="Concluída",IF($R248=1,"No prazo","Concluída com atraso"),IF($J248="","Na carteira",IF($J248&lt;TODAY(),"VENCIDA",IF($J248=TODAY(),"Hoje","Programada"))))))</f>
        <v/>
      </c>
    </row>
    <row r="249" customFormat="false" ht="15.75" hidden="false" customHeight="true" outlineLevel="0" collapsed="false">
      <c r="A249" s="28" t="str">
        <f aca="false">IF($E249="","",COUNTA($E$4:$E249))</f>
        <v/>
      </c>
      <c r="B249" s="34"/>
      <c r="C249" s="34"/>
      <c r="D249" s="34"/>
      <c r="E249" s="34"/>
      <c r="F249" s="35"/>
      <c r="G249" s="34"/>
      <c r="H249" s="35"/>
      <c r="I249" s="34"/>
      <c r="J249" s="36"/>
      <c r="K249" s="36"/>
      <c r="L249" s="35"/>
      <c r="M249" s="34"/>
      <c r="N249" s="35"/>
      <c r="O249" s="36"/>
      <c r="P249" s="32" t="str">
        <f aca="false">IF($J249="","",$J249-WEEKDAY($J249,3))</f>
        <v/>
      </c>
      <c r="Q249" s="32" t="str">
        <f aca="false">IF($J249="","",IF($K249="",$J249,$K249))</f>
        <v/>
      </c>
      <c r="R249" s="28" t="str">
        <f aca="false">IF($E249="","",IF(OR($N249&lt;&gt;"Concluída",$O249="",$J249=""),0,IF($O249&lt;=$J249,1,0)))</f>
        <v/>
      </c>
      <c r="S249" s="28" t="str">
        <f aca="false">IF($E249="","",IF(OR($N249&lt;&gt;"Concluída",$O249="",$Q249=""),0,IF($O249&lt;=$Q249,1,0)))</f>
        <v/>
      </c>
      <c r="T249" s="28" t="str">
        <f aca="false">IF(OR($J249="",$N249&lt;&gt;"Concluída",$O249=""),"",MAX(0,$O249-$J249))</f>
        <v/>
      </c>
      <c r="U249" s="33" t="str">
        <f aca="true">IF($E249="","",IF($N249="Cancelada","Cancelada",IF($N249="Concluída",IF($R249=1,"No prazo","Concluída com atraso"),IF($J249="","Na carteira",IF($J249&lt;TODAY(),"VENCIDA",IF($J249=TODAY(),"Hoje","Programada"))))))</f>
        <v/>
      </c>
    </row>
    <row r="250" customFormat="false" ht="15.75" hidden="false" customHeight="true" outlineLevel="0" collapsed="false">
      <c r="A250" s="28" t="str">
        <f aca="false">IF($E250="","",COUNTA($E$4:$E250))</f>
        <v/>
      </c>
      <c r="B250" s="29"/>
      <c r="C250" s="29"/>
      <c r="D250" s="29"/>
      <c r="E250" s="29"/>
      <c r="F250" s="30"/>
      <c r="G250" s="29"/>
      <c r="H250" s="30"/>
      <c r="I250" s="29"/>
      <c r="J250" s="31"/>
      <c r="K250" s="31"/>
      <c r="L250" s="30"/>
      <c r="M250" s="29"/>
      <c r="N250" s="30"/>
      <c r="O250" s="31"/>
      <c r="P250" s="32" t="str">
        <f aca="false">IF($J250="","",$J250-WEEKDAY($J250,3))</f>
        <v/>
      </c>
      <c r="Q250" s="32" t="str">
        <f aca="false">IF($J250="","",IF($K250="",$J250,$K250))</f>
        <v/>
      </c>
      <c r="R250" s="28" t="str">
        <f aca="false">IF($E250="","",IF(OR($N250&lt;&gt;"Concluída",$O250="",$J250=""),0,IF($O250&lt;=$J250,1,0)))</f>
        <v/>
      </c>
      <c r="S250" s="28" t="str">
        <f aca="false">IF($E250="","",IF(OR($N250&lt;&gt;"Concluída",$O250="",$Q250=""),0,IF($O250&lt;=$Q250,1,0)))</f>
        <v/>
      </c>
      <c r="T250" s="28" t="str">
        <f aca="false">IF(OR($J250="",$N250&lt;&gt;"Concluída",$O250=""),"",MAX(0,$O250-$J250))</f>
        <v/>
      </c>
      <c r="U250" s="33" t="str">
        <f aca="true">IF($E250="","",IF($N250="Cancelada","Cancelada",IF($N250="Concluída",IF($R250=1,"No prazo","Concluída com atraso"),IF($J250="","Na carteira",IF($J250&lt;TODAY(),"VENCIDA",IF($J250=TODAY(),"Hoje","Programada"))))))</f>
        <v/>
      </c>
    </row>
    <row r="251" customFormat="false" ht="15.75" hidden="false" customHeight="true" outlineLevel="0" collapsed="false">
      <c r="A251" s="28" t="str">
        <f aca="false">IF($E251="","",COUNTA($E$4:$E251))</f>
        <v/>
      </c>
      <c r="B251" s="34"/>
      <c r="C251" s="34"/>
      <c r="D251" s="34"/>
      <c r="E251" s="34"/>
      <c r="F251" s="35"/>
      <c r="G251" s="34"/>
      <c r="H251" s="35"/>
      <c r="I251" s="34"/>
      <c r="J251" s="36"/>
      <c r="K251" s="36"/>
      <c r="L251" s="35"/>
      <c r="M251" s="34"/>
      <c r="N251" s="35"/>
      <c r="O251" s="36"/>
      <c r="P251" s="32" t="str">
        <f aca="false">IF($J251="","",$J251-WEEKDAY($J251,3))</f>
        <v/>
      </c>
      <c r="Q251" s="32" t="str">
        <f aca="false">IF($J251="","",IF($K251="",$J251,$K251))</f>
        <v/>
      </c>
      <c r="R251" s="28" t="str">
        <f aca="false">IF($E251="","",IF(OR($N251&lt;&gt;"Concluída",$O251="",$J251=""),0,IF($O251&lt;=$J251,1,0)))</f>
        <v/>
      </c>
      <c r="S251" s="28" t="str">
        <f aca="false">IF($E251="","",IF(OR($N251&lt;&gt;"Concluída",$O251="",$Q251=""),0,IF($O251&lt;=$Q251,1,0)))</f>
        <v/>
      </c>
      <c r="T251" s="28" t="str">
        <f aca="false">IF(OR($J251="",$N251&lt;&gt;"Concluída",$O251=""),"",MAX(0,$O251-$J251))</f>
        <v/>
      </c>
      <c r="U251" s="33" t="str">
        <f aca="true">IF($E251="","",IF($N251="Cancelada","Cancelada",IF($N251="Concluída",IF($R251=1,"No prazo","Concluída com atraso"),IF($J251="","Na carteira",IF($J251&lt;TODAY(),"VENCIDA",IF($J251=TODAY(),"Hoje","Programada"))))))</f>
        <v/>
      </c>
    </row>
    <row r="252" customFormat="false" ht="15.75" hidden="false" customHeight="true" outlineLevel="0" collapsed="false">
      <c r="A252" s="28" t="str">
        <f aca="false">IF($E252="","",COUNTA($E$4:$E252))</f>
        <v/>
      </c>
      <c r="B252" s="29"/>
      <c r="C252" s="29"/>
      <c r="D252" s="29"/>
      <c r="E252" s="29"/>
      <c r="F252" s="30"/>
      <c r="G252" s="29"/>
      <c r="H252" s="30"/>
      <c r="I252" s="29"/>
      <c r="J252" s="31"/>
      <c r="K252" s="31"/>
      <c r="L252" s="30"/>
      <c r="M252" s="29"/>
      <c r="N252" s="30"/>
      <c r="O252" s="31"/>
      <c r="P252" s="32" t="str">
        <f aca="false">IF($J252="","",$J252-WEEKDAY($J252,3))</f>
        <v/>
      </c>
      <c r="Q252" s="32" t="str">
        <f aca="false">IF($J252="","",IF($K252="",$J252,$K252))</f>
        <v/>
      </c>
      <c r="R252" s="28" t="str">
        <f aca="false">IF($E252="","",IF(OR($N252&lt;&gt;"Concluída",$O252="",$J252=""),0,IF($O252&lt;=$J252,1,0)))</f>
        <v/>
      </c>
      <c r="S252" s="28" t="str">
        <f aca="false">IF($E252="","",IF(OR($N252&lt;&gt;"Concluída",$O252="",$Q252=""),0,IF($O252&lt;=$Q252,1,0)))</f>
        <v/>
      </c>
      <c r="T252" s="28" t="str">
        <f aca="false">IF(OR($J252="",$N252&lt;&gt;"Concluída",$O252=""),"",MAX(0,$O252-$J252))</f>
        <v/>
      </c>
      <c r="U252" s="33" t="str">
        <f aca="true">IF($E252="","",IF($N252="Cancelada","Cancelada",IF($N252="Concluída",IF($R252=1,"No prazo","Concluída com atraso"),IF($J252="","Na carteira",IF($J252&lt;TODAY(),"VENCIDA",IF($J252=TODAY(),"Hoje","Programada"))))))</f>
        <v/>
      </c>
    </row>
    <row r="253" customFormat="false" ht="15.75" hidden="false" customHeight="true" outlineLevel="0" collapsed="false">
      <c r="A253" s="28" t="str">
        <f aca="false">IF($E253="","",COUNTA($E$4:$E253))</f>
        <v/>
      </c>
      <c r="B253" s="34"/>
      <c r="C253" s="34"/>
      <c r="D253" s="34"/>
      <c r="E253" s="34"/>
      <c r="F253" s="35"/>
      <c r="G253" s="34"/>
      <c r="H253" s="35"/>
      <c r="I253" s="34"/>
      <c r="J253" s="36"/>
      <c r="K253" s="36"/>
      <c r="L253" s="35"/>
      <c r="M253" s="34"/>
      <c r="N253" s="35"/>
      <c r="O253" s="36"/>
      <c r="P253" s="32" t="str">
        <f aca="false">IF($J253="","",$J253-WEEKDAY($J253,3))</f>
        <v/>
      </c>
      <c r="Q253" s="32" t="str">
        <f aca="false">IF($J253="","",IF($K253="",$J253,$K253))</f>
        <v/>
      </c>
      <c r="R253" s="28" t="str">
        <f aca="false">IF($E253="","",IF(OR($N253&lt;&gt;"Concluída",$O253="",$J253=""),0,IF($O253&lt;=$J253,1,0)))</f>
        <v/>
      </c>
      <c r="S253" s="28" t="str">
        <f aca="false">IF($E253="","",IF(OR($N253&lt;&gt;"Concluída",$O253="",$Q253=""),0,IF($O253&lt;=$Q253,1,0)))</f>
        <v/>
      </c>
      <c r="T253" s="28" t="str">
        <f aca="false">IF(OR($J253="",$N253&lt;&gt;"Concluída",$O253=""),"",MAX(0,$O253-$J253))</f>
        <v/>
      </c>
      <c r="U253" s="33" t="str">
        <f aca="true">IF($E253="","",IF($N253="Cancelada","Cancelada",IF($N253="Concluída",IF($R253=1,"No prazo","Concluída com atraso"),IF($J253="","Na carteira",IF($J253&lt;TODAY(),"VENCIDA",IF($J253=TODAY(),"Hoje","Programada"))))))</f>
        <v/>
      </c>
    </row>
    <row r="254" customFormat="false" ht="15.75" hidden="false" customHeight="true" outlineLevel="0" collapsed="false">
      <c r="A254" s="28" t="str">
        <f aca="false">IF($E254="","",COUNTA($E$4:$E254))</f>
        <v/>
      </c>
      <c r="B254" s="29"/>
      <c r="C254" s="29"/>
      <c r="D254" s="29"/>
      <c r="E254" s="29"/>
      <c r="F254" s="30"/>
      <c r="G254" s="29"/>
      <c r="H254" s="30"/>
      <c r="I254" s="29"/>
      <c r="J254" s="31"/>
      <c r="K254" s="31"/>
      <c r="L254" s="30"/>
      <c r="M254" s="29"/>
      <c r="N254" s="30"/>
      <c r="O254" s="31"/>
      <c r="P254" s="32" t="str">
        <f aca="false">IF($J254="","",$J254-WEEKDAY($J254,3))</f>
        <v/>
      </c>
      <c r="Q254" s="32" t="str">
        <f aca="false">IF($J254="","",IF($K254="",$J254,$K254))</f>
        <v/>
      </c>
      <c r="R254" s="28" t="str">
        <f aca="false">IF($E254="","",IF(OR($N254&lt;&gt;"Concluída",$O254="",$J254=""),0,IF($O254&lt;=$J254,1,0)))</f>
        <v/>
      </c>
      <c r="S254" s="28" t="str">
        <f aca="false">IF($E254="","",IF(OR($N254&lt;&gt;"Concluída",$O254="",$Q254=""),0,IF($O254&lt;=$Q254,1,0)))</f>
        <v/>
      </c>
      <c r="T254" s="28" t="str">
        <f aca="false">IF(OR($J254="",$N254&lt;&gt;"Concluída",$O254=""),"",MAX(0,$O254-$J254))</f>
        <v/>
      </c>
      <c r="U254" s="33" t="str">
        <f aca="true">IF($E254="","",IF($N254="Cancelada","Cancelada",IF($N254="Concluída",IF($R254=1,"No prazo","Concluída com atraso"),IF($J254="","Na carteira",IF($J254&lt;TODAY(),"VENCIDA",IF($J254=TODAY(),"Hoje","Programada"))))))</f>
        <v/>
      </c>
    </row>
    <row r="255" customFormat="false" ht="15.75" hidden="false" customHeight="true" outlineLevel="0" collapsed="false">
      <c r="A255" s="28" t="str">
        <f aca="false">IF($E255="","",COUNTA($E$4:$E255))</f>
        <v/>
      </c>
      <c r="B255" s="34"/>
      <c r="C255" s="34"/>
      <c r="D255" s="34"/>
      <c r="E255" s="34"/>
      <c r="F255" s="35"/>
      <c r="G255" s="34"/>
      <c r="H255" s="35"/>
      <c r="I255" s="34"/>
      <c r="J255" s="36"/>
      <c r="K255" s="36"/>
      <c r="L255" s="35"/>
      <c r="M255" s="34"/>
      <c r="N255" s="35"/>
      <c r="O255" s="36"/>
      <c r="P255" s="32" t="str">
        <f aca="false">IF($J255="","",$J255-WEEKDAY($J255,3))</f>
        <v/>
      </c>
      <c r="Q255" s="32" t="str">
        <f aca="false">IF($J255="","",IF($K255="",$J255,$K255))</f>
        <v/>
      </c>
      <c r="R255" s="28" t="str">
        <f aca="false">IF($E255="","",IF(OR($N255&lt;&gt;"Concluída",$O255="",$J255=""),0,IF($O255&lt;=$J255,1,0)))</f>
        <v/>
      </c>
      <c r="S255" s="28" t="str">
        <f aca="false">IF($E255="","",IF(OR($N255&lt;&gt;"Concluída",$O255="",$Q255=""),0,IF($O255&lt;=$Q255,1,0)))</f>
        <v/>
      </c>
      <c r="T255" s="28" t="str">
        <f aca="false">IF(OR($J255="",$N255&lt;&gt;"Concluída",$O255=""),"",MAX(0,$O255-$J255))</f>
        <v/>
      </c>
      <c r="U255" s="33" t="str">
        <f aca="true">IF($E255="","",IF($N255="Cancelada","Cancelada",IF($N255="Concluída",IF($R255=1,"No prazo","Concluída com atraso"),IF($J255="","Na carteira",IF($J255&lt;TODAY(),"VENCIDA",IF($J255=TODAY(),"Hoje","Programada"))))))</f>
        <v/>
      </c>
    </row>
    <row r="256" customFormat="false" ht="15.75" hidden="false" customHeight="true" outlineLevel="0" collapsed="false">
      <c r="A256" s="28" t="str">
        <f aca="false">IF($E256="","",COUNTA($E$4:$E256))</f>
        <v/>
      </c>
      <c r="B256" s="29"/>
      <c r="C256" s="29"/>
      <c r="D256" s="29"/>
      <c r="E256" s="29"/>
      <c r="F256" s="30"/>
      <c r="G256" s="29"/>
      <c r="H256" s="30"/>
      <c r="I256" s="29"/>
      <c r="J256" s="31"/>
      <c r="K256" s="31"/>
      <c r="L256" s="30"/>
      <c r="M256" s="29"/>
      <c r="N256" s="30"/>
      <c r="O256" s="31"/>
      <c r="P256" s="32" t="str">
        <f aca="false">IF($J256="","",$J256-WEEKDAY($J256,3))</f>
        <v/>
      </c>
      <c r="Q256" s="32" t="str">
        <f aca="false">IF($J256="","",IF($K256="",$J256,$K256))</f>
        <v/>
      </c>
      <c r="R256" s="28" t="str">
        <f aca="false">IF($E256="","",IF(OR($N256&lt;&gt;"Concluída",$O256="",$J256=""),0,IF($O256&lt;=$J256,1,0)))</f>
        <v/>
      </c>
      <c r="S256" s="28" t="str">
        <f aca="false">IF($E256="","",IF(OR($N256&lt;&gt;"Concluída",$O256="",$Q256=""),0,IF($O256&lt;=$Q256,1,0)))</f>
        <v/>
      </c>
      <c r="T256" s="28" t="str">
        <f aca="false">IF(OR($J256="",$N256&lt;&gt;"Concluída",$O256=""),"",MAX(0,$O256-$J256))</f>
        <v/>
      </c>
      <c r="U256" s="33" t="str">
        <f aca="true">IF($E256="","",IF($N256="Cancelada","Cancelada",IF($N256="Concluída",IF($R256=1,"No prazo","Concluída com atraso"),IF($J256="","Na carteira",IF($J256&lt;TODAY(),"VENCIDA",IF($J256=TODAY(),"Hoje","Programada"))))))</f>
        <v/>
      </c>
    </row>
    <row r="257" customFormat="false" ht="15.75" hidden="false" customHeight="true" outlineLevel="0" collapsed="false">
      <c r="A257" s="28" t="str">
        <f aca="false">IF($E257="","",COUNTA($E$4:$E257))</f>
        <v/>
      </c>
      <c r="B257" s="34"/>
      <c r="C257" s="34"/>
      <c r="D257" s="34"/>
      <c r="E257" s="34"/>
      <c r="F257" s="35"/>
      <c r="G257" s="34"/>
      <c r="H257" s="35"/>
      <c r="I257" s="34"/>
      <c r="J257" s="36"/>
      <c r="K257" s="36"/>
      <c r="L257" s="35"/>
      <c r="M257" s="34"/>
      <c r="N257" s="35"/>
      <c r="O257" s="36"/>
      <c r="P257" s="32" t="str">
        <f aca="false">IF($J257="","",$J257-WEEKDAY($J257,3))</f>
        <v/>
      </c>
      <c r="Q257" s="32" t="str">
        <f aca="false">IF($J257="","",IF($K257="",$J257,$K257))</f>
        <v/>
      </c>
      <c r="R257" s="28" t="str">
        <f aca="false">IF($E257="","",IF(OR($N257&lt;&gt;"Concluída",$O257="",$J257=""),0,IF($O257&lt;=$J257,1,0)))</f>
        <v/>
      </c>
      <c r="S257" s="28" t="str">
        <f aca="false">IF($E257="","",IF(OR($N257&lt;&gt;"Concluída",$O257="",$Q257=""),0,IF($O257&lt;=$Q257,1,0)))</f>
        <v/>
      </c>
      <c r="T257" s="28" t="str">
        <f aca="false">IF(OR($J257="",$N257&lt;&gt;"Concluída",$O257=""),"",MAX(0,$O257-$J257))</f>
        <v/>
      </c>
      <c r="U257" s="33" t="str">
        <f aca="true">IF($E257="","",IF($N257="Cancelada","Cancelada",IF($N257="Concluída",IF($R257=1,"No prazo","Concluída com atraso"),IF($J257="","Na carteira",IF($J257&lt;TODAY(),"VENCIDA",IF($J257=TODAY(),"Hoje","Programada"))))))</f>
        <v/>
      </c>
    </row>
    <row r="258" customFormat="false" ht="15.75" hidden="false" customHeight="true" outlineLevel="0" collapsed="false">
      <c r="A258" s="28" t="str">
        <f aca="false">IF($E258="","",COUNTA($E$4:$E258))</f>
        <v/>
      </c>
      <c r="B258" s="29"/>
      <c r="C258" s="29"/>
      <c r="D258" s="29"/>
      <c r="E258" s="29"/>
      <c r="F258" s="30"/>
      <c r="G258" s="29"/>
      <c r="H258" s="30"/>
      <c r="I258" s="29"/>
      <c r="J258" s="31"/>
      <c r="K258" s="31"/>
      <c r="L258" s="30"/>
      <c r="M258" s="29"/>
      <c r="N258" s="30"/>
      <c r="O258" s="31"/>
      <c r="P258" s="32" t="str">
        <f aca="false">IF($J258="","",$J258-WEEKDAY($J258,3))</f>
        <v/>
      </c>
      <c r="Q258" s="32" t="str">
        <f aca="false">IF($J258="","",IF($K258="",$J258,$K258))</f>
        <v/>
      </c>
      <c r="R258" s="28" t="str">
        <f aca="false">IF($E258="","",IF(OR($N258&lt;&gt;"Concluída",$O258="",$J258=""),0,IF($O258&lt;=$J258,1,0)))</f>
        <v/>
      </c>
      <c r="S258" s="28" t="str">
        <f aca="false">IF($E258="","",IF(OR($N258&lt;&gt;"Concluída",$O258="",$Q258=""),0,IF($O258&lt;=$Q258,1,0)))</f>
        <v/>
      </c>
      <c r="T258" s="28" t="str">
        <f aca="false">IF(OR($J258="",$N258&lt;&gt;"Concluída",$O258=""),"",MAX(0,$O258-$J258))</f>
        <v/>
      </c>
      <c r="U258" s="33" t="str">
        <f aca="true">IF($E258="","",IF($N258="Cancelada","Cancelada",IF($N258="Concluída",IF($R258=1,"No prazo","Concluída com atraso"),IF($J258="","Na carteira",IF($J258&lt;TODAY(),"VENCIDA",IF($J258=TODAY(),"Hoje","Programada"))))))</f>
        <v/>
      </c>
    </row>
    <row r="259" customFormat="false" ht="15.75" hidden="false" customHeight="true" outlineLevel="0" collapsed="false">
      <c r="A259" s="28" t="str">
        <f aca="false">IF($E259="","",COUNTA($E$4:$E259))</f>
        <v/>
      </c>
      <c r="B259" s="34"/>
      <c r="C259" s="34"/>
      <c r="D259" s="34"/>
      <c r="E259" s="34"/>
      <c r="F259" s="35"/>
      <c r="G259" s="34"/>
      <c r="H259" s="35"/>
      <c r="I259" s="34"/>
      <c r="J259" s="36"/>
      <c r="K259" s="36"/>
      <c r="L259" s="35"/>
      <c r="M259" s="34"/>
      <c r="N259" s="35"/>
      <c r="O259" s="36"/>
      <c r="P259" s="32" t="str">
        <f aca="false">IF($J259="","",$J259-WEEKDAY($J259,3))</f>
        <v/>
      </c>
      <c r="Q259" s="32" t="str">
        <f aca="false">IF($J259="","",IF($K259="",$J259,$K259))</f>
        <v/>
      </c>
      <c r="R259" s="28" t="str">
        <f aca="false">IF($E259="","",IF(OR($N259&lt;&gt;"Concluída",$O259="",$J259=""),0,IF($O259&lt;=$J259,1,0)))</f>
        <v/>
      </c>
      <c r="S259" s="28" t="str">
        <f aca="false">IF($E259="","",IF(OR($N259&lt;&gt;"Concluída",$O259="",$Q259=""),0,IF($O259&lt;=$Q259,1,0)))</f>
        <v/>
      </c>
      <c r="T259" s="28" t="str">
        <f aca="false">IF(OR($J259="",$N259&lt;&gt;"Concluída",$O259=""),"",MAX(0,$O259-$J259))</f>
        <v/>
      </c>
      <c r="U259" s="33" t="str">
        <f aca="true">IF($E259="","",IF($N259="Cancelada","Cancelada",IF($N259="Concluída",IF($R259=1,"No prazo","Concluída com atraso"),IF($J259="","Na carteira",IF($J259&lt;TODAY(),"VENCIDA",IF($J259=TODAY(),"Hoje","Programada"))))))</f>
        <v/>
      </c>
    </row>
    <row r="260" customFormat="false" ht="15.75" hidden="false" customHeight="true" outlineLevel="0" collapsed="false">
      <c r="A260" s="28" t="str">
        <f aca="false">IF($E260="","",COUNTA($E$4:$E260))</f>
        <v/>
      </c>
      <c r="B260" s="29"/>
      <c r="C260" s="29"/>
      <c r="D260" s="29"/>
      <c r="E260" s="29"/>
      <c r="F260" s="30"/>
      <c r="G260" s="29"/>
      <c r="H260" s="30"/>
      <c r="I260" s="29"/>
      <c r="J260" s="31"/>
      <c r="K260" s="31"/>
      <c r="L260" s="30"/>
      <c r="M260" s="29"/>
      <c r="N260" s="30"/>
      <c r="O260" s="31"/>
      <c r="P260" s="32" t="str">
        <f aca="false">IF($J260="","",$J260-WEEKDAY($J260,3))</f>
        <v/>
      </c>
      <c r="Q260" s="32" t="str">
        <f aca="false">IF($J260="","",IF($K260="",$J260,$K260))</f>
        <v/>
      </c>
      <c r="R260" s="28" t="str">
        <f aca="false">IF($E260="","",IF(OR($N260&lt;&gt;"Concluída",$O260="",$J260=""),0,IF($O260&lt;=$J260,1,0)))</f>
        <v/>
      </c>
      <c r="S260" s="28" t="str">
        <f aca="false">IF($E260="","",IF(OR($N260&lt;&gt;"Concluída",$O260="",$Q260=""),0,IF($O260&lt;=$Q260,1,0)))</f>
        <v/>
      </c>
      <c r="T260" s="28" t="str">
        <f aca="false">IF(OR($J260="",$N260&lt;&gt;"Concluída",$O260=""),"",MAX(0,$O260-$J260))</f>
        <v/>
      </c>
      <c r="U260" s="33" t="str">
        <f aca="true">IF($E260="","",IF($N260="Cancelada","Cancelada",IF($N260="Concluída",IF($R260=1,"No prazo","Concluída com atraso"),IF($J260="","Na carteira",IF($J260&lt;TODAY(),"VENCIDA",IF($J260=TODAY(),"Hoje","Programada"))))))</f>
        <v/>
      </c>
    </row>
    <row r="261" customFormat="false" ht="15.75" hidden="false" customHeight="true" outlineLevel="0" collapsed="false">
      <c r="A261" s="28" t="str">
        <f aca="false">IF($E261="","",COUNTA($E$4:$E261))</f>
        <v/>
      </c>
      <c r="B261" s="34"/>
      <c r="C261" s="34"/>
      <c r="D261" s="34"/>
      <c r="E261" s="34"/>
      <c r="F261" s="35"/>
      <c r="G261" s="34"/>
      <c r="H261" s="35"/>
      <c r="I261" s="34"/>
      <c r="J261" s="36"/>
      <c r="K261" s="36"/>
      <c r="L261" s="35"/>
      <c r="M261" s="34"/>
      <c r="N261" s="35"/>
      <c r="O261" s="36"/>
      <c r="P261" s="32" t="str">
        <f aca="false">IF($J261="","",$J261-WEEKDAY($J261,3))</f>
        <v/>
      </c>
      <c r="Q261" s="32" t="str">
        <f aca="false">IF($J261="","",IF($K261="",$J261,$K261))</f>
        <v/>
      </c>
      <c r="R261" s="28" t="str">
        <f aca="false">IF($E261="","",IF(OR($N261&lt;&gt;"Concluída",$O261="",$J261=""),0,IF($O261&lt;=$J261,1,0)))</f>
        <v/>
      </c>
      <c r="S261" s="28" t="str">
        <f aca="false">IF($E261="","",IF(OR($N261&lt;&gt;"Concluída",$O261="",$Q261=""),0,IF($O261&lt;=$Q261,1,0)))</f>
        <v/>
      </c>
      <c r="T261" s="28" t="str">
        <f aca="false">IF(OR($J261="",$N261&lt;&gt;"Concluída",$O261=""),"",MAX(0,$O261-$J261))</f>
        <v/>
      </c>
      <c r="U261" s="33" t="str">
        <f aca="true">IF($E261="","",IF($N261="Cancelada","Cancelada",IF($N261="Concluída",IF($R261=1,"No prazo","Concluída com atraso"),IF($J261="","Na carteira",IF($J261&lt;TODAY(),"VENCIDA",IF($J261=TODAY(),"Hoje","Programada"))))))</f>
        <v/>
      </c>
    </row>
    <row r="262" customFormat="false" ht="15.75" hidden="false" customHeight="true" outlineLevel="0" collapsed="false">
      <c r="A262" s="28" t="str">
        <f aca="false">IF($E262="","",COUNTA($E$4:$E262))</f>
        <v/>
      </c>
      <c r="B262" s="29"/>
      <c r="C262" s="29"/>
      <c r="D262" s="29"/>
      <c r="E262" s="29"/>
      <c r="F262" s="30"/>
      <c r="G262" s="29"/>
      <c r="H262" s="30"/>
      <c r="I262" s="29"/>
      <c r="J262" s="31"/>
      <c r="K262" s="31"/>
      <c r="L262" s="30"/>
      <c r="M262" s="29"/>
      <c r="N262" s="30"/>
      <c r="O262" s="31"/>
      <c r="P262" s="32" t="str">
        <f aca="false">IF($J262="","",$J262-WEEKDAY($J262,3))</f>
        <v/>
      </c>
      <c r="Q262" s="32" t="str">
        <f aca="false">IF($J262="","",IF($K262="",$J262,$K262))</f>
        <v/>
      </c>
      <c r="R262" s="28" t="str">
        <f aca="false">IF($E262="","",IF(OR($N262&lt;&gt;"Concluída",$O262="",$J262=""),0,IF($O262&lt;=$J262,1,0)))</f>
        <v/>
      </c>
      <c r="S262" s="28" t="str">
        <f aca="false">IF($E262="","",IF(OR($N262&lt;&gt;"Concluída",$O262="",$Q262=""),0,IF($O262&lt;=$Q262,1,0)))</f>
        <v/>
      </c>
      <c r="T262" s="28" t="str">
        <f aca="false">IF(OR($J262="",$N262&lt;&gt;"Concluída",$O262=""),"",MAX(0,$O262-$J262))</f>
        <v/>
      </c>
      <c r="U262" s="33" t="str">
        <f aca="true">IF($E262="","",IF($N262="Cancelada","Cancelada",IF($N262="Concluída",IF($R262=1,"No prazo","Concluída com atraso"),IF($J262="","Na carteira",IF($J262&lt;TODAY(),"VENCIDA",IF($J262=TODAY(),"Hoje","Programada"))))))</f>
        <v/>
      </c>
    </row>
    <row r="263" customFormat="false" ht="15.75" hidden="false" customHeight="true" outlineLevel="0" collapsed="false">
      <c r="A263" s="28" t="str">
        <f aca="false">IF($E263="","",COUNTA($E$4:$E263))</f>
        <v/>
      </c>
      <c r="B263" s="34"/>
      <c r="C263" s="34"/>
      <c r="D263" s="34"/>
      <c r="E263" s="34"/>
      <c r="F263" s="35"/>
      <c r="G263" s="34"/>
      <c r="H263" s="35"/>
      <c r="I263" s="34"/>
      <c r="J263" s="36"/>
      <c r="K263" s="36"/>
      <c r="L263" s="35"/>
      <c r="M263" s="34"/>
      <c r="N263" s="35"/>
      <c r="O263" s="36"/>
      <c r="P263" s="32" t="str">
        <f aca="false">IF($J263="","",$J263-WEEKDAY($J263,3))</f>
        <v/>
      </c>
      <c r="Q263" s="32" t="str">
        <f aca="false">IF($J263="","",IF($K263="",$J263,$K263))</f>
        <v/>
      </c>
      <c r="R263" s="28" t="str">
        <f aca="false">IF($E263="","",IF(OR($N263&lt;&gt;"Concluída",$O263="",$J263=""),0,IF($O263&lt;=$J263,1,0)))</f>
        <v/>
      </c>
      <c r="S263" s="28" t="str">
        <f aca="false">IF($E263="","",IF(OR($N263&lt;&gt;"Concluída",$O263="",$Q263=""),0,IF($O263&lt;=$Q263,1,0)))</f>
        <v/>
      </c>
      <c r="T263" s="28" t="str">
        <f aca="false">IF(OR($J263="",$N263&lt;&gt;"Concluída",$O263=""),"",MAX(0,$O263-$J263))</f>
        <v/>
      </c>
      <c r="U263" s="33" t="str">
        <f aca="true">IF($E263="","",IF($N263="Cancelada","Cancelada",IF($N263="Concluída",IF($R263=1,"No prazo","Concluída com atraso"),IF($J263="","Na carteira",IF($J263&lt;TODAY(),"VENCIDA",IF($J263=TODAY(),"Hoje","Programada"))))))</f>
        <v/>
      </c>
    </row>
    <row r="264" customFormat="false" ht="15.75" hidden="false" customHeight="true" outlineLevel="0" collapsed="false">
      <c r="A264" s="28" t="str">
        <f aca="false">IF($E264="","",COUNTA($E$4:$E264))</f>
        <v/>
      </c>
      <c r="B264" s="29"/>
      <c r="C264" s="29"/>
      <c r="D264" s="29"/>
      <c r="E264" s="29"/>
      <c r="F264" s="30"/>
      <c r="G264" s="29"/>
      <c r="H264" s="30"/>
      <c r="I264" s="29"/>
      <c r="J264" s="31"/>
      <c r="K264" s="31"/>
      <c r="L264" s="30"/>
      <c r="M264" s="29"/>
      <c r="N264" s="30"/>
      <c r="O264" s="31"/>
      <c r="P264" s="32" t="str">
        <f aca="false">IF($J264="","",$J264-WEEKDAY($J264,3))</f>
        <v/>
      </c>
      <c r="Q264" s="32" t="str">
        <f aca="false">IF($J264="","",IF($K264="",$J264,$K264))</f>
        <v/>
      </c>
      <c r="R264" s="28" t="str">
        <f aca="false">IF($E264="","",IF(OR($N264&lt;&gt;"Concluída",$O264="",$J264=""),0,IF($O264&lt;=$J264,1,0)))</f>
        <v/>
      </c>
      <c r="S264" s="28" t="str">
        <f aca="false">IF($E264="","",IF(OR($N264&lt;&gt;"Concluída",$O264="",$Q264=""),0,IF($O264&lt;=$Q264,1,0)))</f>
        <v/>
      </c>
      <c r="T264" s="28" t="str">
        <f aca="false">IF(OR($J264="",$N264&lt;&gt;"Concluída",$O264=""),"",MAX(0,$O264-$J264))</f>
        <v/>
      </c>
      <c r="U264" s="33" t="str">
        <f aca="true">IF($E264="","",IF($N264="Cancelada","Cancelada",IF($N264="Concluída",IF($R264=1,"No prazo","Concluída com atraso"),IF($J264="","Na carteira",IF($J264&lt;TODAY(),"VENCIDA",IF($J264=TODAY(),"Hoje","Programada"))))))</f>
        <v/>
      </c>
    </row>
    <row r="265" customFormat="false" ht="15.75" hidden="false" customHeight="true" outlineLevel="0" collapsed="false">
      <c r="A265" s="28" t="str">
        <f aca="false">IF($E265="","",COUNTA($E$4:$E265))</f>
        <v/>
      </c>
      <c r="B265" s="34"/>
      <c r="C265" s="34"/>
      <c r="D265" s="34"/>
      <c r="E265" s="34"/>
      <c r="F265" s="35"/>
      <c r="G265" s="34"/>
      <c r="H265" s="35"/>
      <c r="I265" s="34"/>
      <c r="J265" s="36"/>
      <c r="K265" s="36"/>
      <c r="L265" s="35"/>
      <c r="M265" s="34"/>
      <c r="N265" s="35"/>
      <c r="O265" s="36"/>
      <c r="P265" s="32" t="str">
        <f aca="false">IF($J265="","",$J265-WEEKDAY($J265,3))</f>
        <v/>
      </c>
      <c r="Q265" s="32" t="str">
        <f aca="false">IF($J265="","",IF($K265="",$J265,$K265))</f>
        <v/>
      </c>
      <c r="R265" s="28" t="str">
        <f aca="false">IF($E265="","",IF(OR($N265&lt;&gt;"Concluída",$O265="",$J265=""),0,IF($O265&lt;=$J265,1,0)))</f>
        <v/>
      </c>
      <c r="S265" s="28" t="str">
        <f aca="false">IF($E265="","",IF(OR($N265&lt;&gt;"Concluída",$O265="",$Q265=""),0,IF($O265&lt;=$Q265,1,0)))</f>
        <v/>
      </c>
      <c r="T265" s="28" t="str">
        <f aca="false">IF(OR($J265="",$N265&lt;&gt;"Concluída",$O265=""),"",MAX(0,$O265-$J265))</f>
        <v/>
      </c>
      <c r="U265" s="33" t="str">
        <f aca="true">IF($E265="","",IF($N265="Cancelada","Cancelada",IF($N265="Concluída",IF($R265=1,"No prazo","Concluída com atraso"),IF($J265="","Na carteira",IF($J265&lt;TODAY(),"VENCIDA",IF($J265=TODAY(),"Hoje","Programada"))))))</f>
        <v/>
      </c>
    </row>
    <row r="266" customFormat="false" ht="15.75" hidden="false" customHeight="true" outlineLevel="0" collapsed="false">
      <c r="A266" s="28" t="str">
        <f aca="false">IF($E266="","",COUNTA($E$4:$E266))</f>
        <v/>
      </c>
      <c r="B266" s="29"/>
      <c r="C266" s="29"/>
      <c r="D266" s="29"/>
      <c r="E266" s="29"/>
      <c r="F266" s="30"/>
      <c r="G266" s="29"/>
      <c r="H266" s="30"/>
      <c r="I266" s="29"/>
      <c r="J266" s="31"/>
      <c r="K266" s="31"/>
      <c r="L266" s="30"/>
      <c r="M266" s="29"/>
      <c r="N266" s="30"/>
      <c r="O266" s="31"/>
      <c r="P266" s="32" t="str">
        <f aca="false">IF($J266="","",$J266-WEEKDAY($J266,3))</f>
        <v/>
      </c>
      <c r="Q266" s="32" t="str">
        <f aca="false">IF($J266="","",IF($K266="",$J266,$K266))</f>
        <v/>
      </c>
      <c r="R266" s="28" t="str">
        <f aca="false">IF($E266="","",IF(OR($N266&lt;&gt;"Concluída",$O266="",$J266=""),0,IF($O266&lt;=$J266,1,0)))</f>
        <v/>
      </c>
      <c r="S266" s="28" t="str">
        <f aca="false">IF($E266="","",IF(OR($N266&lt;&gt;"Concluída",$O266="",$Q266=""),0,IF($O266&lt;=$Q266,1,0)))</f>
        <v/>
      </c>
      <c r="T266" s="28" t="str">
        <f aca="false">IF(OR($J266="",$N266&lt;&gt;"Concluída",$O266=""),"",MAX(0,$O266-$J266))</f>
        <v/>
      </c>
      <c r="U266" s="33" t="str">
        <f aca="true">IF($E266="","",IF($N266="Cancelada","Cancelada",IF($N266="Concluída",IF($R266=1,"No prazo","Concluída com atraso"),IF($J266="","Na carteira",IF($J266&lt;TODAY(),"VENCIDA",IF($J266=TODAY(),"Hoje","Programada"))))))</f>
        <v/>
      </c>
    </row>
    <row r="267" customFormat="false" ht="15.75" hidden="false" customHeight="true" outlineLevel="0" collapsed="false">
      <c r="A267" s="28" t="str">
        <f aca="false">IF($E267="","",COUNTA($E$4:$E267))</f>
        <v/>
      </c>
      <c r="B267" s="34"/>
      <c r="C267" s="34"/>
      <c r="D267" s="34"/>
      <c r="E267" s="34"/>
      <c r="F267" s="35"/>
      <c r="G267" s="34"/>
      <c r="H267" s="35"/>
      <c r="I267" s="34"/>
      <c r="J267" s="36"/>
      <c r="K267" s="36"/>
      <c r="L267" s="35"/>
      <c r="M267" s="34"/>
      <c r="N267" s="35"/>
      <c r="O267" s="36"/>
      <c r="P267" s="32" t="str">
        <f aca="false">IF($J267="","",$J267-WEEKDAY($J267,3))</f>
        <v/>
      </c>
      <c r="Q267" s="32" t="str">
        <f aca="false">IF($J267="","",IF($K267="",$J267,$K267))</f>
        <v/>
      </c>
      <c r="R267" s="28" t="str">
        <f aca="false">IF($E267="","",IF(OR($N267&lt;&gt;"Concluída",$O267="",$J267=""),0,IF($O267&lt;=$J267,1,0)))</f>
        <v/>
      </c>
      <c r="S267" s="28" t="str">
        <f aca="false">IF($E267="","",IF(OR($N267&lt;&gt;"Concluída",$O267="",$Q267=""),0,IF($O267&lt;=$Q267,1,0)))</f>
        <v/>
      </c>
      <c r="T267" s="28" t="str">
        <f aca="false">IF(OR($J267="",$N267&lt;&gt;"Concluída",$O267=""),"",MAX(0,$O267-$J267))</f>
        <v/>
      </c>
      <c r="U267" s="33" t="str">
        <f aca="true">IF($E267="","",IF($N267="Cancelada","Cancelada",IF($N267="Concluída",IF($R267=1,"No prazo","Concluída com atraso"),IF($J267="","Na carteira",IF($J267&lt;TODAY(),"VENCIDA",IF($J267=TODAY(),"Hoje","Programada"))))))</f>
        <v/>
      </c>
    </row>
    <row r="268" customFormat="false" ht="15.75" hidden="false" customHeight="true" outlineLevel="0" collapsed="false">
      <c r="A268" s="28" t="str">
        <f aca="false">IF($E268="","",COUNTA($E$4:$E268))</f>
        <v/>
      </c>
      <c r="B268" s="29"/>
      <c r="C268" s="29"/>
      <c r="D268" s="29"/>
      <c r="E268" s="29"/>
      <c r="F268" s="30"/>
      <c r="G268" s="29"/>
      <c r="H268" s="30"/>
      <c r="I268" s="29"/>
      <c r="J268" s="31"/>
      <c r="K268" s="31"/>
      <c r="L268" s="30"/>
      <c r="M268" s="29"/>
      <c r="N268" s="30"/>
      <c r="O268" s="31"/>
      <c r="P268" s="32" t="str">
        <f aca="false">IF($J268="","",$J268-WEEKDAY($J268,3))</f>
        <v/>
      </c>
      <c r="Q268" s="32" t="str">
        <f aca="false">IF($J268="","",IF($K268="",$J268,$K268))</f>
        <v/>
      </c>
      <c r="R268" s="28" t="str">
        <f aca="false">IF($E268="","",IF(OR($N268&lt;&gt;"Concluída",$O268="",$J268=""),0,IF($O268&lt;=$J268,1,0)))</f>
        <v/>
      </c>
      <c r="S268" s="28" t="str">
        <f aca="false">IF($E268="","",IF(OR($N268&lt;&gt;"Concluída",$O268="",$Q268=""),0,IF($O268&lt;=$Q268,1,0)))</f>
        <v/>
      </c>
      <c r="T268" s="28" t="str">
        <f aca="false">IF(OR($J268="",$N268&lt;&gt;"Concluída",$O268=""),"",MAX(0,$O268-$J268))</f>
        <v/>
      </c>
      <c r="U268" s="33" t="str">
        <f aca="true">IF($E268="","",IF($N268="Cancelada","Cancelada",IF($N268="Concluída",IF($R268=1,"No prazo","Concluída com atraso"),IF($J268="","Na carteira",IF($J268&lt;TODAY(),"VENCIDA",IF($J268=TODAY(),"Hoje","Programada"))))))</f>
        <v/>
      </c>
    </row>
    <row r="269" customFormat="false" ht="15.75" hidden="false" customHeight="true" outlineLevel="0" collapsed="false">
      <c r="A269" s="28" t="str">
        <f aca="false">IF($E269="","",COUNTA($E$4:$E269))</f>
        <v/>
      </c>
      <c r="B269" s="34"/>
      <c r="C269" s="34"/>
      <c r="D269" s="34"/>
      <c r="E269" s="34"/>
      <c r="F269" s="35"/>
      <c r="G269" s="34"/>
      <c r="H269" s="35"/>
      <c r="I269" s="34"/>
      <c r="J269" s="36"/>
      <c r="K269" s="36"/>
      <c r="L269" s="35"/>
      <c r="M269" s="34"/>
      <c r="N269" s="35"/>
      <c r="O269" s="36"/>
      <c r="P269" s="32" t="str">
        <f aca="false">IF($J269="","",$J269-WEEKDAY($J269,3))</f>
        <v/>
      </c>
      <c r="Q269" s="32" t="str">
        <f aca="false">IF($J269="","",IF($K269="",$J269,$K269))</f>
        <v/>
      </c>
      <c r="R269" s="28" t="str">
        <f aca="false">IF($E269="","",IF(OR($N269&lt;&gt;"Concluída",$O269="",$J269=""),0,IF($O269&lt;=$J269,1,0)))</f>
        <v/>
      </c>
      <c r="S269" s="28" t="str">
        <f aca="false">IF($E269="","",IF(OR($N269&lt;&gt;"Concluída",$O269="",$Q269=""),0,IF($O269&lt;=$Q269,1,0)))</f>
        <v/>
      </c>
      <c r="T269" s="28" t="str">
        <f aca="false">IF(OR($J269="",$N269&lt;&gt;"Concluída",$O269=""),"",MAX(0,$O269-$J269))</f>
        <v/>
      </c>
      <c r="U269" s="33" t="str">
        <f aca="true">IF($E269="","",IF($N269="Cancelada","Cancelada",IF($N269="Concluída",IF($R269=1,"No prazo","Concluída com atraso"),IF($J269="","Na carteira",IF($J269&lt;TODAY(),"VENCIDA",IF($J269=TODAY(),"Hoje","Programada"))))))</f>
        <v/>
      </c>
    </row>
    <row r="270" customFormat="false" ht="15.75" hidden="false" customHeight="true" outlineLevel="0" collapsed="false">
      <c r="A270" s="28" t="str">
        <f aca="false">IF($E270="","",COUNTA($E$4:$E270))</f>
        <v/>
      </c>
      <c r="B270" s="29"/>
      <c r="C270" s="29"/>
      <c r="D270" s="29"/>
      <c r="E270" s="29"/>
      <c r="F270" s="30"/>
      <c r="G270" s="29"/>
      <c r="H270" s="30"/>
      <c r="I270" s="29"/>
      <c r="J270" s="31"/>
      <c r="K270" s="31"/>
      <c r="L270" s="30"/>
      <c r="M270" s="29"/>
      <c r="N270" s="30"/>
      <c r="O270" s="31"/>
      <c r="P270" s="32" t="str">
        <f aca="false">IF($J270="","",$J270-WEEKDAY($J270,3))</f>
        <v/>
      </c>
      <c r="Q270" s="32" t="str">
        <f aca="false">IF($J270="","",IF($K270="",$J270,$K270))</f>
        <v/>
      </c>
      <c r="R270" s="28" t="str">
        <f aca="false">IF($E270="","",IF(OR($N270&lt;&gt;"Concluída",$O270="",$J270=""),0,IF($O270&lt;=$J270,1,0)))</f>
        <v/>
      </c>
      <c r="S270" s="28" t="str">
        <f aca="false">IF($E270="","",IF(OR($N270&lt;&gt;"Concluída",$O270="",$Q270=""),0,IF($O270&lt;=$Q270,1,0)))</f>
        <v/>
      </c>
      <c r="T270" s="28" t="str">
        <f aca="false">IF(OR($J270="",$N270&lt;&gt;"Concluída",$O270=""),"",MAX(0,$O270-$J270))</f>
        <v/>
      </c>
      <c r="U270" s="33" t="str">
        <f aca="true">IF($E270="","",IF($N270="Cancelada","Cancelada",IF($N270="Concluída",IF($R270=1,"No prazo","Concluída com atraso"),IF($J270="","Na carteira",IF($J270&lt;TODAY(),"VENCIDA",IF($J270=TODAY(),"Hoje","Programada"))))))</f>
        <v/>
      </c>
    </row>
    <row r="271" customFormat="false" ht="15.75" hidden="false" customHeight="true" outlineLevel="0" collapsed="false">
      <c r="A271" s="28" t="str">
        <f aca="false">IF($E271="","",COUNTA($E$4:$E271))</f>
        <v/>
      </c>
      <c r="B271" s="34"/>
      <c r="C271" s="34"/>
      <c r="D271" s="34"/>
      <c r="E271" s="34"/>
      <c r="F271" s="35"/>
      <c r="G271" s="34"/>
      <c r="H271" s="35"/>
      <c r="I271" s="34"/>
      <c r="J271" s="36"/>
      <c r="K271" s="36"/>
      <c r="L271" s="35"/>
      <c r="M271" s="34"/>
      <c r="N271" s="35"/>
      <c r="O271" s="36"/>
      <c r="P271" s="32" t="str">
        <f aca="false">IF($J271="","",$J271-WEEKDAY($J271,3))</f>
        <v/>
      </c>
      <c r="Q271" s="32" t="str">
        <f aca="false">IF($J271="","",IF($K271="",$J271,$K271))</f>
        <v/>
      </c>
      <c r="R271" s="28" t="str">
        <f aca="false">IF($E271="","",IF(OR($N271&lt;&gt;"Concluída",$O271="",$J271=""),0,IF($O271&lt;=$J271,1,0)))</f>
        <v/>
      </c>
      <c r="S271" s="28" t="str">
        <f aca="false">IF($E271="","",IF(OR($N271&lt;&gt;"Concluída",$O271="",$Q271=""),0,IF($O271&lt;=$Q271,1,0)))</f>
        <v/>
      </c>
      <c r="T271" s="28" t="str">
        <f aca="false">IF(OR($J271="",$N271&lt;&gt;"Concluída",$O271=""),"",MAX(0,$O271-$J271))</f>
        <v/>
      </c>
      <c r="U271" s="33" t="str">
        <f aca="true">IF($E271="","",IF($N271="Cancelada","Cancelada",IF($N271="Concluída",IF($R271=1,"No prazo","Concluída com atraso"),IF($J271="","Na carteira",IF($J271&lt;TODAY(),"VENCIDA",IF($J271=TODAY(),"Hoje","Programada"))))))</f>
        <v/>
      </c>
    </row>
    <row r="272" customFormat="false" ht="15.75" hidden="false" customHeight="true" outlineLevel="0" collapsed="false">
      <c r="A272" s="28" t="str">
        <f aca="false">IF($E272="","",COUNTA($E$4:$E272))</f>
        <v/>
      </c>
      <c r="B272" s="29"/>
      <c r="C272" s="29"/>
      <c r="D272" s="29"/>
      <c r="E272" s="29"/>
      <c r="F272" s="30"/>
      <c r="G272" s="29"/>
      <c r="H272" s="30"/>
      <c r="I272" s="29"/>
      <c r="J272" s="31"/>
      <c r="K272" s="31"/>
      <c r="L272" s="30"/>
      <c r="M272" s="29"/>
      <c r="N272" s="30"/>
      <c r="O272" s="31"/>
      <c r="P272" s="32" t="str">
        <f aca="false">IF($J272="","",$J272-WEEKDAY($J272,3))</f>
        <v/>
      </c>
      <c r="Q272" s="32" t="str">
        <f aca="false">IF($J272="","",IF($K272="",$J272,$K272))</f>
        <v/>
      </c>
      <c r="R272" s="28" t="str">
        <f aca="false">IF($E272="","",IF(OR($N272&lt;&gt;"Concluída",$O272="",$J272=""),0,IF($O272&lt;=$J272,1,0)))</f>
        <v/>
      </c>
      <c r="S272" s="28" t="str">
        <f aca="false">IF($E272="","",IF(OR($N272&lt;&gt;"Concluída",$O272="",$Q272=""),0,IF($O272&lt;=$Q272,1,0)))</f>
        <v/>
      </c>
      <c r="T272" s="28" t="str">
        <f aca="false">IF(OR($J272="",$N272&lt;&gt;"Concluída",$O272=""),"",MAX(0,$O272-$J272))</f>
        <v/>
      </c>
      <c r="U272" s="33" t="str">
        <f aca="true">IF($E272="","",IF($N272="Cancelada","Cancelada",IF($N272="Concluída",IF($R272=1,"No prazo","Concluída com atraso"),IF($J272="","Na carteira",IF($J272&lt;TODAY(),"VENCIDA",IF($J272=TODAY(),"Hoje","Programada"))))))</f>
        <v/>
      </c>
    </row>
    <row r="273" customFormat="false" ht="15.75" hidden="false" customHeight="true" outlineLevel="0" collapsed="false">
      <c r="A273" s="28" t="str">
        <f aca="false">IF($E273="","",COUNTA($E$4:$E273))</f>
        <v/>
      </c>
      <c r="B273" s="34"/>
      <c r="C273" s="34"/>
      <c r="D273" s="34"/>
      <c r="E273" s="34"/>
      <c r="F273" s="35"/>
      <c r="G273" s="34"/>
      <c r="H273" s="35"/>
      <c r="I273" s="34"/>
      <c r="J273" s="36"/>
      <c r="K273" s="36"/>
      <c r="L273" s="35"/>
      <c r="M273" s="34"/>
      <c r="N273" s="35"/>
      <c r="O273" s="36"/>
      <c r="P273" s="32" t="str">
        <f aca="false">IF($J273="","",$J273-WEEKDAY($J273,3))</f>
        <v/>
      </c>
      <c r="Q273" s="32" t="str">
        <f aca="false">IF($J273="","",IF($K273="",$J273,$K273))</f>
        <v/>
      </c>
      <c r="R273" s="28" t="str">
        <f aca="false">IF($E273="","",IF(OR($N273&lt;&gt;"Concluída",$O273="",$J273=""),0,IF($O273&lt;=$J273,1,0)))</f>
        <v/>
      </c>
      <c r="S273" s="28" t="str">
        <f aca="false">IF($E273="","",IF(OR($N273&lt;&gt;"Concluída",$O273="",$Q273=""),0,IF($O273&lt;=$Q273,1,0)))</f>
        <v/>
      </c>
      <c r="T273" s="28" t="str">
        <f aca="false">IF(OR($J273="",$N273&lt;&gt;"Concluída",$O273=""),"",MAX(0,$O273-$J273))</f>
        <v/>
      </c>
      <c r="U273" s="33" t="str">
        <f aca="true">IF($E273="","",IF($N273="Cancelada","Cancelada",IF($N273="Concluída",IF($R273=1,"No prazo","Concluída com atraso"),IF($J273="","Na carteira",IF($J273&lt;TODAY(),"VENCIDA",IF($J273=TODAY(),"Hoje","Programada"))))))</f>
        <v/>
      </c>
    </row>
    <row r="274" customFormat="false" ht="15.75" hidden="false" customHeight="true" outlineLevel="0" collapsed="false">
      <c r="A274" s="28" t="str">
        <f aca="false">IF($E274="","",COUNTA($E$4:$E274))</f>
        <v/>
      </c>
      <c r="B274" s="29"/>
      <c r="C274" s="29"/>
      <c r="D274" s="29"/>
      <c r="E274" s="29"/>
      <c r="F274" s="30"/>
      <c r="G274" s="29"/>
      <c r="H274" s="30"/>
      <c r="I274" s="29"/>
      <c r="J274" s="31"/>
      <c r="K274" s="31"/>
      <c r="L274" s="30"/>
      <c r="M274" s="29"/>
      <c r="N274" s="30"/>
      <c r="O274" s="31"/>
      <c r="P274" s="32" t="str">
        <f aca="false">IF($J274="","",$J274-WEEKDAY($J274,3))</f>
        <v/>
      </c>
      <c r="Q274" s="32" t="str">
        <f aca="false">IF($J274="","",IF($K274="",$J274,$K274))</f>
        <v/>
      </c>
      <c r="R274" s="28" t="str">
        <f aca="false">IF($E274="","",IF(OR($N274&lt;&gt;"Concluída",$O274="",$J274=""),0,IF($O274&lt;=$J274,1,0)))</f>
        <v/>
      </c>
      <c r="S274" s="28" t="str">
        <f aca="false">IF($E274="","",IF(OR($N274&lt;&gt;"Concluída",$O274="",$Q274=""),0,IF($O274&lt;=$Q274,1,0)))</f>
        <v/>
      </c>
      <c r="T274" s="28" t="str">
        <f aca="false">IF(OR($J274="",$N274&lt;&gt;"Concluída",$O274=""),"",MAX(0,$O274-$J274))</f>
        <v/>
      </c>
      <c r="U274" s="33" t="str">
        <f aca="true">IF($E274="","",IF($N274="Cancelada","Cancelada",IF($N274="Concluída",IF($R274=1,"No prazo","Concluída com atraso"),IF($J274="","Na carteira",IF($J274&lt;TODAY(),"VENCIDA",IF($J274=TODAY(),"Hoje","Programada"))))))</f>
        <v/>
      </c>
    </row>
    <row r="275" customFormat="false" ht="15.75" hidden="false" customHeight="true" outlineLevel="0" collapsed="false">
      <c r="A275" s="28" t="str">
        <f aca="false">IF($E275="","",COUNTA($E$4:$E275))</f>
        <v/>
      </c>
      <c r="B275" s="34"/>
      <c r="C275" s="34"/>
      <c r="D275" s="34"/>
      <c r="E275" s="34"/>
      <c r="F275" s="35"/>
      <c r="G275" s="34"/>
      <c r="H275" s="35"/>
      <c r="I275" s="34"/>
      <c r="J275" s="36"/>
      <c r="K275" s="36"/>
      <c r="L275" s="35"/>
      <c r="M275" s="34"/>
      <c r="N275" s="35"/>
      <c r="O275" s="36"/>
      <c r="P275" s="32" t="str">
        <f aca="false">IF($J275="","",$J275-WEEKDAY($J275,3))</f>
        <v/>
      </c>
      <c r="Q275" s="32" t="str">
        <f aca="false">IF($J275="","",IF($K275="",$J275,$K275))</f>
        <v/>
      </c>
      <c r="R275" s="28" t="str">
        <f aca="false">IF($E275="","",IF(OR($N275&lt;&gt;"Concluída",$O275="",$J275=""),0,IF($O275&lt;=$J275,1,0)))</f>
        <v/>
      </c>
      <c r="S275" s="28" t="str">
        <f aca="false">IF($E275="","",IF(OR($N275&lt;&gt;"Concluída",$O275="",$Q275=""),0,IF($O275&lt;=$Q275,1,0)))</f>
        <v/>
      </c>
      <c r="T275" s="28" t="str">
        <f aca="false">IF(OR($J275="",$N275&lt;&gt;"Concluída",$O275=""),"",MAX(0,$O275-$J275))</f>
        <v/>
      </c>
      <c r="U275" s="33" t="str">
        <f aca="true">IF($E275="","",IF($N275="Cancelada","Cancelada",IF($N275="Concluída",IF($R275=1,"No prazo","Concluída com atraso"),IF($J275="","Na carteira",IF($J275&lt;TODAY(),"VENCIDA",IF($J275=TODAY(),"Hoje","Programada"))))))</f>
        <v/>
      </c>
    </row>
    <row r="276" customFormat="false" ht="15.75" hidden="false" customHeight="true" outlineLevel="0" collapsed="false">
      <c r="A276" s="28" t="str">
        <f aca="false">IF($E276="","",COUNTA($E$4:$E276))</f>
        <v/>
      </c>
      <c r="B276" s="29"/>
      <c r="C276" s="29"/>
      <c r="D276" s="29"/>
      <c r="E276" s="29"/>
      <c r="F276" s="30"/>
      <c r="G276" s="29"/>
      <c r="H276" s="30"/>
      <c r="I276" s="29"/>
      <c r="J276" s="31"/>
      <c r="K276" s="31"/>
      <c r="L276" s="30"/>
      <c r="M276" s="29"/>
      <c r="N276" s="30"/>
      <c r="O276" s="31"/>
      <c r="P276" s="32" t="str">
        <f aca="false">IF($J276="","",$J276-WEEKDAY($J276,3))</f>
        <v/>
      </c>
      <c r="Q276" s="32" t="str">
        <f aca="false">IF($J276="","",IF($K276="",$J276,$K276))</f>
        <v/>
      </c>
      <c r="R276" s="28" t="str">
        <f aca="false">IF($E276="","",IF(OR($N276&lt;&gt;"Concluída",$O276="",$J276=""),0,IF($O276&lt;=$J276,1,0)))</f>
        <v/>
      </c>
      <c r="S276" s="28" t="str">
        <f aca="false">IF($E276="","",IF(OR($N276&lt;&gt;"Concluída",$O276="",$Q276=""),0,IF($O276&lt;=$Q276,1,0)))</f>
        <v/>
      </c>
      <c r="T276" s="28" t="str">
        <f aca="false">IF(OR($J276="",$N276&lt;&gt;"Concluída",$O276=""),"",MAX(0,$O276-$J276))</f>
        <v/>
      </c>
      <c r="U276" s="33" t="str">
        <f aca="true">IF($E276="","",IF($N276="Cancelada","Cancelada",IF($N276="Concluída",IF($R276=1,"No prazo","Concluída com atraso"),IF($J276="","Na carteira",IF($J276&lt;TODAY(),"VENCIDA",IF($J276=TODAY(),"Hoje","Programada"))))))</f>
        <v/>
      </c>
    </row>
    <row r="277" customFormat="false" ht="15.75" hidden="false" customHeight="true" outlineLevel="0" collapsed="false">
      <c r="A277" s="28" t="str">
        <f aca="false">IF($E277="","",COUNTA($E$4:$E277))</f>
        <v/>
      </c>
      <c r="B277" s="34"/>
      <c r="C277" s="34"/>
      <c r="D277" s="34"/>
      <c r="E277" s="34"/>
      <c r="F277" s="35"/>
      <c r="G277" s="34"/>
      <c r="H277" s="35"/>
      <c r="I277" s="34"/>
      <c r="J277" s="36"/>
      <c r="K277" s="36"/>
      <c r="L277" s="35"/>
      <c r="M277" s="34"/>
      <c r="N277" s="35"/>
      <c r="O277" s="36"/>
      <c r="P277" s="32" t="str">
        <f aca="false">IF($J277="","",$J277-WEEKDAY($J277,3))</f>
        <v/>
      </c>
      <c r="Q277" s="32" t="str">
        <f aca="false">IF($J277="","",IF($K277="",$J277,$K277))</f>
        <v/>
      </c>
      <c r="R277" s="28" t="str">
        <f aca="false">IF($E277="","",IF(OR($N277&lt;&gt;"Concluída",$O277="",$J277=""),0,IF($O277&lt;=$J277,1,0)))</f>
        <v/>
      </c>
      <c r="S277" s="28" t="str">
        <f aca="false">IF($E277="","",IF(OR($N277&lt;&gt;"Concluída",$O277="",$Q277=""),0,IF($O277&lt;=$Q277,1,0)))</f>
        <v/>
      </c>
      <c r="T277" s="28" t="str">
        <f aca="false">IF(OR($J277="",$N277&lt;&gt;"Concluída",$O277=""),"",MAX(0,$O277-$J277))</f>
        <v/>
      </c>
      <c r="U277" s="33" t="str">
        <f aca="true">IF($E277="","",IF($N277="Cancelada","Cancelada",IF($N277="Concluída",IF($R277=1,"No prazo","Concluída com atraso"),IF($J277="","Na carteira",IF($J277&lt;TODAY(),"VENCIDA",IF($J277=TODAY(),"Hoje","Programada"))))))</f>
        <v/>
      </c>
    </row>
    <row r="278" customFormat="false" ht="15.75" hidden="false" customHeight="true" outlineLevel="0" collapsed="false">
      <c r="A278" s="28" t="str">
        <f aca="false">IF($E278="","",COUNTA($E$4:$E278))</f>
        <v/>
      </c>
      <c r="B278" s="29"/>
      <c r="C278" s="29"/>
      <c r="D278" s="29"/>
      <c r="E278" s="29"/>
      <c r="F278" s="30"/>
      <c r="G278" s="29"/>
      <c r="H278" s="30"/>
      <c r="I278" s="29"/>
      <c r="J278" s="31"/>
      <c r="K278" s="31"/>
      <c r="L278" s="30"/>
      <c r="M278" s="29"/>
      <c r="N278" s="30"/>
      <c r="O278" s="31"/>
      <c r="P278" s="32" t="str">
        <f aca="false">IF($J278="","",$J278-WEEKDAY($J278,3))</f>
        <v/>
      </c>
      <c r="Q278" s="32" t="str">
        <f aca="false">IF($J278="","",IF($K278="",$J278,$K278))</f>
        <v/>
      </c>
      <c r="R278" s="28" t="str">
        <f aca="false">IF($E278="","",IF(OR($N278&lt;&gt;"Concluída",$O278="",$J278=""),0,IF($O278&lt;=$J278,1,0)))</f>
        <v/>
      </c>
      <c r="S278" s="28" t="str">
        <f aca="false">IF($E278="","",IF(OR($N278&lt;&gt;"Concluída",$O278="",$Q278=""),0,IF($O278&lt;=$Q278,1,0)))</f>
        <v/>
      </c>
      <c r="T278" s="28" t="str">
        <f aca="false">IF(OR($J278="",$N278&lt;&gt;"Concluída",$O278=""),"",MAX(0,$O278-$J278))</f>
        <v/>
      </c>
      <c r="U278" s="33" t="str">
        <f aca="true">IF($E278="","",IF($N278="Cancelada","Cancelada",IF($N278="Concluída",IF($R278=1,"No prazo","Concluída com atraso"),IF($J278="","Na carteira",IF($J278&lt;TODAY(),"VENCIDA",IF($J278=TODAY(),"Hoje","Programada"))))))</f>
        <v/>
      </c>
    </row>
    <row r="279" customFormat="false" ht="15.75" hidden="false" customHeight="true" outlineLevel="0" collapsed="false">
      <c r="A279" s="28" t="str">
        <f aca="false">IF($E279="","",COUNTA($E$4:$E279))</f>
        <v/>
      </c>
      <c r="B279" s="34"/>
      <c r="C279" s="34"/>
      <c r="D279" s="34"/>
      <c r="E279" s="34"/>
      <c r="F279" s="35"/>
      <c r="G279" s="34"/>
      <c r="H279" s="35"/>
      <c r="I279" s="34"/>
      <c r="J279" s="36"/>
      <c r="K279" s="36"/>
      <c r="L279" s="35"/>
      <c r="M279" s="34"/>
      <c r="N279" s="35"/>
      <c r="O279" s="36"/>
      <c r="P279" s="32" t="str">
        <f aca="false">IF($J279="","",$J279-WEEKDAY($J279,3))</f>
        <v/>
      </c>
      <c r="Q279" s="32" t="str">
        <f aca="false">IF($J279="","",IF($K279="",$J279,$K279))</f>
        <v/>
      </c>
      <c r="R279" s="28" t="str">
        <f aca="false">IF($E279="","",IF(OR($N279&lt;&gt;"Concluída",$O279="",$J279=""),0,IF($O279&lt;=$J279,1,0)))</f>
        <v/>
      </c>
      <c r="S279" s="28" t="str">
        <f aca="false">IF($E279="","",IF(OR($N279&lt;&gt;"Concluída",$O279="",$Q279=""),0,IF($O279&lt;=$Q279,1,0)))</f>
        <v/>
      </c>
      <c r="T279" s="28" t="str">
        <f aca="false">IF(OR($J279="",$N279&lt;&gt;"Concluída",$O279=""),"",MAX(0,$O279-$J279))</f>
        <v/>
      </c>
      <c r="U279" s="33" t="str">
        <f aca="true">IF($E279="","",IF($N279="Cancelada","Cancelada",IF($N279="Concluída",IF($R279=1,"No prazo","Concluída com atraso"),IF($J279="","Na carteira",IF($J279&lt;TODAY(),"VENCIDA",IF($J279=TODAY(),"Hoje","Programada"))))))</f>
        <v/>
      </c>
    </row>
    <row r="280" customFormat="false" ht="15.75" hidden="false" customHeight="true" outlineLevel="0" collapsed="false">
      <c r="A280" s="28" t="str">
        <f aca="false">IF($E280="","",COUNTA($E$4:$E280))</f>
        <v/>
      </c>
      <c r="B280" s="29"/>
      <c r="C280" s="29"/>
      <c r="D280" s="29"/>
      <c r="E280" s="29"/>
      <c r="F280" s="30"/>
      <c r="G280" s="29"/>
      <c r="H280" s="30"/>
      <c r="I280" s="29"/>
      <c r="J280" s="31"/>
      <c r="K280" s="31"/>
      <c r="L280" s="30"/>
      <c r="M280" s="29"/>
      <c r="N280" s="30"/>
      <c r="O280" s="31"/>
      <c r="P280" s="32" t="str">
        <f aca="false">IF($J280="","",$J280-WEEKDAY($J280,3))</f>
        <v/>
      </c>
      <c r="Q280" s="32" t="str">
        <f aca="false">IF($J280="","",IF($K280="",$J280,$K280))</f>
        <v/>
      </c>
      <c r="R280" s="28" t="str">
        <f aca="false">IF($E280="","",IF(OR($N280&lt;&gt;"Concluída",$O280="",$J280=""),0,IF($O280&lt;=$J280,1,0)))</f>
        <v/>
      </c>
      <c r="S280" s="28" t="str">
        <f aca="false">IF($E280="","",IF(OR($N280&lt;&gt;"Concluída",$O280="",$Q280=""),0,IF($O280&lt;=$Q280,1,0)))</f>
        <v/>
      </c>
      <c r="T280" s="28" t="str">
        <f aca="false">IF(OR($J280="",$N280&lt;&gt;"Concluída",$O280=""),"",MAX(0,$O280-$J280))</f>
        <v/>
      </c>
      <c r="U280" s="33" t="str">
        <f aca="true">IF($E280="","",IF($N280="Cancelada","Cancelada",IF($N280="Concluída",IF($R280=1,"No prazo","Concluída com atraso"),IF($J280="","Na carteira",IF($J280&lt;TODAY(),"VENCIDA",IF($J280=TODAY(),"Hoje","Programada"))))))</f>
        <v/>
      </c>
    </row>
    <row r="281" customFormat="false" ht="15.75" hidden="false" customHeight="true" outlineLevel="0" collapsed="false">
      <c r="A281" s="28" t="str">
        <f aca="false">IF($E281="","",COUNTA($E$4:$E281))</f>
        <v/>
      </c>
      <c r="B281" s="34"/>
      <c r="C281" s="34"/>
      <c r="D281" s="34"/>
      <c r="E281" s="34"/>
      <c r="F281" s="35"/>
      <c r="G281" s="34"/>
      <c r="H281" s="35"/>
      <c r="I281" s="34"/>
      <c r="J281" s="36"/>
      <c r="K281" s="36"/>
      <c r="L281" s="35"/>
      <c r="M281" s="34"/>
      <c r="N281" s="35"/>
      <c r="O281" s="36"/>
      <c r="P281" s="32" t="str">
        <f aca="false">IF($J281="","",$J281-WEEKDAY($J281,3))</f>
        <v/>
      </c>
      <c r="Q281" s="32" t="str">
        <f aca="false">IF($J281="","",IF($K281="",$J281,$K281))</f>
        <v/>
      </c>
      <c r="R281" s="28" t="str">
        <f aca="false">IF($E281="","",IF(OR($N281&lt;&gt;"Concluída",$O281="",$J281=""),0,IF($O281&lt;=$J281,1,0)))</f>
        <v/>
      </c>
      <c r="S281" s="28" t="str">
        <f aca="false">IF($E281="","",IF(OR($N281&lt;&gt;"Concluída",$O281="",$Q281=""),0,IF($O281&lt;=$Q281,1,0)))</f>
        <v/>
      </c>
      <c r="T281" s="28" t="str">
        <f aca="false">IF(OR($J281="",$N281&lt;&gt;"Concluída",$O281=""),"",MAX(0,$O281-$J281))</f>
        <v/>
      </c>
      <c r="U281" s="33" t="str">
        <f aca="true">IF($E281="","",IF($N281="Cancelada","Cancelada",IF($N281="Concluída",IF($R281=1,"No prazo","Concluída com atraso"),IF($J281="","Na carteira",IF($J281&lt;TODAY(),"VENCIDA",IF($J281=TODAY(),"Hoje","Programada"))))))</f>
        <v/>
      </c>
    </row>
    <row r="282" customFormat="false" ht="15.75" hidden="false" customHeight="true" outlineLevel="0" collapsed="false">
      <c r="A282" s="28" t="str">
        <f aca="false">IF($E282="","",COUNTA($E$4:$E282))</f>
        <v/>
      </c>
      <c r="B282" s="29"/>
      <c r="C282" s="29"/>
      <c r="D282" s="29"/>
      <c r="E282" s="29"/>
      <c r="F282" s="30"/>
      <c r="G282" s="29"/>
      <c r="H282" s="30"/>
      <c r="I282" s="29"/>
      <c r="J282" s="31"/>
      <c r="K282" s="31"/>
      <c r="L282" s="30"/>
      <c r="M282" s="29"/>
      <c r="N282" s="30"/>
      <c r="O282" s="31"/>
      <c r="P282" s="32" t="str">
        <f aca="false">IF($J282="","",$J282-WEEKDAY($J282,3))</f>
        <v/>
      </c>
      <c r="Q282" s="32" t="str">
        <f aca="false">IF($J282="","",IF($K282="",$J282,$K282))</f>
        <v/>
      </c>
      <c r="R282" s="28" t="str">
        <f aca="false">IF($E282="","",IF(OR($N282&lt;&gt;"Concluída",$O282="",$J282=""),0,IF($O282&lt;=$J282,1,0)))</f>
        <v/>
      </c>
      <c r="S282" s="28" t="str">
        <f aca="false">IF($E282="","",IF(OR($N282&lt;&gt;"Concluída",$O282="",$Q282=""),0,IF($O282&lt;=$Q282,1,0)))</f>
        <v/>
      </c>
      <c r="T282" s="28" t="str">
        <f aca="false">IF(OR($J282="",$N282&lt;&gt;"Concluída",$O282=""),"",MAX(0,$O282-$J282))</f>
        <v/>
      </c>
      <c r="U282" s="33" t="str">
        <f aca="true">IF($E282="","",IF($N282="Cancelada","Cancelada",IF($N282="Concluída",IF($R282=1,"No prazo","Concluída com atraso"),IF($J282="","Na carteira",IF($J282&lt;TODAY(),"VENCIDA",IF($J282=TODAY(),"Hoje","Programada"))))))</f>
        <v/>
      </c>
    </row>
    <row r="283" customFormat="false" ht="15.75" hidden="false" customHeight="true" outlineLevel="0" collapsed="false">
      <c r="A283" s="28" t="str">
        <f aca="false">IF($E283="","",COUNTA($E$4:$E283))</f>
        <v/>
      </c>
      <c r="B283" s="34"/>
      <c r="C283" s="34"/>
      <c r="D283" s="34"/>
      <c r="E283" s="34"/>
      <c r="F283" s="35"/>
      <c r="G283" s="34"/>
      <c r="H283" s="35"/>
      <c r="I283" s="34"/>
      <c r="J283" s="36"/>
      <c r="K283" s="36"/>
      <c r="L283" s="35"/>
      <c r="M283" s="34"/>
      <c r="N283" s="35"/>
      <c r="O283" s="36"/>
      <c r="P283" s="32" t="str">
        <f aca="false">IF($J283="","",$J283-WEEKDAY($J283,3))</f>
        <v/>
      </c>
      <c r="Q283" s="32" t="str">
        <f aca="false">IF($J283="","",IF($K283="",$J283,$K283))</f>
        <v/>
      </c>
      <c r="R283" s="28" t="str">
        <f aca="false">IF($E283="","",IF(OR($N283&lt;&gt;"Concluída",$O283="",$J283=""),0,IF($O283&lt;=$J283,1,0)))</f>
        <v/>
      </c>
      <c r="S283" s="28" t="str">
        <f aca="false">IF($E283="","",IF(OR($N283&lt;&gt;"Concluída",$O283="",$Q283=""),0,IF($O283&lt;=$Q283,1,0)))</f>
        <v/>
      </c>
      <c r="T283" s="28" t="str">
        <f aca="false">IF(OR($J283="",$N283&lt;&gt;"Concluída",$O283=""),"",MAX(0,$O283-$J283))</f>
        <v/>
      </c>
      <c r="U283" s="33" t="str">
        <f aca="true">IF($E283="","",IF($N283="Cancelada","Cancelada",IF($N283="Concluída",IF($R283=1,"No prazo","Concluída com atraso"),IF($J283="","Na carteira",IF($J283&lt;TODAY(),"VENCIDA",IF($J283=TODAY(),"Hoje","Programada"))))))</f>
        <v/>
      </c>
    </row>
    <row r="284" customFormat="false" ht="15.75" hidden="false" customHeight="true" outlineLevel="0" collapsed="false">
      <c r="A284" s="28" t="str">
        <f aca="false">IF($E284="","",COUNTA($E$4:$E284))</f>
        <v/>
      </c>
      <c r="B284" s="29"/>
      <c r="C284" s="29"/>
      <c r="D284" s="29"/>
      <c r="E284" s="29"/>
      <c r="F284" s="30"/>
      <c r="G284" s="29"/>
      <c r="H284" s="30"/>
      <c r="I284" s="29"/>
      <c r="J284" s="31"/>
      <c r="K284" s="31"/>
      <c r="L284" s="30"/>
      <c r="M284" s="29"/>
      <c r="N284" s="30"/>
      <c r="O284" s="31"/>
      <c r="P284" s="32" t="str">
        <f aca="false">IF($J284="","",$J284-WEEKDAY($J284,3))</f>
        <v/>
      </c>
      <c r="Q284" s="32" t="str">
        <f aca="false">IF($J284="","",IF($K284="",$J284,$K284))</f>
        <v/>
      </c>
      <c r="R284" s="28" t="str">
        <f aca="false">IF($E284="","",IF(OR($N284&lt;&gt;"Concluída",$O284="",$J284=""),0,IF($O284&lt;=$J284,1,0)))</f>
        <v/>
      </c>
      <c r="S284" s="28" t="str">
        <f aca="false">IF($E284="","",IF(OR($N284&lt;&gt;"Concluída",$O284="",$Q284=""),0,IF($O284&lt;=$Q284,1,0)))</f>
        <v/>
      </c>
      <c r="T284" s="28" t="str">
        <f aca="false">IF(OR($J284="",$N284&lt;&gt;"Concluída",$O284=""),"",MAX(0,$O284-$J284))</f>
        <v/>
      </c>
      <c r="U284" s="33" t="str">
        <f aca="true">IF($E284="","",IF($N284="Cancelada","Cancelada",IF($N284="Concluída",IF($R284=1,"No prazo","Concluída com atraso"),IF($J284="","Na carteira",IF($J284&lt;TODAY(),"VENCIDA",IF($J284=TODAY(),"Hoje","Programada"))))))</f>
        <v/>
      </c>
    </row>
    <row r="285" customFormat="false" ht="15.75" hidden="false" customHeight="true" outlineLevel="0" collapsed="false">
      <c r="A285" s="28" t="str">
        <f aca="false">IF($E285="","",COUNTA($E$4:$E285))</f>
        <v/>
      </c>
      <c r="B285" s="34"/>
      <c r="C285" s="34"/>
      <c r="D285" s="34"/>
      <c r="E285" s="34"/>
      <c r="F285" s="35"/>
      <c r="G285" s="34"/>
      <c r="H285" s="35"/>
      <c r="I285" s="34"/>
      <c r="J285" s="36"/>
      <c r="K285" s="36"/>
      <c r="L285" s="35"/>
      <c r="M285" s="34"/>
      <c r="N285" s="35"/>
      <c r="O285" s="36"/>
      <c r="P285" s="32" t="str">
        <f aca="false">IF($J285="","",$J285-WEEKDAY($J285,3))</f>
        <v/>
      </c>
      <c r="Q285" s="32" t="str">
        <f aca="false">IF($J285="","",IF($K285="",$J285,$K285))</f>
        <v/>
      </c>
      <c r="R285" s="28" t="str">
        <f aca="false">IF($E285="","",IF(OR($N285&lt;&gt;"Concluída",$O285="",$J285=""),0,IF($O285&lt;=$J285,1,0)))</f>
        <v/>
      </c>
      <c r="S285" s="28" t="str">
        <f aca="false">IF($E285="","",IF(OR($N285&lt;&gt;"Concluída",$O285="",$Q285=""),0,IF($O285&lt;=$Q285,1,0)))</f>
        <v/>
      </c>
      <c r="T285" s="28" t="str">
        <f aca="false">IF(OR($J285="",$N285&lt;&gt;"Concluída",$O285=""),"",MAX(0,$O285-$J285))</f>
        <v/>
      </c>
      <c r="U285" s="33" t="str">
        <f aca="true">IF($E285="","",IF($N285="Cancelada","Cancelada",IF($N285="Concluída",IF($R285=1,"No prazo","Concluída com atraso"),IF($J285="","Na carteira",IF($J285&lt;TODAY(),"VENCIDA",IF($J285=TODAY(),"Hoje","Programada"))))))</f>
        <v/>
      </c>
    </row>
    <row r="286" customFormat="false" ht="15.75" hidden="false" customHeight="true" outlineLevel="0" collapsed="false">
      <c r="A286" s="28" t="str">
        <f aca="false">IF($E286="","",COUNTA($E$4:$E286))</f>
        <v/>
      </c>
      <c r="B286" s="29"/>
      <c r="C286" s="29"/>
      <c r="D286" s="29"/>
      <c r="E286" s="29"/>
      <c r="F286" s="30"/>
      <c r="G286" s="29"/>
      <c r="H286" s="30"/>
      <c r="I286" s="29"/>
      <c r="J286" s="31"/>
      <c r="K286" s="31"/>
      <c r="L286" s="30"/>
      <c r="M286" s="29"/>
      <c r="N286" s="30"/>
      <c r="O286" s="31"/>
      <c r="P286" s="32" t="str">
        <f aca="false">IF($J286="","",$J286-WEEKDAY($J286,3))</f>
        <v/>
      </c>
      <c r="Q286" s="32" t="str">
        <f aca="false">IF($J286="","",IF($K286="",$J286,$K286))</f>
        <v/>
      </c>
      <c r="R286" s="28" t="str">
        <f aca="false">IF($E286="","",IF(OR($N286&lt;&gt;"Concluída",$O286="",$J286=""),0,IF($O286&lt;=$J286,1,0)))</f>
        <v/>
      </c>
      <c r="S286" s="28" t="str">
        <f aca="false">IF($E286="","",IF(OR($N286&lt;&gt;"Concluída",$O286="",$Q286=""),0,IF($O286&lt;=$Q286,1,0)))</f>
        <v/>
      </c>
      <c r="T286" s="28" t="str">
        <f aca="false">IF(OR($J286="",$N286&lt;&gt;"Concluída",$O286=""),"",MAX(0,$O286-$J286))</f>
        <v/>
      </c>
      <c r="U286" s="33" t="str">
        <f aca="true">IF($E286="","",IF($N286="Cancelada","Cancelada",IF($N286="Concluída",IF($R286=1,"No prazo","Concluída com atraso"),IF($J286="","Na carteira",IF($J286&lt;TODAY(),"VENCIDA",IF($J286=TODAY(),"Hoje","Programada"))))))</f>
        <v/>
      </c>
    </row>
    <row r="287" customFormat="false" ht="15.75" hidden="false" customHeight="true" outlineLevel="0" collapsed="false">
      <c r="A287" s="28" t="str">
        <f aca="false">IF($E287="","",COUNTA($E$4:$E287))</f>
        <v/>
      </c>
      <c r="B287" s="34"/>
      <c r="C287" s="34"/>
      <c r="D287" s="34"/>
      <c r="E287" s="34"/>
      <c r="F287" s="35"/>
      <c r="G287" s="34"/>
      <c r="H287" s="35"/>
      <c r="I287" s="34"/>
      <c r="J287" s="36"/>
      <c r="K287" s="36"/>
      <c r="L287" s="35"/>
      <c r="M287" s="34"/>
      <c r="N287" s="35"/>
      <c r="O287" s="36"/>
      <c r="P287" s="32" t="str">
        <f aca="false">IF($J287="","",$J287-WEEKDAY($J287,3))</f>
        <v/>
      </c>
      <c r="Q287" s="32" t="str">
        <f aca="false">IF($J287="","",IF($K287="",$J287,$K287))</f>
        <v/>
      </c>
      <c r="R287" s="28" t="str">
        <f aca="false">IF($E287="","",IF(OR($N287&lt;&gt;"Concluída",$O287="",$J287=""),0,IF($O287&lt;=$J287,1,0)))</f>
        <v/>
      </c>
      <c r="S287" s="28" t="str">
        <f aca="false">IF($E287="","",IF(OR($N287&lt;&gt;"Concluída",$O287="",$Q287=""),0,IF($O287&lt;=$Q287,1,0)))</f>
        <v/>
      </c>
      <c r="T287" s="28" t="str">
        <f aca="false">IF(OR($J287="",$N287&lt;&gt;"Concluída",$O287=""),"",MAX(0,$O287-$J287))</f>
        <v/>
      </c>
      <c r="U287" s="33" t="str">
        <f aca="true">IF($E287="","",IF($N287="Cancelada","Cancelada",IF($N287="Concluída",IF($R287=1,"No prazo","Concluída com atraso"),IF($J287="","Na carteira",IF($J287&lt;TODAY(),"VENCIDA",IF($J287=TODAY(),"Hoje","Programada"))))))</f>
        <v/>
      </c>
    </row>
    <row r="288" customFormat="false" ht="15.75" hidden="false" customHeight="true" outlineLevel="0" collapsed="false">
      <c r="A288" s="28" t="str">
        <f aca="false">IF($E288="","",COUNTA($E$4:$E288))</f>
        <v/>
      </c>
      <c r="B288" s="29"/>
      <c r="C288" s="29"/>
      <c r="D288" s="29"/>
      <c r="E288" s="29"/>
      <c r="F288" s="30"/>
      <c r="G288" s="29"/>
      <c r="H288" s="30"/>
      <c r="I288" s="29"/>
      <c r="J288" s="31"/>
      <c r="K288" s="31"/>
      <c r="L288" s="30"/>
      <c r="M288" s="29"/>
      <c r="N288" s="30"/>
      <c r="O288" s="31"/>
      <c r="P288" s="32" t="str">
        <f aca="false">IF($J288="","",$J288-WEEKDAY($J288,3))</f>
        <v/>
      </c>
      <c r="Q288" s="32" t="str">
        <f aca="false">IF($J288="","",IF($K288="",$J288,$K288))</f>
        <v/>
      </c>
      <c r="R288" s="28" t="str">
        <f aca="false">IF($E288="","",IF(OR($N288&lt;&gt;"Concluída",$O288="",$J288=""),0,IF($O288&lt;=$J288,1,0)))</f>
        <v/>
      </c>
      <c r="S288" s="28" t="str">
        <f aca="false">IF($E288="","",IF(OR($N288&lt;&gt;"Concluída",$O288="",$Q288=""),0,IF($O288&lt;=$Q288,1,0)))</f>
        <v/>
      </c>
      <c r="T288" s="28" t="str">
        <f aca="false">IF(OR($J288="",$N288&lt;&gt;"Concluída",$O288=""),"",MAX(0,$O288-$J288))</f>
        <v/>
      </c>
      <c r="U288" s="33" t="str">
        <f aca="true">IF($E288="","",IF($N288="Cancelada","Cancelada",IF($N288="Concluída",IF($R288=1,"No prazo","Concluída com atraso"),IF($J288="","Na carteira",IF($J288&lt;TODAY(),"VENCIDA",IF($J288=TODAY(),"Hoje","Programada"))))))</f>
        <v/>
      </c>
    </row>
    <row r="289" customFormat="false" ht="15.75" hidden="false" customHeight="true" outlineLevel="0" collapsed="false">
      <c r="A289" s="28" t="str">
        <f aca="false">IF($E289="","",COUNTA($E$4:$E289))</f>
        <v/>
      </c>
      <c r="B289" s="34"/>
      <c r="C289" s="34"/>
      <c r="D289" s="34"/>
      <c r="E289" s="34"/>
      <c r="F289" s="35"/>
      <c r="G289" s="34"/>
      <c r="H289" s="35"/>
      <c r="I289" s="34"/>
      <c r="J289" s="36"/>
      <c r="K289" s="36"/>
      <c r="L289" s="35"/>
      <c r="M289" s="34"/>
      <c r="N289" s="35"/>
      <c r="O289" s="36"/>
      <c r="P289" s="32" t="str">
        <f aca="false">IF($J289="","",$J289-WEEKDAY($J289,3))</f>
        <v/>
      </c>
      <c r="Q289" s="32" t="str">
        <f aca="false">IF($J289="","",IF($K289="",$J289,$K289))</f>
        <v/>
      </c>
      <c r="R289" s="28" t="str">
        <f aca="false">IF($E289="","",IF(OR($N289&lt;&gt;"Concluída",$O289="",$J289=""),0,IF($O289&lt;=$J289,1,0)))</f>
        <v/>
      </c>
      <c r="S289" s="28" t="str">
        <f aca="false">IF($E289="","",IF(OR($N289&lt;&gt;"Concluída",$O289="",$Q289=""),0,IF($O289&lt;=$Q289,1,0)))</f>
        <v/>
      </c>
      <c r="T289" s="28" t="str">
        <f aca="false">IF(OR($J289="",$N289&lt;&gt;"Concluída",$O289=""),"",MAX(0,$O289-$J289))</f>
        <v/>
      </c>
      <c r="U289" s="33" t="str">
        <f aca="true">IF($E289="","",IF($N289="Cancelada","Cancelada",IF($N289="Concluída",IF($R289=1,"No prazo","Concluída com atraso"),IF($J289="","Na carteira",IF($J289&lt;TODAY(),"VENCIDA",IF($J289=TODAY(),"Hoje","Programada"))))))</f>
        <v/>
      </c>
    </row>
    <row r="290" customFormat="false" ht="15.75" hidden="false" customHeight="true" outlineLevel="0" collapsed="false">
      <c r="A290" s="28" t="str">
        <f aca="false">IF($E290="","",COUNTA($E$4:$E290))</f>
        <v/>
      </c>
      <c r="B290" s="29"/>
      <c r="C290" s="29"/>
      <c r="D290" s="29"/>
      <c r="E290" s="29"/>
      <c r="F290" s="30"/>
      <c r="G290" s="29"/>
      <c r="H290" s="30"/>
      <c r="I290" s="29"/>
      <c r="J290" s="31"/>
      <c r="K290" s="31"/>
      <c r="L290" s="30"/>
      <c r="M290" s="29"/>
      <c r="N290" s="30"/>
      <c r="O290" s="31"/>
      <c r="P290" s="32" t="str">
        <f aca="false">IF($J290="","",$J290-WEEKDAY($J290,3))</f>
        <v/>
      </c>
      <c r="Q290" s="32" t="str">
        <f aca="false">IF($J290="","",IF($K290="",$J290,$K290))</f>
        <v/>
      </c>
      <c r="R290" s="28" t="str">
        <f aca="false">IF($E290="","",IF(OR($N290&lt;&gt;"Concluída",$O290="",$J290=""),0,IF($O290&lt;=$J290,1,0)))</f>
        <v/>
      </c>
      <c r="S290" s="28" t="str">
        <f aca="false">IF($E290="","",IF(OR($N290&lt;&gt;"Concluída",$O290="",$Q290=""),0,IF($O290&lt;=$Q290,1,0)))</f>
        <v/>
      </c>
      <c r="T290" s="28" t="str">
        <f aca="false">IF(OR($J290="",$N290&lt;&gt;"Concluída",$O290=""),"",MAX(0,$O290-$J290))</f>
        <v/>
      </c>
      <c r="U290" s="33" t="str">
        <f aca="true">IF($E290="","",IF($N290="Cancelada","Cancelada",IF($N290="Concluída",IF($R290=1,"No prazo","Concluída com atraso"),IF($J290="","Na carteira",IF($J290&lt;TODAY(),"VENCIDA",IF($J290=TODAY(),"Hoje","Programada"))))))</f>
        <v/>
      </c>
    </row>
    <row r="291" customFormat="false" ht="15.75" hidden="false" customHeight="true" outlineLevel="0" collapsed="false">
      <c r="A291" s="28" t="str">
        <f aca="false">IF($E291="","",COUNTA($E$4:$E291))</f>
        <v/>
      </c>
      <c r="B291" s="34"/>
      <c r="C291" s="34"/>
      <c r="D291" s="34"/>
      <c r="E291" s="34"/>
      <c r="F291" s="35"/>
      <c r="G291" s="34"/>
      <c r="H291" s="35"/>
      <c r="I291" s="34"/>
      <c r="J291" s="36"/>
      <c r="K291" s="36"/>
      <c r="L291" s="35"/>
      <c r="M291" s="34"/>
      <c r="N291" s="35"/>
      <c r="O291" s="36"/>
      <c r="P291" s="32" t="str">
        <f aca="false">IF($J291="","",$J291-WEEKDAY($J291,3))</f>
        <v/>
      </c>
      <c r="Q291" s="32" t="str">
        <f aca="false">IF($J291="","",IF($K291="",$J291,$K291))</f>
        <v/>
      </c>
      <c r="R291" s="28" t="str">
        <f aca="false">IF($E291="","",IF(OR($N291&lt;&gt;"Concluída",$O291="",$J291=""),0,IF($O291&lt;=$J291,1,0)))</f>
        <v/>
      </c>
      <c r="S291" s="28" t="str">
        <f aca="false">IF($E291="","",IF(OR($N291&lt;&gt;"Concluída",$O291="",$Q291=""),0,IF($O291&lt;=$Q291,1,0)))</f>
        <v/>
      </c>
      <c r="T291" s="28" t="str">
        <f aca="false">IF(OR($J291="",$N291&lt;&gt;"Concluída",$O291=""),"",MAX(0,$O291-$J291))</f>
        <v/>
      </c>
      <c r="U291" s="33" t="str">
        <f aca="true">IF($E291="","",IF($N291="Cancelada","Cancelada",IF($N291="Concluída",IF($R291=1,"No prazo","Concluída com atraso"),IF($J291="","Na carteira",IF($J291&lt;TODAY(),"VENCIDA",IF($J291=TODAY(),"Hoje","Programada"))))))</f>
        <v/>
      </c>
    </row>
    <row r="292" customFormat="false" ht="15.75" hidden="false" customHeight="true" outlineLevel="0" collapsed="false">
      <c r="A292" s="28" t="str">
        <f aca="false">IF($E292="","",COUNTA($E$4:$E292))</f>
        <v/>
      </c>
      <c r="B292" s="29"/>
      <c r="C292" s="29"/>
      <c r="D292" s="29"/>
      <c r="E292" s="29"/>
      <c r="F292" s="30"/>
      <c r="G292" s="29"/>
      <c r="H292" s="30"/>
      <c r="I292" s="29"/>
      <c r="J292" s="31"/>
      <c r="K292" s="31"/>
      <c r="L292" s="30"/>
      <c r="M292" s="29"/>
      <c r="N292" s="30"/>
      <c r="O292" s="31"/>
      <c r="P292" s="32" t="str">
        <f aca="false">IF($J292="","",$J292-WEEKDAY($J292,3))</f>
        <v/>
      </c>
      <c r="Q292" s="32" t="str">
        <f aca="false">IF($J292="","",IF($K292="",$J292,$K292))</f>
        <v/>
      </c>
      <c r="R292" s="28" t="str">
        <f aca="false">IF($E292="","",IF(OR($N292&lt;&gt;"Concluída",$O292="",$J292=""),0,IF($O292&lt;=$J292,1,0)))</f>
        <v/>
      </c>
      <c r="S292" s="28" t="str">
        <f aca="false">IF($E292="","",IF(OR($N292&lt;&gt;"Concluída",$O292="",$Q292=""),0,IF($O292&lt;=$Q292,1,0)))</f>
        <v/>
      </c>
      <c r="T292" s="28" t="str">
        <f aca="false">IF(OR($J292="",$N292&lt;&gt;"Concluída",$O292=""),"",MAX(0,$O292-$J292))</f>
        <v/>
      </c>
      <c r="U292" s="33" t="str">
        <f aca="true">IF($E292="","",IF($N292="Cancelada","Cancelada",IF($N292="Concluída",IF($R292=1,"No prazo","Concluída com atraso"),IF($J292="","Na carteira",IF($J292&lt;TODAY(),"VENCIDA",IF($J292=TODAY(),"Hoje","Programada"))))))</f>
        <v/>
      </c>
    </row>
    <row r="293" customFormat="false" ht="15.75" hidden="false" customHeight="true" outlineLevel="0" collapsed="false">
      <c r="A293" s="28" t="str">
        <f aca="false">IF($E293="","",COUNTA($E$4:$E293))</f>
        <v/>
      </c>
      <c r="B293" s="34"/>
      <c r="C293" s="34"/>
      <c r="D293" s="34"/>
      <c r="E293" s="34"/>
      <c r="F293" s="35"/>
      <c r="G293" s="34"/>
      <c r="H293" s="35"/>
      <c r="I293" s="34"/>
      <c r="J293" s="36"/>
      <c r="K293" s="36"/>
      <c r="L293" s="35"/>
      <c r="M293" s="34"/>
      <c r="N293" s="35"/>
      <c r="O293" s="36"/>
      <c r="P293" s="32" t="str">
        <f aca="false">IF($J293="","",$J293-WEEKDAY($J293,3))</f>
        <v/>
      </c>
      <c r="Q293" s="32" t="str">
        <f aca="false">IF($J293="","",IF($K293="",$J293,$K293))</f>
        <v/>
      </c>
      <c r="R293" s="28" t="str">
        <f aca="false">IF($E293="","",IF(OR($N293&lt;&gt;"Concluída",$O293="",$J293=""),0,IF($O293&lt;=$J293,1,0)))</f>
        <v/>
      </c>
      <c r="S293" s="28" t="str">
        <f aca="false">IF($E293="","",IF(OR($N293&lt;&gt;"Concluída",$O293="",$Q293=""),0,IF($O293&lt;=$Q293,1,0)))</f>
        <v/>
      </c>
      <c r="T293" s="28" t="str">
        <f aca="false">IF(OR($J293="",$N293&lt;&gt;"Concluída",$O293=""),"",MAX(0,$O293-$J293))</f>
        <v/>
      </c>
      <c r="U293" s="33" t="str">
        <f aca="true">IF($E293="","",IF($N293="Cancelada","Cancelada",IF($N293="Concluída",IF($R293=1,"No prazo","Concluída com atraso"),IF($J293="","Na carteira",IF($J293&lt;TODAY(),"VENCIDA",IF($J293=TODAY(),"Hoje","Programada"))))))</f>
        <v/>
      </c>
    </row>
    <row r="294" customFormat="false" ht="15.75" hidden="false" customHeight="true" outlineLevel="0" collapsed="false">
      <c r="A294" s="28" t="str">
        <f aca="false">IF($E294="","",COUNTA($E$4:$E294))</f>
        <v/>
      </c>
      <c r="B294" s="29"/>
      <c r="C294" s="29"/>
      <c r="D294" s="29"/>
      <c r="E294" s="29"/>
      <c r="F294" s="30"/>
      <c r="G294" s="29"/>
      <c r="H294" s="30"/>
      <c r="I294" s="29"/>
      <c r="J294" s="31"/>
      <c r="K294" s="31"/>
      <c r="L294" s="30"/>
      <c r="M294" s="29"/>
      <c r="N294" s="30"/>
      <c r="O294" s="31"/>
      <c r="P294" s="32" t="str">
        <f aca="false">IF($J294="","",$J294-WEEKDAY($J294,3))</f>
        <v/>
      </c>
      <c r="Q294" s="32" t="str">
        <f aca="false">IF($J294="","",IF($K294="",$J294,$K294))</f>
        <v/>
      </c>
      <c r="R294" s="28" t="str">
        <f aca="false">IF($E294="","",IF(OR($N294&lt;&gt;"Concluída",$O294="",$J294=""),0,IF($O294&lt;=$J294,1,0)))</f>
        <v/>
      </c>
      <c r="S294" s="28" t="str">
        <f aca="false">IF($E294="","",IF(OR($N294&lt;&gt;"Concluída",$O294="",$Q294=""),0,IF($O294&lt;=$Q294,1,0)))</f>
        <v/>
      </c>
      <c r="T294" s="28" t="str">
        <f aca="false">IF(OR($J294="",$N294&lt;&gt;"Concluída",$O294=""),"",MAX(0,$O294-$J294))</f>
        <v/>
      </c>
      <c r="U294" s="33" t="str">
        <f aca="true">IF($E294="","",IF($N294="Cancelada","Cancelada",IF($N294="Concluída",IF($R294=1,"No prazo","Concluída com atraso"),IF($J294="","Na carteira",IF($J294&lt;TODAY(),"VENCIDA",IF($J294=TODAY(),"Hoje","Programada"))))))</f>
        <v/>
      </c>
    </row>
    <row r="295" customFormat="false" ht="15.75" hidden="false" customHeight="true" outlineLevel="0" collapsed="false">
      <c r="A295" s="28" t="str">
        <f aca="false">IF($E295="","",COUNTA($E$4:$E295))</f>
        <v/>
      </c>
      <c r="B295" s="34"/>
      <c r="C295" s="34"/>
      <c r="D295" s="34"/>
      <c r="E295" s="34"/>
      <c r="F295" s="35"/>
      <c r="G295" s="34"/>
      <c r="H295" s="35"/>
      <c r="I295" s="34"/>
      <c r="J295" s="36"/>
      <c r="K295" s="36"/>
      <c r="L295" s="35"/>
      <c r="M295" s="34"/>
      <c r="N295" s="35"/>
      <c r="O295" s="36"/>
      <c r="P295" s="32" t="str">
        <f aca="false">IF($J295="","",$J295-WEEKDAY($J295,3))</f>
        <v/>
      </c>
      <c r="Q295" s="32" t="str">
        <f aca="false">IF($J295="","",IF($K295="",$J295,$K295))</f>
        <v/>
      </c>
      <c r="R295" s="28" t="str">
        <f aca="false">IF($E295="","",IF(OR($N295&lt;&gt;"Concluída",$O295="",$J295=""),0,IF($O295&lt;=$J295,1,0)))</f>
        <v/>
      </c>
      <c r="S295" s="28" t="str">
        <f aca="false">IF($E295="","",IF(OR($N295&lt;&gt;"Concluída",$O295="",$Q295=""),0,IF($O295&lt;=$Q295,1,0)))</f>
        <v/>
      </c>
      <c r="T295" s="28" t="str">
        <f aca="false">IF(OR($J295="",$N295&lt;&gt;"Concluída",$O295=""),"",MAX(0,$O295-$J295))</f>
        <v/>
      </c>
      <c r="U295" s="33" t="str">
        <f aca="true">IF($E295="","",IF($N295="Cancelada","Cancelada",IF($N295="Concluída",IF($R295=1,"No prazo","Concluída com atraso"),IF($J295="","Na carteira",IF($J295&lt;TODAY(),"VENCIDA",IF($J295=TODAY(),"Hoje","Programada"))))))</f>
        <v/>
      </c>
    </row>
    <row r="296" customFormat="false" ht="15.75" hidden="false" customHeight="true" outlineLevel="0" collapsed="false">
      <c r="A296" s="28" t="str">
        <f aca="false">IF($E296="","",COUNTA($E$4:$E296))</f>
        <v/>
      </c>
      <c r="B296" s="29"/>
      <c r="C296" s="29"/>
      <c r="D296" s="29"/>
      <c r="E296" s="29"/>
      <c r="F296" s="30"/>
      <c r="G296" s="29"/>
      <c r="H296" s="30"/>
      <c r="I296" s="29"/>
      <c r="J296" s="31"/>
      <c r="K296" s="31"/>
      <c r="L296" s="30"/>
      <c r="M296" s="29"/>
      <c r="N296" s="30"/>
      <c r="O296" s="31"/>
      <c r="P296" s="32" t="str">
        <f aca="false">IF($J296="","",$J296-WEEKDAY($J296,3))</f>
        <v/>
      </c>
      <c r="Q296" s="32" t="str">
        <f aca="false">IF($J296="","",IF($K296="",$J296,$K296))</f>
        <v/>
      </c>
      <c r="R296" s="28" t="str">
        <f aca="false">IF($E296="","",IF(OR($N296&lt;&gt;"Concluída",$O296="",$J296=""),0,IF($O296&lt;=$J296,1,0)))</f>
        <v/>
      </c>
      <c r="S296" s="28" t="str">
        <f aca="false">IF($E296="","",IF(OR($N296&lt;&gt;"Concluída",$O296="",$Q296=""),0,IF($O296&lt;=$Q296,1,0)))</f>
        <v/>
      </c>
      <c r="T296" s="28" t="str">
        <f aca="false">IF(OR($J296="",$N296&lt;&gt;"Concluída",$O296=""),"",MAX(0,$O296-$J296))</f>
        <v/>
      </c>
      <c r="U296" s="33" t="str">
        <f aca="true">IF($E296="","",IF($N296="Cancelada","Cancelada",IF($N296="Concluída",IF($R296=1,"No prazo","Concluída com atraso"),IF($J296="","Na carteira",IF($J296&lt;TODAY(),"VENCIDA",IF($J296=TODAY(),"Hoje","Programada"))))))</f>
        <v/>
      </c>
    </row>
    <row r="297" customFormat="false" ht="15.75" hidden="false" customHeight="true" outlineLevel="0" collapsed="false">
      <c r="A297" s="28" t="str">
        <f aca="false">IF($E297="","",COUNTA($E$4:$E297))</f>
        <v/>
      </c>
      <c r="B297" s="34"/>
      <c r="C297" s="34"/>
      <c r="D297" s="34"/>
      <c r="E297" s="34"/>
      <c r="F297" s="35"/>
      <c r="G297" s="34"/>
      <c r="H297" s="35"/>
      <c r="I297" s="34"/>
      <c r="J297" s="36"/>
      <c r="K297" s="36"/>
      <c r="L297" s="35"/>
      <c r="M297" s="34"/>
      <c r="N297" s="35"/>
      <c r="O297" s="36"/>
      <c r="P297" s="32" t="str">
        <f aca="false">IF($J297="","",$J297-WEEKDAY($J297,3))</f>
        <v/>
      </c>
      <c r="Q297" s="32" t="str">
        <f aca="false">IF($J297="","",IF($K297="",$J297,$K297))</f>
        <v/>
      </c>
      <c r="R297" s="28" t="str">
        <f aca="false">IF($E297="","",IF(OR($N297&lt;&gt;"Concluída",$O297="",$J297=""),0,IF($O297&lt;=$J297,1,0)))</f>
        <v/>
      </c>
      <c r="S297" s="28" t="str">
        <f aca="false">IF($E297="","",IF(OR($N297&lt;&gt;"Concluída",$O297="",$Q297=""),0,IF($O297&lt;=$Q297,1,0)))</f>
        <v/>
      </c>
      <c r="T297" s="28" t="str">
        <f aca="false">IF(OR($J297="",$N297&lt;&gt;"Concluída",$O297=""),"",MAX(0,$O297-$J297))</f>
        <v/>
      </c>
      <c r="U297" s="33" t="str">
        <f aca="true">IF($E297="","",IF($N297="Cancelada","Cancelada",IF($N297="Concluída",IF($R297=1,"No prazo","Concluída com atraso"),IF($J297="","Na carteira",IF($J297&lt;TODAY(),"VENCIDA",IF($J297=TODAY(),"Hoje","Programada"))))))</f>
        <v/>
      </c>
    </row>
    <row r="298" customFormat="false" ht="15.75" hidden="false" customHeight="true" outlineLevel="0" collapsed="false">
      <c r="A298" s="28" t="str">
        <f aca="false">IF($E298="","",COUNTA($E$4:$E298))</f>
        <v/>
      </c>
      <c r="B298" s="29"/>
      <c r="C298" s="29"/>
      <c r="D298" s="29"/>
      <c r="E298" s="29"/>
      <c r="F298" s="30"/>
      <c r="G298" s="29"/>
      <c r="H298" s="30"/>
      <c r="I298" s="29"/>
      <c r="J298" s="31"/>
      <c r="K298" s="31"/>
      <c r="L298" s="30"/>
      <c r="M298" s="29"/>
      <c r="N298" s="30"/>
      <c r="O298" s="31"/>
      <c r="P298" s="32" t="str">
        <f aca="false">IF($J298="","",$J298-WEEKDAY($J298,3))</f>
        <v/>
      </c>
      <c r="Q298" s="32" t="str">
        <f aca="false">IF($J298="","",IF($K298="",$J298,$K298))</f>
        <v/>
      </c>
      <c r="R298" s="28" t="str">
        <f aca="false">IF($E298="","",IF(OR($N298&lt;&gt;"Concluída",$O298="",$J298=""),0,IF($O298&lt;=$J298,1,0)))</f>
        <v/>
      </c>
      <c r="S298" s="28" t="str">
        <f aca="false">IF($E298="","",IF(OR($N298&lt;&gt;"Concluída",$O298="",$Q298=""),0,IF($O298&lt;=$Q298,1,0)))</f>
        <v/>
      </c>
      <c r="T298" s="28" t="str">
        <f aca="false">IF(OR($J298="",$N298&lt;&gt;"Concluída",$O298=""),"",MAX(0,$O298-$J298))</f>
        <v/>
      </c>
      <c r="U298" s="33" t="str">
        <f aca="true">IF($E298="","",IF($N298="Cancelada","Cancelada",IF($N298="Concluída",IF($R298=1,"No prazo","Concluída com atraso"),IF($J298="","Na carteira",IF($J298&lt;TODAY(),"VENCIDA",IF($J298=TODAY(),"Hoje","Programada"))))))</f>
        <v/>
      </c>
    </row>
    <row r="299" customFormat="false" ht="15.75" hidden="false" customHeight="true" outlineLevel="0" collapsed="false">
      <c r="A299" s="28" t="str">
        <f aca="false">IF($E299="","",COUNTA($E$4:$E299))</f>
        <v/>
      </c>
      <c r="B299" s="34"/>
      <c r="C299" s="34"/>
      <c r="D299" s="34"/>
      <c r="E299" s="34"/>
      <c r="F299" s="35"/>
      <c r="G299" s="34"/>
      <c r="H299" s="35"/>
      <c r="I299" s="34"/>
      <c r="J299" s="36"/>
      <c r="K299" s="36"/>
      <c r="L299" s="35"/>
      <c r="M299" s="34"/>
      <c r="N299" s="35"/>
      <c r="O299" s="36"/>
      <c r="P299" s="32" t="str">
        <f aca="false">IF($J299="","",$J299-WEEKDAY($J299,3))</f>
        <v/>
      </c>
      <c r="Q299" s="32" t="str">
        <f aca="false">IF($J299="","",IF($K299="",$J299,$K299))</f>
        <v/>
      </c>
      <c r="R299" s="28" t="str">
        <f aca="false">IF($E299="","",IF(OR($N299&lt;&gt;"Concluída",$O299="",$J299=""),0,IF($O299&lt;=$J299,1,0)))</f>
        <v/>
      </c>
      <c r="S299" s="28" t="str">
        <f aca="false">IF($E299="","",IF(OR($N299&lt;&gt;"Concluída",$O299="",$Q299=""),0,IF($O299&lt;=$Q299,1,0)))</f>
        <v/>
      </c>
      <c r="T299" s="28" t="str">
        <f aca="false">IF(OR($J299="",$N299&lt;&gt;"Concluída",$O299=""),"",MAX(0,$O299-$J299))</f>
        <v/>
      </c>
      <c r="U299" s="33" t="str">
        <f aca="true">IF($E299="","",IF($N299="Cancelada","Cancelada",IF($N299="Concluída",IF($R299=1,"No prazo","Concluída com atraso"),IF($J299="","Na carteira",IF($J299&lt;TODAY(),"VENCIDA",IF($J299=TODAY(),"Hoje","Programada"))))))</f>
        <v/>
      </c>
    </row>
    <row r="300" customFormat="false" ht="15.75" hidden="false" customHeight="true" outlineLevel="0" collapsed="false">
      <c r="A300" s="28" t="str">
        <f aca="false">IF($E300="","",COUNTA($E$4:$E300))</f>
        <v/>
      </c>
      <c r="B300" s="29"/>
      <c r="C300" s="29"/>
      <c r="D300" s="29"/>
      <c r="E300" s="29"/>
      <c r="F300" s="30"/>
      <c r="G300" s="29"/>
      <c r="H300" s="30"/>
      <c r="I300" s="29"/>
      <c r="J300" s="31"/>
      <c r="K300" s="31"/>
      <c r="L300" s="30"/>
      <c r="M300" s="29"/>
      <c r="N300" s="30"/>
      <c r="O300" s="31"/>
      <c r="P300" s="32" t="str">
        <f aca="false">IF($J300="","",$J300-WEEKDAY($J300,3))</f>
        <v/>
      </c>
      <c r="Q300" s="32" t="str">
        <f aca="false">IF($J300="","",IF($K300="",$J300,$K300))</f>
        <v/>
      </c>
      <c r="R300" s="28" t="str">
        <f aca="false">IF($E300="","",IF(OR($N300&lt;&gt;"Concluída",$O300="",$J300=""),0,IF($O300&lt;=$J300,1,0)))</f>
        <v/>
      </c>
      <c r="S300" s="28" t="str">
        <f aca="false">IF($E300="","",IF(OR($N300&lt;&gt;"Concluída",$O300="",$Q300=""),0,IF($O300&lt;=$Q300,1,0)))</f>
        <v/>
      </c>
      <c r="T300" s="28" t="str">
        <f aca="false">IF(OR($J300="",$N300&lt;&gt;"Concluída",$O300=""),"",MAX(0,$O300-$J300))</f>
        <v/>
      </c>
      <c r="U300" s="33" t="str">
        <f aca="true">IF($E300="","",IF($N300="Cancelada","Cancelada",IF($N300="Concluída",IF($R300=1,"No prazo","Concluída com atraso"),IF($J300="","Na carteira",IF($J300&lt;TODAY(),"VENCIDA",IF($J300=TODAY(),"Hoje","Programada"))))))</f>
        <v/>
      </c>
    </row>
    <row r="301" customFormat="false" ht="15.75" hidden="false" customHeight="true" outlineLevel="0" collapsed="false">
      <c r="A301" s="28" t="str">
        <f aca="false">IF($E301="","",COUNTA($E$4:$E301))</f>
        <v/>
      </c>
      <c r="B301" s="34"/>
      <c r="C301" s="34"/>
      <c r="D301" s="34"/>
      <c r="E301" s="34"/>
      <c r="F301" s="35"/>
      <c r="G301" s="34"/>
      <c r="H301" s="35"/>
      <c r="I301" s="34"/>
      <c r="J301" s="36"/>
      <c r="K301" s="36"/>
      <c r="L301" s="35"/>
      <c r="M301" s="34"/>
      <c r="N301" s="35"/>
      <c r="O301" s="36"/>
      <c r="P301" s="32" t="str">
        <f aca="false">IF($J301="","",$J301-WEEKDAY($J301,3))</f>
        <v/>
      </c>
      <c r="Q301" s="32" t="str">
        <f aca="false">IF($J301="","",IF($K301="",$J301,$K301))</f>
        <v/>
      </c>
      <c r="R301" s="28" t="str">
        <f aca="false">IF($E301="","",IF(OR($N301&lt;&gt;"Concluída",$O301="",$J301=""),0,IF($O301&lt;=$J301,1,0)))</f>
        <v/>
      </c>
      <c r="S301" s="28" t="str">
        <f aca="false">IF($E301="","",IF(OR($N301&lt;&gt;"Concluída",$O301="",$Q301=""),0,IF($O301&lt;=$Q301,1,0)))</f>
        <v/>
      </c>
      <c r="T301" s="28" t="str">
        <f aca="false">IF(OR($J301="",$N301&lt;&gt;"Concluída",$O301=""),"",MAX(0,$O301-$J301))</f>
        <v/>
      </c>
      <c r="U301" s="33" t="str">
        <f aca="true">IF($E301="","",IF($N301="Cancelada","Cancelada",IF($N301="Concluída",IF($R301=1,"No prazo","Concluída com atraso"),IF($J301="","Na carteira",IF($J301&lt;TODAY(),"VENCIDA",IF($J301=TODAY(),"Hoje","Programada"))))))</f>
        <v/>
      </c>
    </row>
    <row r="302" customFormat="false" ht="15.75" hidden="false" customHeight="true" outlineLevel="0" collapsed="false">
      <c r="A302" s="28" t="str">
        <f aca="false">IF($E302="","",COUNTA($E$4:$E302))</f>
        <v/>
      </c>
      <c r="B302" s="29"/>
      <c r="C302" s="29"/>
      <c r="D302" s="29"/>
      <c r="E302" s="29"/>
      <c r="F302" s="30"/>
      <c r="G302" s="29"/>
      <c r="H302" s="30"/>
      <c r="I302" s="29"/>
      <c r="J302" s="31"/>
      <c r="K302" s="31"/>
      <c r="L302" s="30"/>
      <c r="M302" s="29"/>
      <c r="N302" s="30"/>
      <c r="O302" s="31"/>
      <c r="P302" s="32" t="str">
        <f aca="false">IF($J302="","",$J302-WEEKDAY($J302,3))</f>
        <v/>
      </c>
      <c r="Q302" s="32" t="str">
        <f aca="false">IF($J302="","",IF($K302="",$J302,$K302))</f>
        <v/>
      </c>
      <c r="R302" s="28" t="str">
        <f aca="false">IF($E302="","",IF(OR($N302&lt;&gt;"Concluída",$O302="",$J302=""),0,IF($O302&lt;=$J302,1,0)))</f>
        <v/>
      </c>
      <c r="S302" s="28" t="str">
        <f aca="false">IF($E302="","",IF(OR($N302&lt;&gt;"Concluída",$O302="",$Q302=""),0,IF($O302&lt;=$Q302,1,0)))</f>
        <v/>
      </c>
      <c r="T302" s="28" t="str">
        <f aca="false">IF(OR($J302="",$N302&lt;&gt;"Concluída",$O302=""),"",MAX(0,$O302-$J302))</f>
        <v/>
      </c>
      <c r="U302" s="33" t="str">
        <f aca="true">IF($E302="","",IF($N302="Cancelada","Cancelada",IF($N302="Concluída",IF($R302=1,"No prazo","Concluída com atraso"),IF($J302="","Na carteira",IF($J302&lt;TODAY(),"VENCIDA",IF($J302=TODAY(),"Hoje","Programada"))))))</f>
        <v/>
      </c>
    </row>
    <row r="303" customFormat="false" ht="15.75" hidden="false" customHeight="true" outlineLevel="0" collapsed="false">
      <c r="A303" s="28" t="str">
        <f aca="false">IF($E303="","",COUNTA($E$4:$E303))</f>
        <v/>
      </c>
      <c r="B303" s="34"/>
      <c r="C303" s="34"/>
      <c r="D303" s="34"/>
      <c r="E303" s="34"/>
      <c r="F303" s="35"/>
      <c r="G303" s="34"/>
      <c r="H303" s="35"/>
      <c r="I303" s="34"/>
      <c r="J303" s="36"/>
      <c r="K303" s="36"/>
      <c r="L303" s="35"/>
      <c r="M303" s="34"/>
      <c r="N303" s="35"/>
      <c r="O303" s="36"/>
      <c r="P303" s="32" t="str">
        <f aca="false">IF($J303="","",$J303-WEEKDAY($J303,3))</f>
        <v/>
      </c>
      <c r="Q303" s="32" t="str">
        <f aca="false">IF($J303="","",IF($K303="",$J303,$K303))</f>
        <v/>
      </c>
      <c r="R303" s="28" t="str">
        <f aca="false">IF($E303="","",IF(OR($N303&lt;&gt;"Concluída",$O303="",$J303=""),0,IF($O303&lt;=$J303,1,0)))</f>
        <v/>
      </c>
      <c r="S303" s="28" t="str">
        <f aca="false">IF($E303="","",IF(OR($N303&lt;&gt;"Concluída",$O303="",$Q303=""),0,IF($O303&lt;=$Q303,1,0)))</f>
        <v/>
      </c>
      <c r="T303" s="28" t="str">
        <f aca="false">IF(OR($J303="",$N303&lt;&gt;"Concluída",$O303=""),"",MAX(0,$O303-$J303))</f>
        <v/>
      </c>
      <c r="U303" s="33" t="str">
        <f aca="true">IF($E303="","",IF($N303="Cancelada","Cancelada",IF($N303="Concluída",IF($R303=1,"No prazo","Concluída com atraso"),IF($J303="","Na carteira",IF($J303&lt;TODAY(),"VENCIDA",IF($J303=TODAY(),"Hoje","Programada"))))))</f>
        <v/>
      </c>
    </row>
    <row r="304" customFormat="false" ht="15.75" hidden="false" customHeight="true" outlineLevel="0" collapsed="false">
      <c r="A304" s="28" t="str">
        <f aca="false">IF($E304="","",COUNTA($E$4:$E304))</f>
        <v/>
      </c>
      <c r="B304" s="29"/>
      <c r="C304" s="29"/>
      <c r="D304" s="29"/>
      <c r="E304" s="29"/>
      <c r="F304" s="30"/>
      <c r="G304" s="29"/>
      <c r="H304" s="30"/>
      <c r="I304" s="29"/>
      <c r="J304" s="31"/>
      <c r="K304" s="31"/>
      <c r="L304" s="30"/>
      <c r="M304" s="29"/>
      <c r="N304" s="30"/>
      <c r="O304" s="31"/>
      <c r="P304" s="32" t="str">
        <f aca="false">IF($J304="","",$J304-WEEKDAY($J304,3))</f>
        <v/>
      </c>
      <c r="Q304" s="32" t="str">
        <f aca="false">IF($J304="","",IF($K304="",$J304,$K304))</f>
        <v/>
      </c>
      <c r="R304" s="28" t="str">
        <f aca="false">IF($E304="","",IF(OR($N304&lt;&gt;"Concluída",$O304="",$J304=""),0,IF($O304&lt;=$J304,1,0)))</f>
        <v/>
      </c>
      <c r="S304" s="28" t="str">
        <f aca="false">IF($E304="","",IF(OR($N304&lt;&gt;"Concluída",$O304="",$Q304=""),0,IF($O304&lt;=$Q304,1,0)))</f>
        <v/>
      </c>
      <c r="T304" s="28" t="str">
        <f aca="false">IF(OR($J304="",$N304&lt;&gt;"Concluída",$O304=""),"",MAX(0,$O304-$J304))</f>
        <v/>
      </c>
      <c r="U304" s="33" t="str">
        <f aca="true">IF($E304="","",IF($N304="Cancelada","Cancelada",IF($N304="Concluída",IF($R304=1,"No prazo","Concluída com atraso"),IF($J304="","Na carteira",IF($J304&lt;TODAY(),"VENCIDA",IF($J304=TODAY(),"Hoje","Programada"))))))</f>
        <v/>
      </c>
    </row>
    <row r="305" customFormat="false" ht="15.75" hidden="false" customHeight="true" outlineLevel="0" collapsed="false">
      <c r="A305" s="28" t="str">
        <f aca="false">IF($E305="","",COUNTA($E$4:$E305))</f>
        <v/>
      </c>
      <c r="B305" s="34"/>
      <c r="C305" s="34"/>
      <c r="D305" s="34"/>
      <c r="E305" s="34"/>
      <c r="F305" s="35"/>
      <c r="G305" s="34"/>
      <c r="H305" s="35"/>
      <c r="I305" s="34"/>
      <c r="J305" s="36"/>
      <c r="K305" s="36"/>
      <c r="L305" s="35"/>
      <c r="M305" s="34"/>
      <c r="N305" s="35"/>
      <c r="O305" s="36"/>
      <c r="P305" s="32" t="str">
        <f aca="false">IF($J305="","",$J305-WEEKDAY($J305,3))</f>
        <v/>
      </c>
      <c r="Q305" s="32" t="str">
        <f aca="false">IF($J305="","",IF($K305="",$J305,$K305))</f>
        <v/>
      </c>
      <c r="R305" s="28" t="str">
        <f aca="false">IF($E305="","",IF(OR($N305&lt;&gt;"Concluída",$O305="",$J305=""),0,IF($O305&lt;=$J305,1,0)))</f>
        <v/>
      </c>
      <c r="S305" s="28" t="str">
        <f aca="false">IF($E305="","",IF(OR($N305&lt;&gt;"Concluída",$O305="",$Q305=""),0,IF($O305&lt;=$Q305,1,0)))</f>
        <v/>
      </c>
      <c r="T305" s="28" t="str">
        <f aca="false">IF(OR($J305="",$N305&lt;&gt;"Concluída",$O305=""),"",MAX(0,$O305-$J305))</f>
        <v/>
      </c>
      <c r="U305" s="33" t="str">
        <f aca="true">IF($E305="","",IF($N305="Cancelada","Cancelada",IF($N305="Concluída",IF($R305=1,"No prazo","Concluída com atraso"),IF($J305="","Na carteira",IF($J305&lt;TODAY(),"VENCIDA",IF($J305=TODAY(),"Hoje","Programada"))))))</f>
        <v/>
      </c>
    </row>
    <row r="306" customFormat="false" ht="15.75" hidden="false" customHeight="true" outlineLevel="0" collapsed="false">
      <c r="A306" s="28" t="str">
        <f aca="false">IF($E306="","",COUNTA($E$4:$E306))</f>
        <v/>
      </c>
      <c r="B306" s="29"/>
      <c r="C306" s="29"/>
      <c r="D306" s="29"/>
      <c r="E306" s="29"/>
      <c r="F306" s="30"/>
      <c r="G306" s="29"/>
      <c r="H306" s="30"/>
      <c r="I306" s="29"/>
      <c r="J306" s="31"/>
      <c r="K306" s="31"/>
      <c r="L306" s="30"/>
      <c r="M306" s="29"/>
      <c r="N306" s="30"/>
      <c r="O306" s="31"/>
      <c r="P306" s="32" t="str">
        <f aca="false">IF($J306="","",$J306-WEEKDAY($J306,3))</f>
        <v/>
      </c>
      <c r="Q306" s="32" t="str">
        <f aca="false">IF($J306="","",IF($K306="",$J306,$K306))</f>
        <v/>
      </c>
      <c r="R306" s="28" t="str">
        <f aca="false">IF($E306="","",IF(OR($N306&lt;&gt;"Concluída",$O306="",$J306=""),0,IF($O306&lt;=$J306,1,0)))</f>
        <v/>
      </c>
      <c r="S306" s="28" t="str">
        <f aca="false">IF($E306="","",IF(OR($N306&lt;&gt;"Concluída",$O306="",$Q306=""),0,IF($O306&lt;=$Q306,1,0)))</f>
        <v/>
      </c>
      <c r="T306" s="28" t="str">
        <f aca="false">IF(OR($J306="",$N306&lt;&gt;"Concluída",$O306=""),"",MAX(0,$O306-$J306))</f>
        <v/>
      </c>
      <c r="U306" s="33" t="str">
        <f aca="true">IF($E306="","",IF($N306="Cancelada","Cancelada",IF($N306="Concluída",IF($R306=1,"No prazo","Concluída com atraso"),IF($J306="","Na carteira",IF($J306&lt;TODAY(),"VENCIDA",IF($J306=TODAY(),"Hoje","Programada"))))))</f>
        <v/>
      </c>
    </row>
    <row r="307" customFormat="false" ht="15.75" hidden="false" customHeight="true" outlineLevel="0" collapsed="false">
      <c r="A307" s="28" t="str">
        <f aca="false">IF($E307="","",COUNTA($E$4:$E307))</f>
        <v/>
      </c>
      <c r="B307" s="34"/>
      <c r="C307" s="34"/>
      <c r="D307" s="34"/>
      <c r="E307" s="34"/>
      <c r="F307" s="35"/>
      <c r="G307" s="34"/>
      <c r="H307" s="35"/>
      <c r="I307" s="34"/>
      <c r="J307" s="36"/>
      <c r="K307" s="36"/>
      <c r="L307" s="35"/>
      <c r="M307" s="34"/>
      <c r="N307" s="35"/>
      <c r="O307" s="36"/>
      <c r="P307" s="32" t="str">
        <f aca="false">IF($J307="","",$J307-WEEKDAY($J307,3))</f>
        <v/>
      </c>
      <c r="Q307" s="32" t="str">
        <f aca="false">IF($J307="","",IF($K307="",$J307,$K307))</f>
        <v/>
      </c>
      <c r="R307" s="28" t="str">
        <f aca="false">IF($E307="","",IF(OR($N307&lt;&gt;"Concluída",$O307="",$J307=""),0,IF($O307&lt;=$J307,1,0)))</f>
        <v/>
      </c>
      <c r="S307" s="28" t="str">
        <f aca="false">IF($E307="","",IF(OR($N307&lt;&gt;"Concluída",$O307="",$Q307=""),0,IF($O307&lt;=$Q307,1,0)))</f>
        <v/>
      </c>
      <c r="T307" s="28" t="str">
        <f aca="false">IF(OR($J307="",$N307&lt;&gt;"Concluída",$O307=""),"",MAX(0,$O307-$J307))</f>
        <v/>
      </c>
      <c r="U307" s="33" t="str">
        <f aca="true">IF($E307="","",IF($N307="Cancelada","Cancelada",IF($N307="Concluída",IF($R307=1,"No prazo","Concluída com atraso"),IF($J307="","Na carteira",IF($J307&lt;TODAY(),"VENCIDA",IF($J307=TODAY(),"Hoje","Programada"))))))</f>
        <v/>
      </c>
    </row>
    <row r="308" customFormat="false" ht="15.75" hidden="false" customHeight="true" outlineLevel="0" collapsed="false">
      <c r="A308" s="28" t="str">
        <f aca="false">IF($E308="","",COUNTA($E$4:$E308))</f>
        <v/>
      </c>
      <c r="B308" s="29"/>
      <c r="C308" s="29"/>
      <c r="D308" s="29"/>
      <c r="E308" s="29"/>
      <c r="F308" s="30"/>
      <c r="G308" s="29"/>
      <c r="H308" s="30"/>
      <c r="I308" s="29"/>
      <c r="J308" s="31"/>
      <c r="K308" s="31"/>
      <c r="L308" s="30"/>
      <c r="M308" s="29"/>
      <c r="N308" s="30"/>
      <c r="O308" s="31"/>
      <c r="P308" s="32" t="str">
        <f aca="false">IF($J308="","",$J308-WEEKDAY($J308,3))</f>
        <v/>
      </c>
      <c r="Q308" s="32" t="str">
        <f aca="false">IF($J308="","",IF($K308="",$J308,$K308))</f>
        <v/>
      </c>
      <c r="R308" s="28" t="str">
        <f aca="false">IF($E308="","",IF(OR($N308&lt;&gt;"Concluída",$O308="",$J308=""),0,IF($O308&lt;=$J308,1,0)))</f>
        <v/>
      </c>
      <c r="S308" s="28" t="str">
        <f aca="false">IF($E308="","",IF(OR($N308&lt;&gt;"Concluída",$O308="",$Q308=""),0,IF($O308&lt;=$Q308,1,0)))</f>
        <v/>
      </c>
      <c r="T308" s="28" t="str">
        <f aca="false">IF(OR($J308="",$N308&lt;&gt;"Concluída",$O308=""),"",MAX(0,$O308-$J308))</f>
        <v/>
      </c>
      <c r="U308" s="33" t="str">
        <f aca="true">IF($E308="","",IF($N308="Cancelada","Cancelada",IF($N308="Concluída",IF($R308=1,"No prazo","Concluída com atraso"),IF($J308="","Na carteira",IF($J308&lt;TODAY(),"VENCIDA",IF($J308=TODAY(),"Hoje","Programada"))))))</f>
        <v/>
      </c>
    </row>
    <row r="309" customFormat="false" ht="15.75" hidden="false" customHeight="true" outlineLevel="0" collapsed="false">
      <c r="A309" s="28" t="str">
        <f aca="false">IF($E309="","",COUNTA($E$4:$E309))</f>
        <v/>
      </c>
      <c r="B309" s="34"/>
      <c r="C309" s="34"/>
      <c r="D309" s="34"/>
      <c r="E309" s="34"/>
      <c r="F309" s="35"/>
      <c r="G309" s="34"/>
      <c r="H309" s="35"/>
      <c r="I309" s="34"/>
      <c r="J309" s="36"/>
      <c r="K309" s="36"/>
      <c r="L309" s="35"/>
      <c r="M309" s="34"/>
      <c r="N309" s="35"/>
      <c r="O309" s="36"/>
      <c r="P309" s="32" t="str">
        <f aca="false">IF($J309="","",$J309-WEEKDAY($J309,3))</f>
        <v/>
      </c>
      <c r="Q309" s="32" t="str">
        <f aca="false">IF($J309="","",IF($K309="",$J309,$K309))</f>
        <v/>
      </c>
      <c r="R309" s="28" t="str">
        <f aca="false">IF($E309="","",IF(OR($N309&lt;&gt;"Concluída",$O309="",$J309=""),0,IF($O309&lt;=$J309,1,0)))</f>
        <v/>
      </c>
      <c r="S309" s="28" t="str">
        <f aca="false">IF($E309="","",IF(OR($N309&lt;&gt;"Concluída",$O309="",$Q309=""),0,IF($O309&lt;=$Q309,1,0)))</f>
        <v/>
      </c>
      <c r="T309" s="28" t="str">
        <f aca="false">IF(OR($J309="",$N309&lt;&gt;"Concluída",$O309=""),"",MAX(0,$O309-$J309))</f>
        <v/>
      </c>
      <c r="U309" s="33" t="str">
        <f aca="true">IF($E309="","",IF($N309="Cancelada","Cancelada",IF($N309="Concluída",IF($R309=1,"No prazo","Concluída com atraso"),IF($J309="","Na carteira",IF($J309&lt;TODAY(),"VENCIDA",IF($J309=TODAY(),"Hoje","Programada"))))))</f>
        <v/>
      </c>
    </row>
    <row r="310" customFormat="false" ht="15.75" hidden="false" customHeight="true" outlineLevel="0" collapsed="false">
      <c r="A310" s="28" t="str">
        <f aca="false">IF($E310="","",COUNTA($E$4:$E310))</f>
        <v/>
      </c>
      <c r="B310" s="29"/>
      <c r="C310" s="29"/>
      <c r="D310" s="29"/>
      <c r="E310" s="29"/>
      <c r="F310" s="30"/>
      <c r="G310" s="29"/>
      <c r="H310" s="30"/>
      <c r="I310" s="29"/>
      <c r="J310" s="31"/>
      <c r="K310" s="31"/>
      <c r="L310" s="30"/>
      <c r="M310" s="29"/>
      <c r="N310" s="30"/>
      <c r="O310" s="31"/>
      <c r="P310" s="32" t="str">
        <f aca="false">IF($J310="","",$J310-WEEKDAY($J310,3))</f>
        <v/>
      </c>
      <c r="Q310" s="32" t="str">
        <f aca="false">IF($J310="","",IF($K310="",$J310,$K310))</f>
        <v/>
      </c>
      <c r="R310" s="28" t="str">
        <f aca="false">IF($E310="","",IF(OR($N310&lt;&gt;"Concluída",$O310="",$J310=""),0,IF($O310&lt;=$J310,1,0)))</f>
        <v/>
      </c>
      <c r="S310" s="28" t="str">
        <f aca="false">IF($E310="","",IF(OR($N310&lt;&gt;"Concluída",$O310="",$Q310=""),0,IF($O310&lt;=$Q310,1,0)))</f>
        <v/>
      </c>
      <c r="T310" s="28" t="str">
        <f aca="false">IF(OR($J310="",$N310&lt;&gt;"Concluída",$O310=""),"",MAX(0,$O310-$J310))</f>
        <v/>
      </c>
      <c r="U310" s="33" t="str">
        <f aca="true">IF($E310="","",IF($N310="Cancelada","Cancelada",IF($N310="Concluída",IF($R310=1,"No prazo","Concluída com atraso"),IF($J310="","Na carteira",IF($J310&lt;TODAY(),"VENCIDA",IF($J310=TODAY(),"Hoje","Programada"))))))</f>
        <v/>
      </c>
    </row>
    <row r="311" customFormat="false" ht="15.75" hidden="false" customHeight="true" outlineLevel="0" collapsed="false">
      <c r="A311" s="28" t="str">
        <f aca="false">IF($E311="","",COUNTA($E$4:$E311))</f>
        <v/>
      </c>
      <c r="B311" s="34"/>
      <c r="C311" s="34"/>
      <c r="D311" s="34"/>
      <c r="E311" s="34"/>
      <c r="F311" s="35"/>
      <c r="G311" s="34"/>
      <c r="H311" s="35"/>
      <c r="I311" s="34"/>
      <c r="J311" s="36"/>
      <c r="K311" s="36"/>
      <c r="L311" s="35"/>
      <c r="M311" s="34"/>
      <c r="N311" s="35"/>
      <c r="O311" s="36"/>
      <c r="P311" s="32" t="str">
        <f aca="false">IF($J311="","",$J311-WEEKDAY($J311,3))</f>
        <v/>
      </c>
      <c r="Q311" s="32" t="str">
        <f aca="false">IF($J311="","",IF($K311="",$J311,$K311))</f>
        <v/>
      </c>
      <c r="R311" s="28" t="str">
        <f aca="false">IF($E311="","",IF(OR($N311&lt;&gt;"Concluída",$O311="",$J311=""),0,IF($O311&lt;=$J311,1,0)))</f>
        <v/>
      </c>
      <c r="S311" s="28" t="str">
        <f aca="false">IF($E311="","",IF(OR($N311&lt;&gt;"Concluída",$O311="",$Q311=""),0,IF($O311&lt;=$Q311,1,0)))</f>
        <v/>
      </c>
      <c r="T311" s="28" t="str">
        <f aca="false">IF(OR($J311="",$N311&lt;&gt;"Concluída",$O311=""),"",MAX(0,$O311-$J311))</f>
        <v/>
      </c>
      <c r="U311" s="33" t="str">
        <f aca="true">IF($E311="","",IF($N311="Cancelada","Cancelada",IF($N311="Concluída",IF($R311=1,"No prazo","Concluída com atraso"),IF($J311="","Na carteira",IF($J311&lt;TODAY(),"VENCIDA",IF($J311=TODAY(),"Hoje","Programada"))))))</f>
        <v/>
      </c>
    </row>
    <row r="312" customFormat="false" ht="15.75" hidden="false" customHeight="true" outlineLevel="0" collapsed="false">
      <c r="A312" s="28" t="str">
        <f aca="false">IF($E312="","",COUNTA($E$4:$E312))</f>
        <v/>
      </c>
      <c r="B312" s="29"/>
      <c r="C312" s="29"/>
      <c r="D312" s="29"/>
      <c r="E312" s="29"/>
      <c r="F312" s="30"/>
      <c r="G312" s="29"/>
      <c r="H312" s="30"/>
      <c r="I312" s="29"/>
      <c r="J312" s="31"/>
      <c r="K312" s="31"/>
      <c r="L312" s="30"/>
      <c r="M312" s="29"/>
      <c r="N312" s="30"/>
      <c r="O312" s="31"/>
      <c r="P312" s="32" t="str">
        <f aca="false">IF($J312="","",$J312-WEEKDAY($J312,3))</f>
        <v/>
      </c>
      <c r="Q312" s="32" t="str">
        <f aca="false">IF($J312="","",IF($K312="",$J312,$K312))</f>
        <v/>
      </c>
      <c r="R312" s="28" t="str">
        <f aca="false">IF($E312="","",IF(OR($N312&lt;&gt;"Concluída",$O312="",$J312=""),0,IF($O312&lt;=$J312,1,0)))</f>
        <v/>
      </c>
      <c r="S312" s="28" t="str">
        <f aca="false">IF($E312="","",IF(OR($N312&lt;&gt;"Concluída",$O312="",$Q312=""),0,IF($O312&lt;=$Q312,1,0)))</f>
        <v/>
      </c>
      <c r="T312" s="28" t="str">
        <f aca="false">IF(OR($J312="",$N312&lt;&gt;"Concluída",$O312=""),"",MAX(0,$O312-$J312))</f>
        <v/>
      </c>
      <c r="U312" s="33" t="str">
        <f aca="true">IF($E312="","",IF($N312="Cancelada","Cancelada",IF($N312="Concluída",IF($R312=1,"No prazo","Concluída com atraso"),IF($J312="","Na carteira",IF($J312&lt;TODAY(),"VENCIDA",IF($J312=TODAY(),"Hoje","Programada"))))))</f>
        <v/>
      </c>
    </row>
    <row r="313" customFormat="false" ht="15.75" hidden="false" customHeight="true" outlineLevel="0" collapsed="false">
      <c r="A313" s="28" t="str">
        <f aca="false">IF($E313="","",COUNTA($E$4:$E313))</f>
        <v/>
      </c>
      <c r="B313" s="34"/>
      <c r="C313" s="34"/>
      <c r="D313" s="34"/>
      <c r="E313" s="34"/>
      <c r="F313" s="35"/>
      <c r="G313" s="34"/>
      <c r="H313" s="35"/>
      <c r="I313" s="34"/>
      <c r="J313" s="36"/>
      <c r="K313" s="36"/>
      <c r="L313" s="35"/>
      <c r="M313" s="34"/>
      <c r="N313" s="35"/>
      <c r="O313" s="36"/>
      <c r="P313" s="32" t="str">
        <f aca="false">IF($J313="","",$J313-WEEKDAY($J313,3))</f>
        <v/>
      </c>
      <c r="Q313" s="32" t="str">
        <f aca="false">IF($J313="","",IF($K313="",$J313,$K313))</f>
        <v/>
      </c>
      <c r="R313" s="28" t="str">
        <f aca="false">IF($E313="","",IF(OR($N313&lt;&gt;"Concluída",$O313="",$J313=""),0,IF($O313&lt;=$J313,1,0)))</f>
        <v/>
      </c>
      <c r="S313" s="28" t="str">
        <f aca="false">IF($E313="","",IF(OR($N313&lt;&gt;"Concluída",$O313="",$Q313=""),0,IF($O313&lt;=$Q313,1,0)))</f>
        <v/>
      </c>
      <c r="T313" s="28" t="str">
        <f aca="false">IF(OR($J313="",$N313&lt;&gt;"Concluída",$O313=""),"",MAX(0,$O313-$J313))</f>
        <v/>
      </c>
      <c r="U313" s="33" t="str">
        <f aca="true">IF($E313="","",IF($N313="Cancelada","Cancelada",IF($N313="Concluída",IF($R313=1,"No prazo","Concluída com atraso"),IF($J313="","Na carteira",IF($J313&lt;TODAY(),"VENCIDA",IF($J313=TODAY(),"Hoje","Programada"))))))</f>
        <v/>
      </c>
    </row>
    <row r="314" customFormat="false" ht="15.75" hidden="false" customHeight="true" outlineLevel="0" collapsed="false">
      <c r="A314" s="28" t="str">
        <f aca="false">IF($E314="","",COUNTA($E$4:$E314))</f>
        <v/>
      </c>
      <c r="B314" s="29"/>
      <c r="C314" s="29"/>
      <c r="D314" s="29"/>
      <c r="E314" s="29"/>
      <c r="F314" s="30"/>
      <c r="G314" s="29"/>
      <c r="H314" s="30"/>
      <c r="I314" s="29"/>
      <c r="J314" s="31"/>
      <c r="K314" s="31"/>
      <c r="L314" s="30"/>
      <c r="M314" s="29"/>
      <c r="N314" s="30"/>
      <c r="O314" s="31"/>
      <c r="P314" s="32" t="str">
        <f aca="false">IF($J314="","",$J314-WEEKDAY($J314,3))</f>
        <v/>
      </c>
      <c r="Q314" s="32" t="str">
        <f aca="false">IF($J314="","",IF($K314="",$J314,$K314))</f>
        <v/>
      </c>
      <c r="R314" s="28" t="str">
        <f aca="false">IF($E314="","",IF(OR($N314&lt;&gt;"Concluída",$O314="",$J314=""),0,IF($O314&lt;=$J314,1,0)))</f>
        <v/>
      </c>
      <c r="S314" s="28" t="str">
        <f aca="false">IF($E314="","",IF(OR($N314&lt;&gt;"Concluída",$O314="",$Q314=""),0,IF($O314&lt;=$Q314,1,0)))</f>
        <v/>
      </c>
      <c r="T314" s="28" t="str">
        <f aca="false">IF(OR($J314="",$N314&lt;&gt;"Concluída",$O314=""),"",MAX(0,$O314-$J314))</f>
        <v/>
      </c>
      <c r="U314" s="33" t="str">
        <f aca="true">IF($E314="","",IF($N314="Cancelada","Cancelada",IF($N314="Concluída",IF($R314=1,"No prazo","Concluída com atraso"),IF($J314="","Na carteira",IF($J314&lt;TODAY(),"VENCIDA",IF($J314=TODAY(),"Hoje","Programada"))))))</f>
        <v/>
      </c>
    </row>
    <row r="315" customFormat="false" ht="15.75" hidden="false" customHeight="true" outlineLevel="0" collapsed="false">
      <c r="A315" s="28" t="str">
        <f aca="false">IF($E315="","",COUNTA($E$4:$E315))</f>
        <v/>
      </c>
      <c r="B315" s="34"/>
      <c r="C315" s="34"/>
      <c r="D315" s="34"/>
      <c r="E315" s="34"/>
      <c r="F315" s="35"/>
      <c r="G315" s="34"/>
      <c r="H315" s="35"/>
      <c r="I315" s="34"/>
      <c r="J315" s="36"/>
      <c r="K315" s="36"/>
      <c r="L315" s="35"/>
      <c r="M315" s="34"/>
      <c r="N315" s="35"/>
      <c r="O315" s="36"/>
      <c r="P315" s="32" t="str">
        <f aca="false">IF($J315="","",$J315-WEEKDAY($J315,3))</f>
        <v/>
      </c>
      <c r="Q315" s="32" t="str">
        <f aca="false">IF($J315="","",IF($K315="",$J315,$K315))</f>
        <v/>
      </c>
      <c r="R315" s="28" t="str">
        <f aca="false">IF($E315="","",IF(OR($N315&lt;&gt;"Concluída",$O315="",$J315=""),0,IF($O315&lt;=$J315,1,0)))</f>
        <v/>
      </c>
      <c r="S315" s="28" t="str">
        <f aca="false">IF($E315="","",IF(OR($N315&lt;&gt;"Concluída",$O315="",$Q315=""),0,IF($O315&lt;=$Q315,1,0)))</f>
        <v/>
      </c>
      <c r="T315" s="28" t="str">
        <f aca="false">IF(OR($J315="",$N315&lt;&gt;"Concluída",$O315=""),"",MAX(0,$O315-$J315))</f>
        <v/>
      </c>
      <c r="U315" s="33" t="str">
        <f aca="true">IF($E315="","",IF($N315="Cancelada","Cancelada",IF($N315="Concluída",IF($R315=1,"No prazo","Concluída com atraso"),IF($J315="","Na carteira",IF($J315&lt;TODAY(),"VENCIDA",IF($J315=TODAY(),"Hoje","Programada"))))))</f>
        <v/>
      </c>
    </row>
    <row r="316" customFormat="false" ht="15.75" hidden="false" customHeight="true" outlineLevel="0" collapsed="false">
      <c r="A316" s="28" t="str">
        <f aca="false">IF($E316="","",COUNTA($E$4:$E316))</f>
        <v/>
      </c>
      <c r="B316" s="29"/>
      <c r="C316" s="29"/>
      <c r="D316" s="29"/>
      <c r="E316" s="29"/>
      <c r="F316" s="30"/>
      <c r="G316" s="29"/>
      <c r="H316" s="30"/>
      <c r="I316" s="29"/>
      <c r="J316" s="31"/>
      <c r="K316" s="31"/>
      <c r="L316" s="30"/>
      <c r="M316" s="29"/>
      <c r="N316" s="30"/>
      <c r="O316" s="31"/>
      <c r="P316" s="32" t="str">
        <f aca="false">IF($J316="","",$J316-WEEKDAY($J316,3))</f>
        <v/>
      </c>
      <c r="Q316" s="32" t="str">
        <f aca="false">IF($J316="","",IF($K316="",$J316,$K316))</f>
        <v/>
      </c>
      <c r="R316" s="28" t="str">
        <f aca="false">IF($E316="","",IF(OR($N316&lt;&gt;"Concluída",$O316="",$J316=""),0,IF($O316&lt;=$J316,1,0)))</f>
        <v/>
      </c>
      <c r="S316" s="28" t="str">
        <f aca="false">IF($E316="","",IF(OR($N316&lt;&gt;"Concluída",$O316="",$Q316=""),0,IF($O316&lt;=$Q316,1,0)))</f>
        <v/>
      </c>
      <c r="T316" s="28" t="str">
        <f aca="false">IF(OR($J316="",$N316&lt;&gt;"Concluída",$O316=""),"",MAX(0,$O316-$J316))</f>
        <v/>
      </c>
      <c r="U316" s="33" t="str">
        <f aca="true">IF($E316="","",IF($N316="Cancelada","Cancelada",IF($N316="Concluída",IF($R316=1,"No prazo","Concluída com atraso"),IF($J316="","Na carteira",IF($J316&lt;TODAY(),"VENCIDA",IF($J316=TODAY(),"Hoje","Programada"))))))</f>
        <v/>
      </c>
    </row>
    <row r="317" customFormat="false" ht="15.75" hidden="false" customHeight="true" outlineLevel="0" collapsed="false">
      <c r="A317" s="28" t="str">
        <f aca="false">IF($E317="","",COUNTA($E$4:$E317))</f>
        <v/>
      </c>
      <c r="B317" s="34"/>
      <c r="C317" s="34"/>
      <c r="D317" s="34"/>
      <c r="E317" s="34"/>
      <c r="F317" s="35"/>
      <c r="G317" s="34"/>
      <c r="H317" s="35"/>
      <c r="I317" s="34"/>
      <c r="J317" s="36"/>
      <c r="K317" s="36"/>
      <c r="L317" s="35"/>
      <c r="M317" s="34"/>
      <c r="N317" s="35"/>
      <c r="O317" s="36"/>
      <c r="P317" s="32" t="str">
        <f aca="false">IF($J317="","",$J317-WEEKDAY($J317,3))</f>
        <v/>
      </c>
      <c r="Q317" s="32" t="str">
        <f aca="false">IF($J317="","",IF($K317="",$J317,$K317))</f>
        <v/>
      </c>
      <c r="R317" s="28" t="str">
        <f aca="false">IF($E317="","",IF(OR($N317&lt;&gt;"Concluída",$O317="",$J317=""),0,IF($O317&lt;=$J317,1,0)))</f>
        <v/>
      </c>
      <c r="S317" s="28" t="str">
        <f aca="false">IF($E317="","",IF(OR($N317&lt;&gt;"Concluída",$O317="",$Q317=""),0,IF($O317&lt;=$Q317,1,0)))</f>
        <v/>
      </c>
      <c r="T317" s="28" t="str">
        <f aca="false">IF(OR($J317="",$N317&lt;&gt;"Concluída",$O317=""),"",MAX(0,$O317-$J317))</f>
        <v/>
      </c>
      <c r="U317" s="33" t="str">
        <f aca="true">IF($E317="","",IF($N317="Cancelada","Cancelada",IF($N317="Concluída",IF($R317=1,"No prazo","Concluída com atraso"),IF($J317="","Na carteira",IF($J317&lt;TODAY(),"VENCIDA",IF($J317=TODAY(),"Hoje","Programada"))))))</f>
        <v/>
      </c>
    </row>
    <row r="318" customFormat="false" ht="15.75" hidden="false" customHeight="true" outlineLevel="0" collapsed="false">
      <c r="A318" s="28" t="str">
        <f aca="false">IF($E318="","",COUNTA($E$4:$E318))</f>
        <v/>
      </c>
      <c r="B318" s="29"/>
      <c r="C318" s="29"/>
      <c r="D318" s="29"/>
      <c r="E318" s="29"/>
      <c r="F318" s="30"/>
      <c r="G318" s="29"/>
      <c r="H318" s="30"/>
      <c r="I318" s="29"/>
      <c r="J318" s="31"/>
      <c r="K318" s="31"/>
      <c r="L318" s="30"/>
      <c r="M318" s="29"/>
      <c r="N318" s="30"/>
      <c r="O318" s="31"/>
      <c r="P318" s="32" t="str">
        <f aca="false">IF($J318="","",$J318-WEEKDAY($J318,3))</f>
        <v/>
      </c>
      <c r="Q318" s="32" t="str">
        <f aca="false">IF($J318="","",IF($K318="",$J318,$K318))</f>
        <v/>
      </c>
      <c r="R318" s="28" t="str">
        <f aca="false">IF($E318="","",IF(OR($N318&lt;&gt;"Concluída",$O318="",$J318=""),0,IF($O318&lt;=$J318,1,0)))</f>
        <v/>
      </c>
      <c r="S318" s="28" t="str">
        <f aca="false">IF($E318="","",IF(OR($N318&lt;&gt;"Concluída",$O318="",$Q318=""),0,IF($O318&lt;=$Q318,1,0)))</f>
        <v/>
      </c>
      <c r="T318" s="28" t="str">
        <f aca="false">IF(OR($J318="",$N318&lt;&gt;"Concluída",$O318=""),"",MAX(0,$O318-$J318))</f>
        <v/>
      </c>
      <c r="U318" s="33" t="str">
        <f aca="true">IF($E318="","",IF($N318="Cancelada","Cancelada",IF($N318="Concluída",IF($R318=1,"No prazo","Concluída com atraso"),IF($J318="","Na carteira",IF($J318&lt;TODAY(),"VENCIDA",IF($J318=TODAY(),"Hoje","Programada"))))))</f>
        <v/>
      </c>
    </row>
    <row r="319" customFormat="false" ht="15.75" hidden="false" customHeight="true" outlineLevel="0" collapsed="false">
      <c r="A319" s="28" t="str">
        <f aca="false">IF($E319="","",COUNTA($E$4:$E319))</f>
        <v/>
      </c>
      <c r="B319" s="34"/>
      <c r="C319" s="34"/>
      <c r="D319" s="34"/>
      <c r="E319" s="34"/>
      <c r="F319" s="35"/>
      <c r="G319" s="34"/>
      <c r="H319" s="35"/>
      <c r="I319" s="34"/>
      <c r="J319" s="36"/>
      <c r="K319" s="36"/>
      <c r="L319" s="35"/>
      <c r="M319" s="34"/>
      <c r="N319" s="35"/>
      <c r="O319" s="36"/>
      <c r="P319" s="32" t="str">
        <f aca="false">IF($J319="","",$J319-WEEKDAY($J319,3))</f>
        <v/>
      </c>
      <c r="Q319" s="32" t="str">
        <f aca="false">IF($J319="","",IF($K319="",$J319,$K319))</f>
        <v/>
      </c>
      <c r="R319" s="28" t="str">
        <f aca="false">IF($E319="","",IF(OR($N319&lt;&gt;"Concluída",$O319="",$J319=""),0,IF($O319&lt;=$J319,1,0)))</f>
        <v/>
      </c>
      <c r="S319" s="28" t="str">
        <f aca="false">IF($E319="","",IF(OR($N319&lt;&gt;"Concluída",$O319="",$Q319=""),0,IF($O319&lt;=$Q319,1,0)))</f>
        <v/>
      </c>
      <c r="T319" s="28" t="str">
        <f aca="false">IF(OR($J319="",$N319&lt;&gt;"Concluída",$O319=""),"",MAX(0,$O319-$J319))</f>
        <v/>
      </c>
      <c r="U319" s="33" t="str">
        <f aca="true">IF($E319="","",IF($N319="Cancelada","Cancelada",IF($N319="Concluída",IF($R319=1,"No prazo","Concluída com atraso"),IF($J319="","Na carteira",IF($J319&lt;TODAY(),"VENCIDA",IF($J319=TODAY(),"Hoje","Programada"))))))</f>
        <v/>
      </c>
    </row>
    <row r="320" customFormat="false" ht="15.75" hidden="false" customHeight="true" outlineLevel="0" collapsed="false">
      <c r="A320" s="28" t="str">
        <f aca="false">IF($E320="","",COUNTA($E$4:$E320))</f>
        <v/>
      </c>
      <c r="B320" s="29"/>
      <c r="C320" s="29"/>
      <c r="D320" s="29"/>
      <c r="E320" s="29"/>
      <c r="F320" s="30"/>
      <c r="G320" s="29"/>
      <c r="H320" s="30"/>
      <c r="I320" s="29"/>
      <c r="J320" s="31"/>
      <c r="K320" s="31"/>
      <c r="L320" s="30"/>
      <c r="M320" s="29"/>
      <c r="N320" s="30"/>
      <c r="O320" s="31"/>
      <c r="P320" s="32" t="str">
        <f aca="false">IF($J320="","",$J320-WEEKDAY($J320,3))</f>
        <v/>
      </c>
      <c r="Q320" s="32" t="str">
        <f aca="false">IF($J320="","",IF($K320="",$J320,$K320))</f>
        <v/>
      </c>
      <c r="R320" s="28" t="str">
        <f aca="false">IF($E320="","",IF(OR($N320&lt;&gt;"Concluída",$O320="",$J320=""),0,IF($O320&lt;=$J320,1,0)))</f>
        <v/>
      </c>
      <c r="S320" s="28" t="str">
        <f aca="false">IF($E320="","",IF(OR($N320&lt;&gt;"Concluída",$O320="",$Q320=""),0,IF($O320&lt;=$Q320,1,0)))</f>
        <v/>
      </c>
      <c r="T320" s="28" t="str">
        <f aca="false">IF(OR($J320="",$N320&lt;&gt;"Concluída",$O320=""),"",MAX(0,$O320-$J320))</f>
        <v/>
      </c>
      <c r="U320" s="33" t="str">
        <f aca="true">IF($E320="","",IF($N320="Cancelada","Cancelada",IF($N320="Concluída",IF($R320=1,"No prazo","Concluída com atraso"),IF($J320="","Na carteira",IF($J320&lt;TODAY(),"VENCIDA",IF($J320=TODAY(),"Hoje","Programada"))))))</f>
        <v/>
      </c>
    </row>
    <row r="321" customFormat="false" ht="15.75" hidden="false" customHeight="true" outlineLevel="0" collapsed="false">
      <c r="A321" s="28" t="str">
        <f aca="false">IF($E321="","",COUNTA($E$4:$E321))</f>
        <v/>
      </c>
      <c r="B321" s="34"/>
      <c r="C321" s="34"/>
      <c r="D321" s="34"/>
      <c r="E321" s="34"/>
      <c r="F321" s="35"/>
      <c r="G321" s="34"/>
      <c r="H321" s="35"/>
      <c r="I321" s="34"/>
      <c r="J321" s="36"/>
      <c r="K321" s="36"/>
      <c r="L321" s="35"/>
      <c r="M321" s="34"/>
      <c r="N321" s="35"/>
      <c r="O321" s="36"/>
      <c r="P321" s="32" t="str">
        <f aca="false">IF($J321="","",$J321-WEEKDAY($J321,3))</f>
        <v/>
      </c>
      <c r="Q321" s="32" t="str">
        <f aca="false">IF($J321="","",IF($K321="",$J321,$K321))</f>
        <v/>
      </c>
      <c r="R321" s="28" t="str">
        <f aca="false">IF($E321="","",IF(OR($N321&lt;&gt;"Concluída",$O321="",$J321=""),0,IF($O321&lt;=$J321,1,0)))</f>
        <v/>
      </c>
      <c r="S321" s="28" t="str">
        <f aca="false">IF($E321="","",IF(OR($N321&lt;&gt;"Concluída",$O321="",$Q321=""),0,IF($O321&lt;=$Q321,1,0)))</f>
        <v/>
      </c>
      <c r="T321" s="28" t="str">
        <f aca="false">IF(OR($J321="",$N321&lt;&gt;"Concluída",$O321=""),"",MAX(0,$O321-$J321))</f>
        <v/>
      </c>
      <c r="U321" s="33" t="str">
        <f aca="true">IF($E321="","",IF($N321="Cancelada","Cancelada",IF($N321="Concluída",IF($R321=1,"No prazo","Concluída com atraso"),IF($J321="","Na carteira",IF($J321&lt;TODAY(),"VENCIDA",IF($J321=TODAY(),"Hoje","Programada"))))))</f>
        <v/>
      </c>
    </row>
    <row r="322" customFormat="false" ht="15.75" hidden="false" customHeight="true" outlineLevel="0" collapsed="false">
      <c r="A322" s="28" t="str">
        <f aca="false">IF($E322="","",COUNTA($E$4:$E322))</f>
        <v/>
      </c>
      <c r="B322" s="29"/>
      <c r="C322" s="29"/>
      <c r="D322" s="29"/>
      <c r="E322" s="29"/>
      <c r="F322" s="30"/>
      <c r="G322" s="29"/>
      <c r="H322" s="30"/>
      <c r="I322" s="29"/>
      <c r="J322" s="31"/>
      <c r="K322" s="31"/>
      <c r="L322" s="30"/>
      <c r="M322" s="29"/>
      <c r="N322" s="30"/>
      <c r="O322" s="31"/>
      <c r="P322" s="32" t="str">
        <f aca="false">IF($J322="","",$J322-WEEKDAY($J322,3))</f>
        <v/>
      </c>
      <c r="Q322" s="32" t="str">
        <f aca="false">IF($J322="","",IF($K322="",$J322,$K322))</f>
        <v/>
      </c>
      <c r="R322" s="28" t="str">
        <f aca="false">IF($E322="","",IF(OR($N322&lt;&gt;"Concluída",$O322="",$J322=""),0,IF($O322&lt;=$J322,1,0)))</f>
        <v/>
      </c>
      <c r="S322" s="28" t="str">
        <f aca="false">IF($E322="","",IF(OR($N322&lt;&gt;"Concluída",$O322="",$Q322=""),0,IF($O322&lt;=$Q322,1,0)))</f>
        <v/>
      </c>
      <c r="T322" s="28" t="str">
        <f aca="false">IF(OR($J322="",$N322&lt;&gt;"Concluída",$O322=""),"",MAX(0,$O322-$J322))</f>
        <v/>
      </c>
      <c r="U322" s="33" t="str">
        <f aca="true">IF($E322="","",IF($N322="Cancelada","Cancelada",IF($N322="Concluída",IF($R322=1,"No prazo","Concluída com atraso"),IF($J322="","Na carteira",IF($J322&lt;TODAY(),"VENCIDA",IF($J322=TODAY(),"Hoje","Programada"))))))</f>
        <v/>
      </c>
    </row>
    <row r="323" customFormat="false" ht="15.75" hidden="false" customHeight="true" outlineLevel="0" collapsed="false">
      <c r="A323" s="28" t="str">
        <f aca="false">IF($E323="","",COUNTA($E$4:$E323))</f>
        <v/>
      </c>
      <c r="B323" s="34"/>
      <c r="C323" s="34"/>
      <c r="D323" s="34"/>
      <c r="E323" s="34"/>
      <c r="F323" s="35"/>
      <c r="G323" s="34"/>
      <c r="H323" s="35"/>
      <c r="I323" s="34"/>
      <c r="J323" s="36"/>
      <c r="K323" s="36"/>
      <c r="L323" s="35"/>
      <c r="M323" s="34"/>
      <c r="N323" s="35"/>
      <c r="O323" s="36"/>
      <c r="P323" s="32" t="str">
        <f aca="false">IF($J323="","",$J323-WEEKDAY($J323,3))</f>
        <v/>
      </c>
      <c r="Q323" s="32" t="str">
        <f aca="false">IF($J323="","",IF($K323="",$J323,$K323))</f>
        <v/>
      </c>
      <c r="R323" s="28" t="str">
        <f aca="false">IF($E323="","",IF(OR($N323&lt;&gt;"Concluída",$O323="",$J323=""),0,IF($O323&lt;=$J323,1,0)))</f>
        <v/>
      </c>
      <c r="S323" s="28" t="str">
        <f aca="false">IF($E323="","",IF(OR($N323&lt;&gt;"Concluída",$O323="",$Q323=""),0,IF($O323&lt;=$Q323,1,0)))</f>
        <v/>
      </c>
      <c r="T323" s="28" t="str">
        <f aca="false">IF(OR($J323="",$N323&lt;&gt;"Concluída",$O323=""),"",MAX(0,$O323-$J323))</f>
        <v/>
      </c>
      <c r="U323" s="33" t="str">
        <f aca="true">IF($E323="","",IF($N323="Cancelada","Cancelada",IF($N323="Concluída",IF($R323=1,"No prazo","Concluída com atraso"),IF($J323="","Na carteira",IF($J323&lt;TODAY(),"VENCIDA",IF($J323=TODAY(),"Hoje","Programada"))))))</f>
        <v/>
      </c>
    </row>
    <row r="324" customFormat="false" ht="15.75" hidden="false" customHeight="true" outlineLevel="0" collapsed="false">
      <c r="A324" s="28" t="str">
        <f aca="false">IF($E324="","",COUNTA($E$4:$E324))</f>
        <v/>
      </c>
      <c r="B324" s="29"/>
      <c r="C324" s="29"/>
      <c r="D324" s="29"/>
      <c r="E324" s="29"/>
      <c r="F324" s="30"/>
      <c r="G324" s="29"/>
      <c r="H324" s="30"/>
      <c r="I324" s="29"/>
      <c r="J324" s="31"/>
      <c r="K324" s="31"/>
      <c r="L324" s="30"/>
      <c r="M324" s="29"/>
      <c r="N324" s="30"/>
      <c r="O324" s="31"/>
      <c r="P324" s="32" t="str">
        <f aca="false">IF($J324="","",$J324-WEEKDAY($J324,3))</f>
        <v/>
      </c>
      <c r="Q324" s="32" t="str">
        <f aca="false">IF($J324="","",IF($K324="",$J324,$K324))</f>
        <v/>
      </c>
      <c r="R324" s="28" t="str">
        <f aca="false">IF($E324="","",IF(OR($N324&lt;&gt;"Concluída",$O324="",$J324=""),0,IF($O324&lt;=$J324,1,0)))</f>
        <v/>
      </c>
      <c r="S324" s="28" t="str">
        <f aca="false">IF($E324="","",IF(OR($N324&lt;&gt;"Concluída",$O324="",$Q324=""),0,IF($O324&lt;=$Q324,1,0)))</f>
        <v/>
      </c>
      <c r="T324" s="28" t="str">
        <f aca="false">IF(OR($J324="",$N324&lt;&gt;"Concluída",$O324=""),"",MAX(0,$O324-$J324))</f>
        <v/>
      </c>
      <c r="U324" s="33" t="str">
        <f aca="true">IF($E324="","",IF($N324="Cancelada","Cancelada",IF($N324="Concluída",IF($R324=1,"No prazo","Concluída com atraso"),IF($J324="","Na carteira",IF($J324&lt;TODAY(),"VENCIDA",IF($J324=TODAY(),"Hoje","Programada"))))))</f>
        <v/>
      </c>
    </row>
    <row r="325" customFormat="false" ht="15.75" hidden="false" customHeight="true" outlineLevel="0" collapsed="false">
      <c r="A325" s="28" t="str">
        <f aca="false">IF($E325="","",COUNTA($E$4:$E325))</f>
        <v/>
      </c>
      <c r="B325" s="34"/>
      <c r="C325" s="34"/>
      <c r="D325" s="34"/>
      <c r="E325" s="34"/>
      <c r="F325" s="35"/>
      <c r="G325" s="34"/>
      <c r="H325" s="35"/>
      <c r="I325" s="34"/>
      <c r="J325" s="36"/>
      <c r="K325" s="36"/>
      <c r="L325" s="35"/>
      <c r="M325" s="34"/>
      <c r="N325" s="35"/>
      <c r="O325" s="36"/>
      <c r="P325" s="32" t="str">
        <f aca="false">IF($J325="","",$J325-WEEKDAY($J325,3))</f>
        <v/>
      </c>
      <c r="Q325" s="32" t="str">
        <f aca="false">IF($J325="","",IF($K325="",$J325,$K325))</f>
        <v/>
      </c>
      <c r="R325" s="28" t="str">
        <f aca="false">IF($E325="","",IF(OR($N325&lt;&gt;"Concluída",$O325="",$J325=""),0,IF($O325&lt;=$J325,1,0)))</f>
        <v/>
      </c>
      <c r="S325" s="28" t="str">
        <f aca="false">IF($E325="","",IF(OR($N325&lt;&gt;"Concluída",$O325="",$Q325=""),0,IF($O325&lt;=$Q325,1,0)))</f>
        <v/>
      </c>
      <c r="T325" s="28" t="str">
        <f aca="false">IF(OR($J325="",$N325&lt;&gt;"Concluída",$O325=""),"",MAX(0,$O325-$J325))</f>
        <v/>
      </c>
      <c r="U325" s="33" t="str">
        <f aca="true">IF($E325="","",IF($N325="Cancelada","Cancelada",IF($N325="Concluída",IF($R325=1,"No prazo","Concluída com atraso"),IF($J325="","Na carteira",IF($J325&lt;TODAY(),"VENCIDA",IF($J325=TODAY(),"Hoje","Programada"))))))</f>
        <v/>
      </c>
    </row>
    <row r="326" customFormat="false" ht="15.75" hidden="false" customHeight="true" outlineLevel="0" collapsed="false">
      <c r="A326" s="28" t="str">
        <f aca="false">IF($E326="","",COUNTA($E$4:$E326))</f>
        <v/>
      </c>
      <c r="B326" s="29"/>
      <c r="C326" s="29"/>
      <c r="D326" s="29"/>
      <c r="E326" s="29"/>
      <c r="F326" s="30"/>
      <c r="G326" s="29"/>
      <c r="H326" s="30"/>
      <c r="I326" s="29"/>
      <c r="J326" s="31"/>
      <c r="K326" s="31"/>
      <c r="L326" s="30"/>
      <c r="M326" s="29"/>
      <c r="N326" s="30"/>
      <c r="O326" s="31"/>
      <c r="P326" s="32" t="str">
        <f aca="false">IF($J326="","",$J326-WEEKDAY($J326,3))</f>
        <v/>
      </c>
      <c r="Q326" s="32" t="str">
        <f aca="false">IF($J326="","",IF($K326="",$J326,$K326))</f>
        <v/>
      </c>
      <c r="R326" s="28" t="str">
        <f aca="false">IF($E326="","",IF(OR($N326&lt;&gt;"Concluída",$O326="",$J326=""),0,IF($O326&lt;=$J326,1,0)))</f>
        <v/>
      </c>
      <c r="S326" s="28" t="str">
        <f aca="false">IF($E326="","",IF(OR($N326&lt;&gt;"Concluída",$O326="",$Q326=""),0,IF($O326&lt;=$Q326,1,0)))</f>
        <v/>
      </c>
      <c r="T326" s="28" t="str">
        <f aca="false">IF(OR($J326="",$N326&lt;&gt;"Concluída",$O326=""),"",MAX(0,$O326-$J326))</f>
        <v/>
      </c>
      <c r="U326" s="33" t="str">
        <f aca="true">IF($E326="","",IF($N326="Cancelada","Cancelada",IF($N326="Concluída",IF($R326=1,"No prazo","Concluída com atraso"),IF($J326="","Na carteira",IF($J326&lt;TODAY(),"VENCIDA",IF($J326=TODAY(),"Hoje","Programada"))))))</f>
        <v/>
      </c>
    </row>
    <row r="327" customFormat="false" ht="15.75" hidden="false" customHeight="true" outlineLevel="0" collapsed="false">
      <c r="A327" s="28" t="str">
        <f aca="false">IF($E327="","",COUNTA($E$4:$E327))</f>
        <v/>
      </c>
      <c r="B327" s="34"/>
      <c r="C327" s="34"/>
      <c r="D327" s="34"/>
      <c r="E327" s="34"/>
      <c r="F327" s="35"/>
      <c r="G327" s="34"/>
      <c r="H327" s="35"/>
      <c r="I327" s="34"/>
      <c r="J327" s="36"/>
      <c r="K327" s="36"/>
      <c r="L327" s="35"/>
      <c r="M327" s="34"/>
      <c r="N327" s="35"/>
      <c r="O327" s="36"/>
      <c r="P327" s="32" t="str">
        <f aca="false">IF($J327="","",$J327-WEEKDAY($J327,3))</f>
        <v/>
      </c>
      <c r="Q327" s="32" t="str">
        <f aca="false">IF($J327="","",IF($K327="",$J327,$K327))</f>
        <v/>
      </c>
      <c r="R327" s="28" t="str">
        <f aca="false">IF($E327="","",IF(OR($N327&lt;&gt;"Concluída",$O327="",$J327=""),0,IF($O327&lt;=$J327,1,0)))</f>
        <v/>
      </c>
      <c r="S327" s="28" t="str">
        <f aca="false">IF($E327="","",IF(OR($N327&lt;&gt;"Concluída",$O327="",$Q327=""),0,IF($O327&lt;=$Q327,1,0)))</f>
        <v/>
      </c>
      <c r="T327" s="28" t="str">
        <f aca="false">IF(OR($J327="",$N327&lt;&gt;"Concluída",$O327=""),"",MAX(0,$O327-$J327))</f>
        <v/>
      </c>
      <c r="U327" s="33" t="str">
        <f aca="true">IF($E327="","",IF($N327="Cancelada","Cancelada",IF($N327="Concluída",IF($R327=1,"No prazo","Concluída com atraso"),IF($J327="","Na carteira",IF($J327&lt;TODAY(),"VENCIDA",IF($J327=TODAY(),"Hoje","Programada"))))))</f>
        <v/>
      </c>
    </row>
    <row r="328" customFormat="false" ht="15.75" hidden="false" customHeight="true" outlineLevel="0" collapsed="false">
      <c r="A328" s="28" t="str">
        <f aca="false">IF($E328="","",COUNTA($E$4:$E328))</f>
        <v/>
      </c>
      <c r="B328" s="29"/>
      <c r="C328" s="29"/>
      <c r="D328" s="29"/>
      <c r="E328" s="29"/>
      <c r="F328" s="30"/>
      <c r="G328" s="29"/>
      <c r="H328" s="30"/>
      <c r="I328" s="29"/>
      <c r="J328" s="31"/>
      <c r="K328" s="31"/>
      <c r="L328" s="30"/>
      <c r="M328" s="29"/>
      <c r="N328" s="30"/>
      <c r="O328" s="31"/>
      <c r="P328" s="32" t="str">
        <f aca="false">IF($J328="","",$J328-WEEKDAY($J328,3))</f>
        <v/>
      </c>
      <c r="Q328" s="32" t="str">
        <f aca="false">IF($J328="","",IF($K328="",$J328,$K328))</f>
        <v/>
      </c>
      <c r="R328" s="28" t="str">
        <f aca="false">IF($E328="","",IF(OR($N328&lt;&gt;"Concluída",$O328="",$J328=""),0,IF($O328&lt;=$J328,1,0)))</f>
        <v/>
      </c>
      <c r="S328" s="28" t="str">
        <f aca="false">IF($E328="","",IF(OR($N328&lt;&gt;"Concluída",$O328="",$Q328=""),0,IF($O328&lt;=$Q328,1,0)))</f>
        <v/>
      </c>
      <c r="T328" s="28" t="str">
        <f aca="false">IF(OR($J328="",$N328&lt;&gt;"Concluída",$O328=""),"",MAX(0,$O328-$J328))</f>
        <v/>
      </c>
      <c r="U328" s="33" t="str">
        <f aca="true">IF($E328="","",IF($N328="Cancelada","Cancelada",IF($N328="Concluída",IF($R328=1,"No prazo","Concluída com atraso"),IF($J328="","Na carteira",IF($J328&lt;TODAY(),"VENCIDA",IF($J328=TODAY(),"Hoje","Programada"))))))</f>
        <v/>
      </c>
    </row>
    <row r="329" customFormat="false" ht="15.75" hidden="false" customHeight="true" outlineLevel="0" collapsed="false">
      <c r="A329" s="28" t="str">
        <f aca="false">IF($E329="","",COUNTA($E$4:$E329))</f>
        <v/>
      </c>
      <c r="B329" s="34"/>
      <c r="C329" s="34"/>
      <c r="D329" s="34"/>
      <c r="E329" s="34"/>
      <c r="F329" s="35"/>
      <c r="G329" s="34"/>
      <c r="H329" s="35"/>
      <c r="I329" s="34"/>
      <c r="J329" s="36"/>
      <c r="K329" s="36"/>
      <c r="L329" s="35"/>
      <c r="M329" s="34"/>
      <c r="N329" s="35"/>
      <c r="O329" s="36"/>
      <c r="P329" s="32" t="str">
        <f aca="false">IF($J329="","",$J329-WEEKDAY($J329,3))</f>
        <v/>
      </c>
      <c r="Q329" s="32" t="str">
        <f aca="false">IF($J329="","",IF($K329="",$J329,$K329))</f>
        <v/>
      </c>
      <c r="R329" s="28" t="str">
        <f aca="false">IF($E329="","",IF(OR($N329&lt;&gt;"Concluída",$O329="",$J329=""),0,IF($O329&lt;=$J329,1,0)))</f>
        <v/>
      </c>
      <c r="S329" s="28" t="str">
        <f aca="false">IF($E329="","",IF(OR($N329&lt;&gt;"Concluída",$O329="",$Q329=""),0,IF($O329&lt;=$Q329,1,0)))</f>
        <v/>
      </c>
      <c r="T329" s="28" t="str">
        <f aca="false">IF(OR($J329="",$N329&lt;&gt;"Concluída",$O329=""),"",MAX(0,$O329-$J329))</f>
        <v/>
      </c>
      <c r="U329" s="33" t="str">
        <f aca="true">IF($E329="","",IF($N329="Cancelada","Cancelada",IF($N329="Concluída",IF($R329=1,"No prazo","Concluída com atraso"),IF($J329="","Na carteira",IF($J329&lt;TODAY(),"VENCIDA",IF($J329=TODAY(),"Hoje","Programada"))))))</f>
        <v/>
      </c>
    </row>
    <row r="330" customFormat="false" ht="15.75" hidden="false" customHeight="true" outlineLevel="0" collapsed="false">
      <c r="A330" s="28" t="str">
        <f aca="false">IF($E330="","",COUNTA($E$4:$E330))</f>
        <v/>
      </c>
      <c r="B330" s="29"/>
      <c r="C330" s="29"/>
      <c r="D330" s="29"/>
      <c r="E330" s="29"/>
      <c r="F330" s="30"/>
      <c r="G330" s="29"/>
      <c r="H330" s="30"/>
      <c r="I330" s="29"/>
      <c r="J330" s="31"/>
      <c r="K330" s="31"/>
      <c r="L330" s="30"/>
      <c r="M330" s="29"/>
      <c r="N330" s="30"/>
      <c r="O330" s="31"/>
      <c r="P330" s="32" t="str">
        <f aca="false">IF($J330="","",$J330-WEEKDAY($J330,3))</f>
        <v/>
      </c>
      <c r="Q330" s="32" t="str">
        <f aca="false">IF($J330="","",IF($K330="",$J330,$K330))</f>
        <v/>
      </c>
      <c r="R330" s="28" t="str">
        <f aca="false">IF($E330="","",IF(OR($N330&lt;&gt;"Concluída",$O330="",$J330=""),0,IF($O330&lt;=$J330,1,0)))</f>
        <v/>
      </c>
      <c r="S330" s="28" t="str">
        <f aca="false">IF($E330="","",IF(OR($N330&lt;&gt;"Concluída",$O330="",$Q330=""),0,IF($O330&lt;=$Q330,1,0)))</f>
        <v/>
      </c>
      <c r="T330" s="28" t="str">
        <f aca="false">IF(OR($J330="",$N330&lt;&gt;"Concluída",$O330=""),"",MAX(0,$O330-$J330))</f>
        <v/>
      </c>
      <c r="U330" s="33" t="str">
        <f aca="true">IF($E330="","",IF($N330="Cancelada","Cancelada",IF($N330="Concluída",IF($R330=1,"No prazo","Concluída com atraso"),IF($J330="","Na carteira",IF($J330&lt;TODAY(),"VENCIDA",IF($J330=TODAY(),"Hoje","Programada"))))))</f>
        <v/>
      </c>
    </row>
    <row r="331" customFormat="false" ht="15.75" hidden="false" customHeight="true" outlineLevel="0" collapsed="false">
      <c r="A331" s="28" t="str">
        <f aca="false">IF($E331="","",COUNTA($E$4:$E331))</f>
        <v/>
      </c>
      <c r="B331" s="34"/>
      <c r="C331" s="34"/>
      <c r="D331" s="34"/>
      <c r="E331" s="34"/>
      <c r="F331" s="35"/>
      <c r="G331" s="34"/>
      <c r="H331" s="35"/>
      <c r="I331" s="34"/>
      <c r="J331" s="36"/>
      <c r="K331" s="36"/>
      <c r="L331" s="35"/>
      <c r="M331" s="34"/>
      <c r="N331" s="35"/>
      <c r="O331" s="36"/>
      <c r="P331" s="32" t="str">
        <f aca="false">IF($J331="","",$J331-WEEKDAY($J331,3))</f>
        <v/>
      </c>
      <c r="Q331" s="32" t="str">
        <f aca="false">IF($J331="","",IF($K331="",$J331,$K331))</f>
        <v/>
      </c>
      <c r="R331" s="28" t="str">
        <f aca="false">IF($E331="","",IF(OR($N331&lt;&gt;"Concluída",$O331="",$J331=""),0,IF($O331&lt;=$J331,1,0)))</f>
        <v/>
      </c>
      <c r="S331" s="28" t="str">
        <f aca="false">IF($E331="","",IF(OR($N331&lt;&gt;"Concluída",$O331="",$Q331=""),0,IF($O331&lt;=$Q331,1,0)))</f>
        <v/>
      </c>
      <c r="T331" s="28" t="str">
        <f aca="false">IF(OR($J331="",$N331&lt;&gt;"Concluída",$O331=""),"",MAX(0,$O331-$J331))</f>
        <v/>
      </c>
      <c r="U331" s="33" t="str">
        <f aca="true">IF($E331="","",IF($N331="Cancelada","Cancelada",IF($N331="Concluída",IF($R331=1,"No prazo","Concluída com atraso"),IF($J331="","Na carteira",IF($J331&lt;TODAY(),"VENCIDA",IF($J331=TODAY(),"Hoje","Programada"))))))</f>
        <v/>
      </c>
    </row>
    <row r="332" customFormat="false" ht="15.75" hidden="false" customHeight="true" outlineLevel="0" collapsed="false">
      <c r="A332" s="28" t="str">
        <f aca="false">IF($E332="","",COUNTA($E$4:$E332))</f>
        <v/>
      </c>
      <c r="B332" s="29"/>
      <c r="C332" s="29"/>
      <c r="D332" s="29"/>
      <c r="E332" s="29"/>
      <c r="F332" s="30"/>
      <c r="G332" s="29"/>
      <c r="H332" s="30"/>
      <c r="I332" s="29"/>
      <c r="J332" s="31"/>
      <c r="K332" s="31"/>
      <c r="L332" s="30"/>
      <c r="M332" s="29"/>
      <c r="N332" s="30"/>
      <c r="O332" s="31"/>
      <c r="P332" s="32" t="str">
        <f aca="false">IF($J332="","",$J332-WEEKDAY($J332,3))</f>
        <v/>
      </c>
      <c r="Q332" s="32" t="str">
        <f aca="false">IF($J332="","",IF($K332="",$J332,$K332))</f>
        <v/>
      </c>
      <c r="R332" s="28" t="str">
        <f aca="false">IF($E332="","",IF(OR($N332&lt;&gt;"Concluída",$O332="",$J332=""),0,IF($O332&lt;=$J332,1,0)))</f>
        <v/>
      </c>
      <c r="S332" s="28" t="str">
        <f aca="false">IF($E332="","",IF(OR($N332&lt;&gt;"Concluída",$O332="",$Q332=""),0,IF($O332&lt;=$Q332,1,0)))</f>
        <v/>
      </c>
      <c r="T332" s="28" t="str">
        <f aca="false">IF(OR($J332="",$N332&lt;&gt;"Concluída",$O332=""),"",MAX(0,$O332-$J332))</f>
        <v/>
      </c>
      <c r="U332" s="33" t="str">
        <f aca="true">IF($E332="","",IF($N332="Cancelada","Cancelada",IF($N332="Concluída",IF($R332=1,"No prazo","Concluída com atraso"),IF($J332="","Na carteira",IF($J332&lt;TODAY(),"VENCIDA",IF($J332=TODAY(),"Hoje","Programada"))))))</f>
        <v/>
      </c>
    </row>
    <row r="333" customFormat="false" ht="15.75" hidden="false" customHeight="true" outlineLevel="0" collapsed="false">
      <c r="A333" s="28" t="str">
        <f aca="false">IF($E333="","",COUNTA($E$4:$E333))</f>
        <v/>
      </c>
      <c r="B333" s="34"/>
      <c r="C333" s="34"/>
      <c r="D333" s="34"/>
      <c r="E333" s="34"/>
      <c r="F333" s="35"/>
      <c r="G333" s="34"/>
      <c r="H333" s="35"/>
      <c r="I333" s="34"/>
      <c r="J333" s="36"/>
      <c r="K333" s="36"/>
      <c r="L333" s="35"/>
      <c r="M333" s="34"/>
      <c r="N333" s="35"/>
      <c r="O333" s="36"/>
      <c r="P333" s="32" t="str">
        <f aca="false">IF($J333="","",$J333-WEEKDAY($J333,3))</f>
        <v/>
      </c>
      <c r="Q333" s="32" t="str">
        <f aca="false">IF($J333="","",IF($K333="",$J333,$K333))</f>
        <v/>
      </c>
      <c r="R333" s="28" t="str">
        <f aca="false">IF($E333="","",IF(OR($N333&lt;&gt;"Concluída",$O333="",$J333=""),0,IF($O333&lt;=$J333,1,0)))</f>
        <v/>
      </c>
      <c r="S333" s="28" t="str">
        <f aca="false">IF($E333="","",IF(OR($N333&lt;&gt;"Concluída",$O333="",$Q333=""),0,IF($O333&lt;=$Q333,1,0)))</f>
        <v/>
      </c>
      <c r="T333" s="28" t="str">
        <f aca="false">IF(OR($J333="",$N333&lt;&gt;"Concluída",$O333=""),"",MAX(0,$O333-$J333))</f>
        <v/>
      </c>
      <c r="U333" s="33" t="str">
        <f aca="true">IF($E333="","",IF($N333="Cancelada","Cancelada",IF($N333="Concluída",IF($R333=1,"No prazo","Concluída com atraso"),IF($J333="","Na carteira",IF($J333&lt;TODAY(),"VENCIDA",IF($J333=TODAY(),"Hoje","Programada"))))))</f>
        <v/>
      </c>
    </row>
    <row r="334" customFormat="false" ht="15.75" hidden="false" customHeight="true" outlineLevel="0" collapsed="false">
      <c r="A334" s="28" t="str">
        <f aca="false">IF($E334="","",COUNTA($E$4:$E334))</f>
        <v/>
      </c>
      <c r="B334" s="29"/>
      <c r="C334" s="29"/>
      <c r="D334" s="29"/>
      <c r="E334" s="29"/>
      <c r="F334" s="30"/>
      <c r="G334" s="29"/>
      <c r="H334" s="30"/>
      <c r="I334" s="29"/>
      <c r="J334" s="31"/>
      <c r="K334" s="31"/>
      <c r="L334" s="30"/>
      <c r="M334" s="29"/>
      <c r="N334" s="30"/>
      <c r="O334" s="31"/>
      <c r="P334" s="32" t="str">
        <f aca="false">IF($J334="","",$J334-WEEKDAY($J334,3))</f>
        <v/>
      </c>
      <c r="Q334" s="32" t="str">
        <f aca="false">IF($J334="","",IF($K334="",$J334,$K334))</f>
        <v/>
      </c>
      <c r="R334" s="28" t="str">
        <f aca="false">IF($E334="","",IF(OR($N334&lt;&gt;"Concluída",$O334="",$J334=""),0,IF($O334&lt;=$J334,1,0)))</f>
        <v/>
      </c>
      <c r="S334" s="28" t="str">
        <f aca="false">IF($E334="","",IF(OR($N334&lt;&gt;"Concluída",$O334="",$Q334=""),0,IF($O334&lt;=$Q334,1,0)))</f>
        <v/>
      </c>
      <c r="T334" s="28" t="str">
        <f aca="false">IF(OR($J334="",$N334&lt;&gt;"Concluída",$O334=""),"",MAX(0,$O334-$J334))</f>
        <v/>
      </c>
      <c r="U334" s="33" t="str">
        <f aca="true">IF($E334="","",IF($N334="Cancelada","Cancelada",IF($N334="Concluída",IF($R334=1,"No prazo","Concluída com atraso"),IF($J334="","Na carteira",IF($J334&lt;TODAY(),"VENCIDA",IF($J334=TODAY(),"Hoje","Programada"))))))</f>
        <v/>
      </c>
    </row>
    <row r="335" customFormat="false" ht="15.75" hidden="false" customHeight="true" outlineLevel="0" collapsed="false">
      <c r="A335" s="28" t="str">
        <f aca="false">IF($E335="","",COUNTA($E$4:$E335))</f>
        <v/>
      </c>
      <c r="B335" s="34"/>
      <c r="C335" s="34"/>
      <c r="D335" s="34"/>
      <c r="E335" s="34"/>
      <c r="F335" s="35"/>
      <c r="G335" s="34"/>
      <c r="H335" s="35"/>
      <c r="I335" s="34"/>
      <c r="J335" s="36"/>
      <c r="K335" s="36"/>
      <c r="L335" s="35"/>
      <c r="M335" s="34"/>
      <c r="N335" s="35"/>
      <c r="O335" s="36"/>
      <c r="P335" s="32" t="str">
        <f aca="false">IF($J335="","",$J335-WEEKDAY($J335,3))</f>
        <v/>
      </c>
      <c r="Q335" s="32" t="str">
        <f aca="false">IF($J335="","",IF($K335="",$J335,$K335))</f>
        <v/>
      </c>
      <c r="R335" s="28" t="str">
        <f aca="false">IF($E335="","",IF(OR($N335&lt;&gt;"Concluída",$O335="",$J335=""),0,IF($O335&lt;=$J335,1,0)))</f>
        <v/>
      </c>
      <c r="S335" s="28" t="str">
        <f aca="false">IF($E335="","",IF(OR($N335&lt;&gt;"Concluída",$O335="",$Q335=""),0,IF($O335&lt;=$Q335,1,0)))</f>
        <v/>
      </c>
      <c r="T335" s="28" t="str">
        <f aca="false">IF(OR($J335="",$N335&lt;&gt;"Concluída",$O335=""),"",MAX(0,$O335-$J335))</f>
        <v/>
      </c>
      <c r="U335" s="33" t="str">
        <f aca="true">IF($E335="","",IF($N335="Cancelada","Cancelada",IF($N335="Concluída",IF($R335=1,"No prazo","Concluída com atraso"),IF($J335="","Na carteira",IF($J335&lt;TODAY(),"VENCIDA",IF($J335=TODAY(),"Hoje","Programada"))))))</f>
        <v/>
      </c>
    </row>
    <row r="336" customFormat="false" ht="15.75" hidden="false" customHeight="true" outlineLevel="0" collapsed="false">
      <c r="A336" s="28" t="str">
        <f aca="false">IF($E336="","",COUNTA($E$4:$E336))</f>
        <v/>
      </c>
      <c r="B336" s="29"/>
      <c r="C336" s="29"/>
      <c r="D336" s="29"/>
      <c r="E336" s="29"/>
      <c r="F336" s="30"/>
      <c r="G336" s="29"/>
      <c r="H336" s="30"/>
      <c r="I336" s="29"/>
      <c r="J336" s="31"/>
      <c r="K336" s="31"/>
      <c r="L336" s="30"/>
      <c r="M336" s="29"/>
      <c r="N336" s="30"/>
      <c r="O336" s="31"/>
      <c r="P336" s="32" t="str">
        <f aca="false">IF($J336="","",$J336-WEEKDAY($J336,3))</f>
        <v/>
      </c>
      <c r="Q336" s="32" t="str">
        <f aca="false">IF($J336="","",IF($K336="",$J336,$K336))</f>
        <v/>
      </c>
      <c r="R336" s="28" t="str">
        <f aca="false">IF($E336="","",IF(OR($N336&lt;&gt;"Concluída",$O336="",$J336=""),0,IF($O336&lt;=$J336,1,0)))</f>
        <v/>
      </c>
      <c r="S336" s="28" t="str">
        <f aca="false">IF($E336="","",IF(OR($N336&lt;&gt;"Concluída",$O336="",$Q336=""),0,IF($O336&lt;=$Q336,1,0)))</f>
        <v/>
      </c>
      <c r="T336" s="28" t="str">
        <f aca="false">IF(OR($J336="",$N336&lt;&gt;"Concluída",$O336=""),"",MAX(0,$O336-$J336))</f>
        <v/>
      </c>
      <c r="U336" s="33" t="str">
        <f aca="true">IF($E336="","",IF($N336="Cancelada","Cancelada",IF($N336="Concluída",IF($R336=1,"No prazo","Concluída com atraso"),IF($J336="","Na carteira",IF($J336&lt;TODAY(),"VENCIDA",IF($J336=TODAY(),"Hoje","Programada"))))))</f>
        <v/>
      </c>
    </row>
    <row r="337" customFormat="false" ht="15.75" hidden="false" customHeight="true" outlineLevel="0" collapsed="false">
      <c r="A337" s="28" t="str">
        <f aca="false">IF($E337="","",COUNTA($E$4:$E337))</f>
        <v/>
      </c>
      <c r="B337" s="34"/>
      <c r="C337" s="34"/>
      <c r="D337" s="34"/>
      <c r="E337" s="34"/>
      <c r="F337" s="35"/>
      <c r="G337" s="34"/>
      <c r="H337" s="35"/>
      <c r="I337" s="34"/>
      <c r="J337" s="36"/>
      <c r="K337" s="36"/>
      <c r="L337" s="35"/>
      <c r="M337" s="34"/>
      <c r="N337" s="35"/>
      <c r="O337" s="36"/>
      <c r="P337" s="32" t="str">
        <f aca="false">IF($J337="","",$J337-WEEKDAY($J337,3))</f>
        <v/>
      </c>
      <c r="Q337" s="32" t="str">
        <f aca="false">IF($J337="","",IF($K337="",$J337,$K337))</f>
        <v/>
      </c>
      <c r="R337" s="28" t="str">
        <f aca="false">IF($E337="","",IF(OR($N337&lt;&gt;"Concluída",$O337="",$J337=""),0,IF($O337&lt;=$J337,1,0)))</f>
        <v/>
      </c>
      <c r="S337" s="28" t="str">
        <f aca="false">IF($E337="","",IF(OR($N337&lt;&gt;"Concluída",$O337="",$Q337=""),0,IF($O337&lt;=$Q337,1,0)))</f>
        <v/>
      </c>
      <c r="T337" s="28" t="str">
        <f aca="false">IF(OR($J337="",$N337&lt;&gt;"Concluída",$O337=""),"",MAX(0,$O337-$J337))</f>
        <v/>
      </c>
      <c r="U337" s="33" t="str">
        <f aca="true">IF($E337="","",IF($N337="Cancelada","Cancelada",IF($N337="Concluída",IF($R337=1,"No prazo","Concluída com atraso"),IF($J337="","Na carteira",IF($J337&lt;TODAY(),"VENCIDA",IF($J337=TODAY(),"Hoje","Programada"))))))</f>
        <v/>
      </c>
    </row>
    <row r="338" customFormat="false" ht="15.75" hidden="false" customHeight="true" outlineLevel="0" collapsed="false">
      <c r="A338" s="28" t="str">
        <f aca="false">IF($E338="","",COUNTA($E$4:$E338))</f>
        <v/>
      </c>
      <c r="B338" s="29"/>
      <c r="C338" s="29"/>
      <c r="D338" s="29"/>
      <c r="E338" s="29"/>
      <c r="F338" s="30"/>
      <c r="G338" s="29"/>
      <c r="H338" s="30"/>
      <c r="I338" s="29"/>
      <c r="J338" s="31"/>
      <c r="K338" s="31"/>
      <c r="L338" s="30"/>
      <c r="M338" s="29"/>
      <c r="N338" s="30"/>
      <c r="O338" s="31"/>
      <c r="P338" s="32" t="str">
        <f aca="false">IF($J338="","",$J338-WEEKDAY($J338,3))</f>
        <v/>
      </c>
      <c r="Q338" s="32" t="str">
        <f aca="false">IF($J338="","",IF($K338="",$J338,$K338))</f>
        <v/>
      </c>
      <c r="R338" s="28" t="str">
        <f aca="false">IF($E338="","",IF(OR($N338&lt;&gt;"Concluída",$O338="",$J338=""),0,IF($O338&lt;=$J338,1,0)))</f>
        <v/>
      </c>
      <c r="S338" s="28" t="str">
        <f aca="false">IF($E338="","",IF(OR($N338&lt;&gt;"Concluída",$O338="",$Q338=""),0,IF($O338&lt;=$Q338,1,0)))</f>
        <v/>
      </c>
      <c r="T338" s="28" t="str">
        <f aca="false">IF(OR($J338="",$N338&lt;&gt;"Concluída",$O338=""),"",MAX(0,$O338-$J338))</f>
        <v/>
      </c>
      <c r="U338" s="33" t="str">
        <f aca="true">IF($E338="","",IF($N338="Cancelada","Cancelada",IF($N338="Concluída",IF($R338=1,"No prazo","Concluída com atraso"),IF($J338="","Na carteira",IF($J338&lt;TODAY(),"VENCIDA",IF($J338=TODAY(),"Hoje","Programada"))))))</f>
        <v/>
      </c>
    </row>
    <row r="339" customFormat="false" ht="15.75" hidden="false" customHeight="true" outlineLevel="0" collapsed="false">
      <c r="A339" s="28" t="str">
        <f aca="false">IF($E339="","",COUNTA($E$4:$E339))</f>
        <v/>
      </c>
      <c r="B339" s="34"/>
      <c r="C339" s="34"/>
      <c r="D339" s="34"/>
      <c r="E339" s="34"/>
      <c r="F339" s="35"/>
      <c r="G339" s="34"/>
      <c r="H339" s="35"/>
      <c r="I339" s="34"/>
      <c r="J339" s="36"/>
      <c r="K339" s="36"/>
      <c r="L339" s="35"/>
      <c r="M339" s="34"/>
      <c r="N339" s="35"/>
      <c r="O339" s="36"/>
      <c r="P339" s="32" t="str">
        <f aca="false">IF($J339="","",$J339-WEEKDAY($J339,3))</f>
        <v/>
      </c>
      <c r="Q339" s="32" t="str">
        <f aca="false">IF($J339="","",IF($K339="",$J339,$K339))</f>
        <v/>
      </c>
      <c r="R339" s="28" t="str">
        <f aca="false">IF($E339="","",IF(OR($N339&lt;&gt;"Concluída",$O339="",$J339=""),0,IF($O339&lt;=$J339,1,0)))</f>
        <v/>
      </c>
      <c r="S339" s="28" t="str">
        <f aca="false">IF($E339="","",IF(OR($N339&lt;&gt;"Concluída",$O339="",$Q339=""),0,IF($O339&lt;=$Q339,1,0)))</f>
        <v/>
      </c>
      <c r="T339" s="28" t="str">
        <f aca="false">IF(OR($J339="",$N339&lt;&gt;"Concluída",$O339=""),"",MAX(0,$O339-$J339))</f>
        <v/>
      </c>
      <c r="U339" s="33" t="str">
        <f aca="true">IF($E339="","",IF($N339="Cancelada","Cancelada",IF($N339="Concluída",IF($R339=1,"No prazo","Concluída com atraso"),IF($J339="","Na carteira",IF($J339&lt;TODAY(),"VENCIDA",IF($J339=TODAY(),"Hoje","Programada"))))))</f>
        <v/>
      </c>
    </row>
    <row r="340" customFormat="false" ht="15.75" hidden="false" customHeight="true" outlineLevel="0" collapsed="false">
      <c r="A340" s="28" t="str">
        <f aca="false">IF($E340="","",COUNTA($E$4:$E340))</f>
        <v/>
      </c>
      <c r="B340" s="29"/>
      <c r="C340" s="29"/>
      <c r="D340" s="29"/>
      <c r="E340" s="29"/>
      <c r="F340" s="30"/>
      <c r="G340" s="29"/>
      <c r="H340" s="30"/>
      <c r="I340" s="29"/>
      <c r="J340" s="31"/>
      <c r="K340" s="31"/>
      <c r="L340" s="30"/>
      <c r="M340" s="29"/>
      <c r="N340" s="30"/>
      <c r="O340" s="31"/>
      <c r="P340" s="32" t="str">
        <f aca="false">IF($J340="","",$J340-WEEKDAY($J340,3))</f>
        <v/>
      </c>
      <c r="Q340" s="32" t="str">
        <f aca="false">IF($J340="","",IF($K340="",$J340,$K340))</f>
        <v/>
      </c>
      <c r="R340" s="28" t="str">
        <f aca="false">IF($E340="","",IF(OR($N340&lt;&gt;"Concluída",$O340="",$J340=""),0,IF($O340&lt;=$J340,1,0)))</f>
        <v/>
      </c>
      <c r="S340" s="28" t="str">
        <f aca="false">IF($E340="","",IF(OR($N340&lt;&gt;"Concluída",$O340="",$Q340=""),0,IF($O340&lt;=$Q340,1,0)))</f>
        <v/>
      </c>
      <c r="T340" s="28" t="str">
        <f aca="false">IF(OR($J340="",$N340&lt;&gt;"Concluída",$O340=""),"",MAX(0,$O340-$J340))</f>
        <v/>
      </c>
      <c r="U340" s="33" t="str">
        <f aca="true">IF($E340="","",IF($N340="Cancelada","Cancelada",IF($N340="Concluída",IF($R340=1,"No prazo","Concluída com atraso"),IF($J340="","Na carteira",IF($J340&lt;TODAY(),"VENCIDA",IF($J340=TODAY(),"Hoje","Programada"))))))</f>
        <v/>
      </c>
    </row>
    <row r="341" customFormat="false" ht="15.75" hidden="false" customHeight="true" outlineLevel="0" collapsed="false">
      <c r="A341" s="28" t="str">
        <f aca="false">IF($E341="","",COUNTA($E$4:$E341))</f>
        <v/>
      </c>
      <c r="B341" s="34"/>
      <c r="C341" s="34"/>
      <c r="D341" s="34"/>
      <c r="E341" s="34"/>
      <c r="F341" s="35"/>
      <c r="G341" s="34"/>
      <c r="H341" s="35"/>
      <c r="I341" s="34"/>
      <c r="J341" s="36"/>
      <c r="K341" s="36"/>
      <c r="L341" s="35"/>
      <c r="M341" s="34"/>
      <c r="N341" s="35"/>
      <c r="O341" s="36"/>
      <c r="P341" s="32" t="str">
        <f aca="false">IF($J341="","",$J341-WEEKDAY($J341,3))</f>
        <v/>
      </c>
      <c r="Q341" s="32" t="str">
        <f aca="false">IF($J341="","",IF($K341="",$J341,$K341))</f>
        <v/>
      </c>
      <c r="R341" s="28" t="str">
        <f aca="false">IF($E341="","",IF(OR($N341&lt;&gt;"Concluída",$O341="",$J341=""),0,IF($O341&lt;=$J341,1,0)))</f>
        <v/>
      </c>
      <c r="S341" s="28" t="str">
        <f aca="false">IF($E341="","",IF(OR($N341&lt;&gt;"Concluída",$O341="",$Q341=""),0,IF($O341&lt;=$Q341,1,0)))</f>
        <v/>
      </c>
      <c r="T341" s="28" t="str">
        <f aca="false">IF(OR($J341="",$N341&lt;&gt;"Concluída",$O341=""),"",MAX(0,$O341-$J341))</f>
        <v/>
      </c>
      <c r="U341" s="33" t="str">
        <f aca="true">IF($E341="","",IF($N341="Cancelada","Cancelada",IF($N341="Concluída",IF($R341=1,"No prazo","Concluída com atraso"),IF($J341="","Na carteira",IF($J341&lt;TODAY(),"VENCIDA",IF($J341=TODAY(),"Hoje","Programada"))))))</f>
        <v/>
      </c>
    </row>
    <row r="342" customFormat="false" ht="15.75" hidden="false" customHeight="true" outlineLevel="0" collapsed="false">
      <c r="A342" s="28" t="str">
        <f aca="false">IF($E342="","",COUNTA($E$4:$E342))</f>
        <v/>
      </c>
      <c r="B342" s="29"/>
      <c r="C342" s="29"/>
      <c r="D342" s="29"/>
      <c r="E342" s="29"/>
      <c r="F342" s="30"/>
      <c r="G342" s="29"/>
      <c r="H342" s="30"/>
      <c r="I342" s="29"/>
      <c r="J342" s="31"/>
      <c r="K342" s="31"/>
      <c r="L342" s="30"/>
      <c r="M342" s="29"/>
      <c r="N342" s="30"/>
      <c r="O342" s="31"/>
      <c r="P342" s="32" t="str">
        <f aca="false">IF($J342="","",$J342-WEEKDAY($J342,3))</f>
        <v/>
      </c>
      <c r="Q342" s="32" t="str">
        <f aca="false">IF($J342="","",IF($K342="",$J342,$K342))</f>
        <v/>
      </c>
      <c r="R342" s="28" t="str">
        <f aca="false">IF($E342="","",IF(OR($N342&lt;&gt;"Concluída",$O342="",$J342=""),0,IF($O342&lt;=$J342,1,0)))</f>
        <v/>
      </c>
      <c r="S342" s="28" t="str">
        <f aca="false">IF($E342="","",IF(OR($N342&lt;&gt;"Concluída",$O342="",$Q342=""),0,IF($O342&lt;=$Q342,1,0)))</f>
        <v/>
      </c>
      <c r="T342" s="28" t="str">
        <f aca="false">IF(OR($J342="",$N342&lt;&gt;"Concluída",$O342=""),"",MAX(0,$O342-$J342))</f>
        <v/>
      </c>
      <c r="U342" s="33" t="str">
        <f aca="true">IF($E342="","",IF($N342="Cancelada","Cancelada",IF($N342="Concluída",IF($R342=1,"No prazo","Concluída com atraso"),IF($J342="","Na carteira",IF($J342&lt;TODAY(),"VENCIDA",IF($J342=TODAY(),"Hoje","Programada"))))))</f>
        <v/>
      </c>
    </row>
    <row r="343" customFormat="false" ht="15.75" hidden="false" customHeight="true" outlineLevel="0" collapsed="false">
      <c r="A343" s="28" t="str">
        <f aca="false">IF($E343="","",COUNTA($E$4:$E343))</f>
        <v/>
      </c>
      <c r="B343" s="34"/>
      <c r="C343" s="34"/>
      <c r="D343" s="34"/>
      <c r="E343" s="34"/>
      <c r="F343" s="35"/>
      <c r="G343" s="34"/>
      <c r="H343" s="35"/>
      <c r="I343" s="34"/>
      <c r="J343" s="36"/>
      <c r="K343" s="36"/>
      <c r="L343" s="35"/>
      <c r="M343" s="34"/>
      <c r="N343" s="35"/>
      <c r="O343" s="36"/>
      <c r="P343" s="32" t="str">
        <f aca="false">IF($J343="","",$J343-WEEKDAY($J343,3))</f>
        <v/>
      </c>
      <c r="Q343" s="32" t="str">
        <f aca="false">IF($J343="","",IF($K343="",$J343,$K343))</f>
        <v/>
      </c>
      <c r="R343" s="28" t="str">
        <f aca="false">IF($E343="","",IF(OR($N343&lt;&gt;"Concluída",$O343="",$J343=""),0,IF($O343&lt;=$J343,1,0)))</f>
        <v/>
      </c>
      <c r="S343" s="28" t="str">
        <f aca="false">IF($E343="","",IF(OR($N343&lt;&gt;"Concluída",$O343="",$Q343=""),0,IF($O343&lt;=$Q343,1,0)))</f>
        <v/>
      </c>
      <c r="T343" s="28" t="str">
        <f aca="false">IF(OR($J343="",$N343&lt;&gt;"Concluída",$O343=""),"",MAX(0,$O343-$J343))</f>
        <v/>
      </c>
      <c r="U343" s="33" t="str">
        <f aca="true">IF($E343="","",IF($N343="Cancelada","Cancelada",IF($N343="Concluída",IF($R343=1,"No prazo","Concluída com atraso"),IF($J343="","Na carteira",IF($J343&lt;TODAY(),"VENCIDA",IF($J343=TODAY(),"Hoje","Programada"))))))</f>
        <v/>
      </c>
    </row>
    <row r="344" customFormat="false" ht="15.75" hidden="false" customHeight="true" outlineLevel="0" collapsed="false">
      <c r="A344" s="28" t="str">
        <f aca="false">IF($E344="","",COUNTA($E$4:$E344))</f>
        <v/>
      </c>
      <c r="B344" s="29"/>
      <c r="C344" s="29"/>
      <c r="D344" s="29"/>
      <c r="E344" s="29"/>
      <c r="F344" s="30"/>
      <c r="G344" s="29"/>
      <c r="H344" s="30"/>
      <c r="I344" s="29"/>
      <c r="J344" s="31"/>
      <c r="K344" s="31"/>
      <c r="L344" s="30"/>
      <c r="M344" s="29"/>
      <c r="N344" s="30"/>
      <c r="O344" s="31"/>
      <c r="P344" s="32" t="str">
        <f aca="false">IF($J344="","",$J344-WEEKDAY($J344,3))</f>
        <v/>
      </c>
      <c r="Q344" s="32" t="str">
        <f aca="false">IF($J344="","",IF($K344="",$J344,$K344))</f>
        <v/>
      </c>
      <c r="R344" s="28" t="str">
        <f aca="false">IF($E344="","",IF(OR($N344&lt;&gt;"Concluída",$O344="",$J344=""),0,IF($O344&lt;=$J344,1,0)))</f>
        <v/>
      </c>
      <c r="S344" s="28" t="str">
        <f aca="false">IF($E344="","",IF(OR($N344&lt;&gt;"Concluída",$O344="",$Q344=""),0,IF($O344&lt;=$Q344,1,0)))</f>
        <v/>
      </c>
      <c r="T344" s="28" t="str">
        <f aca="false">IF(OR($J344="",$N344&lt;&gt;"Concluída",$O344=""),"",MAX(0,$O344-$J344))</f>
        <v/>
      </c>
      <c r="U344" s="33" t="str">
        <f aca="true">IF($E344="","",IF($N344="Cancelada","Cancelada",IF($N344="Concluída",IF($R344=1,"No prazo","Concluída com atraso"),IF($J344="","Na carteira",IF($J344&lt;TODAY(),"VENCIDA",IF($J344=TODAY(),"Hoje","Programada"))))))</f>
        <v/>
      </c>
    </row>
    <row r="345" customFormat="false" ht="15.75" hidden="false" customHeight="true" outlineLevel="0" collapsed="false">
      <c r="A345" s="28" t="str">
        <f aca="false">IF($E345="","",COUNTA($E$4:$E345))</f>
        <v/>
      </c>
      <c r="B345" s="34"/>
      <c r="C345" s="34"/>
      <c r="D345" s="34"/>
      <c r="E345" s="34"/>
      <c r="F345" s="35"/>
      <c r="G345" s="34"/>
      <c r="H345" s="35"/>
      <c r="I345" s="34"/>
      <c r="J345" s="36"/>
      <c r="K345" s="36"/>
      <c r="L345" s="35"/>
      <c r="M345" s="34"/>
      <c r="N345" s="35"/>
      <c r="O345" s="36"/>
      <c r="P345" s="32" t="str">
        <f aca="false">IF($J345="","",$J345-WEEKDAY($J345,3))</f>
        <v/>
      </c>
      <c r="Q345" s="32" t="str">
        <f aca="false">IF($J345="","",IF($K345="",$J345,$K345))</f>
        <v/>
      </c>
      <c r="R345" s="28" t="str">
        <f aca="false">IF($E345="","",IF(OR($N345&lt;&gt;"Concluída",$O345="",$J345=""),0,IF($O345&lt;=$J345,1,0)))</f>
        <v/>
      </c>
      <c r="S345" s="28" t="str">
        <f aca="false">IF($E345="","",IF(OR($N345&lt;&gt;"Concluída",$O345="",$Q345=""),0,IF($O345&lt;=$Q345,1,0)))</f>
        <v/>
      </c>
      <c r="T345" s="28" t="str">
        <f aca="false">IF(OR($J345="",$N345&lt;&gt;"Concluída",$O345=""),"",MAX(0,$O345-$J345))</f>
        <v/>
      </c>
      <c r="U345" s="33" t="str">
        <f aca="true">IF($E345="","",IF($N345="Cancelada","Cancelada",IF($N345="Concluída",IF($R345=1,"No prazo","Concluída com atraso"),IF($J345="","Na carteira",IF($J345&lt;TODAY(),"VENCIDA",IF($J345=TODAY(),"Hoje","Programada"))))))</f>
        <v/>
      </c>
    </row>
    <row r="346" customFormat="false" ht="15.75" hidden="false" customHeight="true" outlineLevel="0" collapsed="false">
      <c r="A346" s="28" t="str">
        <f aca="false">IF($E346="","",COUNTA($E$4:$E346))</f>
        <v/>
      </c>
      <c r="B346" s="29"/>
      <c r="C346" s="29"/>
      <c r="D346" s="29"/>
      <c r="E346" s="29"/>
      <c r="F346" s="30"/>
      <c r="G346" s="29"/>
      <c r="H346" s="30"/>
      <c r="I346" s="29"/>
      <c r="J346" s="31"/>
      <c r="K346" s="31"/>
      <c r="L346" s="30"/>
      <c r="M346" s="29"/>
      <c r="N346" s="30"/>
      <c r="O346" s="31"/>
      <c r="P346" s="32" t="str">
        <f aca="false">IF($J346="","",$J346-WEEKDAY($J346,3))</f>
        <v/>
      </c>
      <c r="Q346" s="32" t="str">
        <f aca="false">IF($J346="","",IF($K346="",$J346,$K346))</f>
        <v/>
      </c>
      <c r="R346" s="28" t="str">
        <f aca="false">IF($E346="","",IF(OR($N346&lt;&gt;"Concluída",$O346="",$J346=""),0,IF($O346&lt;=$J346,1,0)))</f>
        <v/>
      </c>
      <c r="S346" s="28" t="str">
        <f aca="false">IF($E346="","",IF(OR($N346&lt;&gt;"Concluída",$O346="",$Q346=""),0,IF($O346&lt;=$Q346,1,0)))</f>
        <v/>
      </c>
      <c r="T346" s="28" t="str">
        <f aca="false">IF(OR($J346="",$N346&lt;&gt;"Concluída",$O346=""),"",MAX(0,$O346-$J346))</f>
        <v/>
      </c>
      <c r="U346" s="33" t="str">
        <f aca="true">IF($E346="","",IF($N346="Cancelada","Cancelada",IF($N346="Concluída",IF($R346=1,"No prazo","Concluída com atraso"),IF($J346="","Na carteira",IF($J346&lt;TODAY(),"VENCIDA",IF($J346=TODAY(),"Hoje","Programada"))))))</f>
        <v/>
      </c>
    </row>
    <row r="347" customFormat="false" ht="15.75" hidden="false" customHeight="true" outlineLevel="0" collapsed="false">
      <c r="A347" s="28" t="str">
        <f aca="false">IF($E347="","",COUNTA($E$4:$E347))</f>
        <v/>
      </c>
      <c r="B347" s="34"/>
      <c r="C347" s="34"/>
      <c r="D347" s="34"/>
      <c r="E347" s="34"/>
      <c r="F347" s="35"/>
      <c r="G347" s="34"/>
      <c r="H347" s="35"/>
      <c r="I347" s="34"/>
      <c r="J347" s="36"/>
      <c r="K347" s="36"/>
      <c r="L347" s="35"/>
      <c r="M347" s="34"/>
      <c r="N347" s="35"/>
      <c r="O347" s="36"/>
      <c r="P347" s="32" t="str">
        <f aca="false">IF($J347="","",$J347-WEEKDAY($J347,3))</f>
        <v/>
      </c>
      <c r="Q347" s="32" t="str">
        <f aca="false">IF($J347="","",IF($K347="",$J347,$K347))</f>
        <v/>
      </c>
      <c r="R347" s="28" t="str">
        <f aca="false">IF($E347="","",IF(OR($N347&lt;&gt;"Concluída",$O347="",$J347=""),0,IF($O347&lt;=$J347,1,0)))</f>
        <v/>
      </c>
      <c r="S347" s="28" t="str">
        <f aca="false">IF($E347="","",IF(OR($N347&lt;&gt;"Concluída",$O347="",$Q347=""),0,IF($O347&lt;=$Q347,1,0)))</f>
        <v/>
      </c>
      <c r="T347" s="28" t="str">
        <f aca="false">IF(OR($J347="",$N347&lt;&gt;"Concluída",$O347=""),"",MAX(0,$O347-$J347))</f>
        <v/>
      </c>
      <c r="U347" s="33" t="str">
        <f aca="true">IF($E347="","",IF($N347="Cancelada","Cancelada",IF($N347="Concluída",IF($R347=1,"No prazo","Concluída com atraso"),IF($J347="","Na carteira",IF($J347&lt;TODAY(),"VENCIDA",IF($J347=TODAY(),"Hoje","Programada"))))))</f>
        <v/>
      </c>
    </row>
    <row r="348" customFormat="false" ht="15.75" hidden="false" customHeight="true" outlineLevel="0" collapsed="false">
      <c r="A348" s="28" t="str">
        <f aca="false">IF($E348="","",COUNTA($E$4:$E348))</f>
        <v/>
      </c>
      <c r="B348" s="29"/>
      <c r="C348" s="29"/>
      <c r="D348" s="29"/>
      <c r="E348" s="29"/>
      <c r="F348" s="30"/>
      <c r="G348" s="29"/>
      <c r="H348" s="30"/>
      <c r="I348" s="29"/>
      <c r="J348" s="31"/>
      <c r="K348" s="31"/>
      <c r="L348" s="30"/>
      <c r="M348" s="29"/>
      <c r="N348" s="30"/>
      <c r="O348" s="31"/>
      <c r="P348" s="32" t="str">
        <f aca="false">IF($J348="","",$J348-WEEKDAY($J348,3))</f>
        <v/>
      </c>
      <c r="Q348" s="32" t="str">
        <f aca="false">IF($J348="","",IF($K348="",$J348,$K348))</f>
        <v/>
      </c>
      <c r="R348" s="28" t="str">
        <f aca="false">IF($E348="","",IF(OR($N348&lt;&gt;"Concluída",$O348="",$J348=""),0,IF($O348&lt;=$J348,1,0)))</f>
        <v/>
      </c>
      <c r="S348" s="28" t="str">
        <f aca="false">IF($E348="","",IF(OR($N348&lt;&gt;"Concluída",$O348="",$Q348=""),0,IF($O348&lt;=$Q348,1,0)))</f>
        <v/>
      </c>
      <c r="T348" s="28" t="str">
        <f aca="false">IF(OR($J348="",$N348&lt;&gt;"Concluída",$O348=""),"",MAX(0,$O348-$J348))</f>
        <v/>
      </c>
      <c r="U348" s="33" t="str">
        <f aca="true">IF($E348="","",IF($N348="Cancelada","Cancelada",IF($N348="Concluída",IF($R348=1,"No prazo","Concluída com atraso"),IF($J348="","Na carteira",IF($J348&lt;TODAY(),"VENCIDA",IF($J348=TODAY(),"Hoje","Programada"))))))</f>
        <v/>
      </c>
    </row>
    <row r="349" customFormat="false" ht="15.75" hidden="false" customHeight="true" outlineLevel="0" collapsed="false">
      <c r="A349" s="28" t="str">
        <f aca="false">IF($E349="","",COUNTA($E$4:$E349))</f>
        <v/>
      </c>
      <c r="B349" s="34"/>
      <c r="C349" s="34"/>
      <c r="D349" s="34"/>
      <c r="E349" s="34"/>
      <c r="F349" s="35"/>
      <c r="G349" s="34"/>
      <c r="H349" s="35"/>
      <c r="I349" s="34"/>
      <c r="J349" s="36"/>
      <c r="K349" s="36"/>
      <c r="L349" s="35"/>
      <c r="M349" s="34"/>
      <c r="N349" s="35"/>
      <c r="O349" s="36"/>
      <c r="P349" s="32" t="str">
        <f aca="false">IF($J349="","",$J349-WEEKDAY($J349,3))</f>
        <v/>
      </c>
      <c r="Q349" s="32" t="str">
        <f aca="false">IF($J349="","",IF($K349="",$J349,$K349))</f>
        <v/>
      </c>
      <c r="R349" s="28" t="str">
        <f aca="false">IF($E349="","",IF(OR($N349&lt;&gt;"Concluída",$O349="",$J349=""),0,IF($O349&lt;=$J349,1,0)))</f>
        <v/>
      </c>
      <c r="S349" s="28" t="str">
        <f aca="false">IF($E349="","",IF(OR($N349&lt;&gt;"Concluída",$O349="",$Q349=""),0,IF($O349&lt;=$Q349,1,0)))</f>
        <v/>
      </c>
      <c r="T349" s="28" t="str">
        <f aca="false">IF(OR($J349="",$N349&lt;&gt;"Concluída",$O349=""),"",MAX(0,$O349-$J349))</f>
        <v/>
      </c>
      <c r="U349" s="33" t="str">
        <f aca="true">IF($E349="","",IF($N349="Cancelada","Cancelada",IF($N349="Concluída",IF($R349=1,"No prazo","Concluída com atraso"),IF($J349="","Na carteira",IF($J349&lt;TODAY(),"VENCIDA",IF($J349=TODAY(),"Hoje","Programada"))))))</f>
        <v/>
      </c>
    </row>
    <row r="350" customFormat="false" ht="15.75" hidden="false" customHeight="true" outlineLevel="0" collapsed="false">
      <c r="A350" s="28" t="str">
        <f aca="false">IF($E350="","",COUNTA($E$4:$E350))</f>
        <v/>
      </c>
      <c r="B350" s="29"/>
      <c r="C350" s="29"/>
      <c r="D350" s="29"/>
      <c r="E350" s="29"/>
      <c r="F350" s="30"/>
      <c r="G350" s="29"/>
      <c r="H350" s="30"/>
      <c r="I350" s="29"/>
      <c r="J350" s="31"/>
      <c r="K350" s="31"/>
      <c r="L350" s="30"/>
      <c r="M350" s="29"/>
      <c r="N350" s="30"/>
      <c r="O350" s="31"/>
      <c r="P350" s="32" t="str">
        <f aca="false">IF($J350="","",$J350-WEEKDAY($J350,3))</f>
        <v/>
      </c>
      <c r="Q350" s="32" t="str">
        <f aca="false">IF($J350="","",IF($K350="",$J350,$K350))</f>
        <v/>
      </c>
      <c r="R350" s="28" t="str">
        <f aca="false">IF($E350="","",IF(OR($N350&lt;&gt;"Concluída",$O350="",$J350=""),0,IF($O350&lt;=$J350,1,0)))</f>
        <v/>
      </c>
      <c r="S350" s="28" t="str">
        <f aca="false">IF($E350="","",IF(OR($N350&lt;&gt;"Concluída",$O350="",$Q350=""),0,IF($O350&lt;=$Q350,1,0)))</f>
        <v/>
      </c>
      <c r="T350" s="28" t="str">
        <f aca="false">IF(OR($J350="",$N350&lt;&gt;"Concluída",$O350=""),"",MAX(0,$O350-$J350))</f>
        <v/>
      </c>
      <c r="U350" s="33" t="str">
        <f aca="true">IF($E350="","",IF($N350="Cancelada","Cancelada",IF($N350="Concluída",IF($R350=1,"No prazo","Concluída com atraso"),IF($J350="","Na carteira",IF($J350&lt;TODAY(),"VENCIDA",IF($J350=TODAY(),"Hoje","Programada"))))))</f>
        <v/>
      </c>
    </row>
    <row r="351" customFormat="false" ht="15.75" hidden="false" customHeight="true" outlineLevel="0" collapsed="false">
      <c r="A351" s="28" t="str">
        <f aca="false">IF($E351="","",COUNTA($E$4:$E351))</f>
        <v/>
      </c>
      <c r="B351" s="34"/>
      <c r="C351" s="34"/>
      <c r="D351" s="34"/>
      <c r="E351" s="34"/>
      <c r="F351" s="35"/>
      <c r="G351" s="34"/>
      <c r="H351" s="35"/>
      <c r="I351" s="34"/>
      <c r="J351" s="36"/>
      <c r="K351" s="36"/>
      <c r="L351" s="35"/>
      <c r="M351" s="34"/>
      <c r="N351" s="35"/>
      <c r="O351" s="36"/>
      <c r="P351" s="32" t="str">
        <f aca="false">IF($J351="","",$J351-WEEKDAY($J351,3))</f>
        <v/>
      </c>
      <c r="Q351" s="32" t="str">
        <f aca="false">IF($J351="","",IF($K351="",$J351,$K351))</f>
        <v/>
      </c>
      <c r="R351" s="28" t="str">
        <f aca="false">IF($E351="","",IF(OR($N351&lt;&gt;"Concluída",$O351="",$J351=""),0,IF($O351&lt;=$J351,1,0)))</f>
        <v/>
      </c>
      <c r="S351" s="28" t="str">
        <f aca="false">IF($E351="","",IF(OR($N351&lt;&gt;"Concluída",$O351="",$Q351=""),0,IF($O351&lt;=$Q351,1,0)))</f>
        <v/>
      </c>
      <c r="T351" s="28" t="str">
        <f aca="false">IF(OR($J351="",$N351&lt;&gt;"Concluída",$O351=""),"",MAX(0,$O351-$J351))</f>
        <v/>
      </c>
      <c r="U351" s="33" t="str">
        <f aca="true">IF($E351="","",IF($N351="Cancelada","Cancelada",IF($N351="Concluída",IF($R351=1,"No prazo","Concluída com atraso"),IF($J351="","Na carteira",IF($J351&lt;TODAY(),"VENCIDA",IF($J351=TODAY(),"Hoje","Programada"))))))</f>
        <v/>
      </c>
    </row>
    <row r="352" customFormat="false" ht="15.75" hidden="false" customHeight="true" outlineLevel="0" collapsed="false">
      <c r="A352" s="28" t="str">
        <f aca="false">IF($E352="","",COUNTA($E$4:$E352))</f>
        <v/>
      </c>
      <c r="B352" s="29"/>
      <c r="C352" s="29"/>
      <c r="D352" s="29"/>
      <c r="E352" s="29"/>
      <c r="F352" s="30"/>
      <c r="G352" s="29"/>
      <c r="H352" s="30"/>
      <c r="I352" s="29"/>
      <c r="J352" s="31"/>
      <c r="K352" s="31"/>
      <c r="L352" s="30"/>
      <c r="M352" s="29"/>
      <c r="N352" s="30"/>
      <c r="O352" s="31"/>
      <c r="P352" s="32" t="str">
        <f aca="false">IF($J352="","",$J352-WEEKDAY($J352,3))</f>
        <v/>
      </c>
      <c r="Q352" s="32" t="str">
        <f aca="false">IF($J352="","",IF($K352="",$J352,$K352))</f>
        <v/>
      </c>
      <c r="R352" s="28" t="str">
        <f aca="false">IF($E352="","",IF(OR($N352&lt;&gt;"Concluída",$O352="",$J352=""),0,IF($O352&lt;=$J352,1,0)))</f>
        <v/>
      </c>
      <c r="S352" s="28" t="str">
        <f aca="false">IF($E352="","",IF(OR($N352&lt;&gt;"Concluída",$O352="",$Q352=""),0,IF($O352&lt;=$Q352,1,0)))</f>
        <v/>
      </c>
      <c r="T352" s="28" t="str">
        <f aca="false">IF(OR($J352="",$N352&lt;&gt;"Concluída",$O352=""),"",MAX(0,$O352-$J352))</f>
        <v/>
      </c>
      <c r="U352" s="33" t="str">
        <f aca="true">IF($E352="","",IF($N352="Cancelada","Cancelada",IF($N352="Concluída",IF($R352=1,"No prazo","Concluída com atraso"),IF($J352="","Na carteira",IF($J352&lt;TODAY(),"VENCIDA",IF($J352=TODAY(),"Hoje","Programada"))))))</f>
        <v/>
      </c>
    </row>
    <row r="353" customFormat="false" ht="15.75" hidden="false" customHeight="true" outlineLevel="0" collapsed="false">
      <c r="A353" s="28" t="str">
        <f aca="false">IF($E353="","",COUNTA($E$4:$E353))</f>
        <v/>
      </c>
      <c r="B353" s="34"/>
      <c r="C353" s="34"/>
      <c r="D353" s="34"/>
      <c r="E353" s="34"/>
      <c r="F353" s="35"/>
      <c r="G353" s="34"/>
      <c r="H353" s="35"/>
      <c r="I353" s="34"/>
      <c r="J353" s="36"/>
      <c r="K353" s="36"/>
      <c r="L353" s="35"/>
      <c r="M353" s="34"/>
      <c r="N353" s="35"/>
      <c r="O353" s="36"/>
      <c r="P353" s="32" t="str">
        <f aca="false">IF($J353="","",$J353-WEEKDAY($J353,3))</f>
        <v/>
      </c>
      <c r="Q353" s="32" t="str">
        <f aca="false">IF($J353="","",IF($K353="",$J353,$K353))</f>
        <v/>
      </c>
      <c r="R353" s="28" t="str">
        <f aca="false">IF($E353="","",IF(OR($N353&lt;&gt;"Concluída",$O353="",$J353=""),0,IF($O353&lt;=$J353,1,0)))</f>
        <v/>
      </c>
      <c r="S353" s="28" t="str">
        <f aca="false">IF($E353="","",IF(OR($N353&lt;&gt;"Concluída",$O353="",$Q353=""),0,IF($O353&lt;=$Q353,1,0)))</f>
        <v/>
      </c>
      <c r="T353" s="28" t="str">
        <f aca="false">IF(OR($J353="",$N353&lt;&gt;"Concluída",$O353=""),"",MAX(0,$O353-$J353))</f>
        <v/>
      </c>
      <c r="U353" s="33" t="str">
        <f aca="true">IF($E353="","",IF($N353="Cancelada","Cancelada",IF($N353="Concluída",IF($R353=1,"No prazo","Concluída com atraso"),IF($J353="","Na carteira",IF($J353&lt;TODAY(),"VENCIDA",IF($J353=TODAY(),"Hoje","Programada"))))))</f>
        <v/>
      </c>
    </row>
    <row r="354" customFormat="false" ht="15.75" hidden="false" customHeight="true" outlineLevel="0" collapsed="false">
      <c r="A354" s="28" t="str">
        <f aca="false">IF($E354="","",COUNTA($E$4:$E354))</f>
        <v/>
      </c>
      <c r="B354" s="29"/>
      <c r="C354" s="29"/>
      <c r="D354" s="29"/>
      <c r="E354" s="29"/>
      <c r="F354" s="30"/>
      <c r="G354" s="29"/>
      <c r="H354" s="30"/>
      <c r="I354" s="29"/>
      <c r="J354" s="31"/>
      <c r="K354" s="31"/>
      <c r="L354" s="30"/>
      <c r="M354" s="29"/>
      <c r="N354" s="30"/>
      <c r="O354" s="31"/>
      <c r="P354" s="32" t="str">
        <f aca="false">IF($J354="","",$J354-WEEKDAY($J354,3))</f>
        <v/>
      </c>
      <c r="Q354" s="32" t="str">
        <f aca="false">IF($J354="","",IF($K354="",$J354,$K354))</f>
        <v/>
      </c>
      <c r="R354" s="28" t="str">
        <f aca="false">IF($E354="","",IF(OR($N354&lt;&gt;"Concluída",$O354="",$J354=""),0,IF($O354&lt;=$J354,1,0)))</f>
        <v/>
      </c>
      <c r="S354" s="28" t="str">
        <f aca="false">IF($E354="","",IF(OR($N354&lt;&gt;"Concluída",$O354="",$Q354=""),0,IF($O354&lt;=$Q354,1,0)))</f>
        <v/>
      </c>
      <c r="T354" s="28" t="str">
        <f aca="false">IF(OR($J354="",$N354&lt;&gt;"Concluída",$O354=""),"",MAX(0,$O354-$J354))</f>
        <v/>
      </c>
      <c r="U354" s="33" t="str">
        <f aca="true">IF($E354="","",IF($N354="Cancelada","Cancelada",IF($N354="Concluída",IF($R354=1,"No prazo","Concluída com atraso"),IF($J354="","Na carteira",IF($J354&lt;TODAY(),"VENCIDA",IF($J354=TODAY(),"Hoje","Programada"))))))</f>
        <v/>
      </c>
    </row>
    <row r="355" customFormat="false" ht="15.75" hidden="false" customHeight="true" outlineLevel="0" collapsed="false">
      <c r="A355" s="28" t="str">
        <f aca="false">IF($E355="","",COUNTA($E$4:$E355))</f>
        <v/>
      </c>
      <c r="B355" s="34"/>
      <c r="C355" s="34"/>
      <c r="D355" s="34"/>
      <c r="E355" s="34"/>
      <c r="F355" s="35"/>
      <c r="G355" s="34"/>
      <c r="H355" s="35"/>
      <c r="I355" s="34"/>
      <c r="J355" s="36"/>
      <c r="K355" s="36"/>
      <c r="L355" s="35"/>
      <c r="M355" s="34"/>
      <c r="N355" s="35"/>
      <c r="O355" s="36"/>
      <c r="P355" s="32" t="str">
        <f aca="false">IF($J355="","",$J355-WEEKDAY($J355,3))</f>
        <v/>
      </c>
      <c r="Q355" s="32" t="str">
        <f aca="false">IF($J355="","",IF($K355="",$J355,$K355))</f>
        <v/>
      </c>
      <c r="R355" s="28" t="str">
        <f aca="false">IF($E355="","",IF(OR($N355&lt;&gt;"Concluída",$O355="",$J355=""),0,IF($O355&lt;=$J355,1,0)))</f>
        <v/>
      </c>
      <c r="S355" s="28" t="str">
        <f aca="false">IF($E355="","",IF(OR($N355&lt;&gt;"Concluída",$O355="",$Q355=""),0,IF($O355&lt;=$Q355,1,0)))</f>
        <v/>
      </c>
      <c r="T355" s="28" t="str">
        <f aca="false">IF(OR($J355="",$N355&lt;&gt;"Concluída",$O355=""),"",MAX(0,$O355-$J355))</f>
        <v/>
      </c>
      <c r="U355" s="33" t="str">
        <f aca="true">IF($E355="","",IF($N355="Cancelada","Cancelada",IF($N355="Concluída",IF($R355=1,"No prazo","Concluída com atraso"),IF($J355="","Na carteira",IF($J355&lt;TODAY(),"VENCIDA",IF($J355=TODAY(),"Hoje","Programada"))))))</f>
        <v/>
      </c>
    </row>
    <row r="356" customFormat="false" ht="15.75" hidden="false" customHeight="true" outlineLevel="0" collapsed="false">
      <c r="A356" s="28" t="str">
        <f aca="false">IF($E356="","",COUNTA($E$4:$E356))</f>
        <v/>
      </c>
      <c r="B356" s="29"/>
      <c r="C356" s="29"/>
      <c r="D356" s="29"/>
      <c r="E356" s="29"/>
      <c r="F356" s="30"/>
      <c r="G356" s="29"/>
      <c r="H356" s="30"/>
      <c r="I356" s="29"/>
      <c r="J356" s="31"/>
      <c r="K356" s="31"/>
      <c r="L356" s="30"/>
      <c r="M356" s="29"/>
      <c r="N356" s="30"/>
      <c r="O356" s="31"/>
      <c r="P356" s="32" t="str">
        <f aca="false">IF($J356="","",$J356-WEEKDAY($J356,3))</f>
        <v/>
      </c>
      <c r="Q356" s="32" t="str">
        <f aca="false">IF($J356="","",IF($K356="",$J356,$K356))</f>
        <v/>
      </c>
      <c r="R356" s="28" t="str">
        <f aca="false">IF($E356="","",IF(OR($N356&lt;&gt;"Concluída",$O356="",$J356=""),0,IF($O356&lt;=$J356,1,0)))</f>
        <v/>
      </c>
      <c r="S356" s="28" t="str">
        <f aca="false">IF($E356="","",IF(OR($N356&lt;&gt;"Concluída",$O356="",$Q356=""),0,IF($O356&lt;=$Q356,1,0)))</f>
        <v/>
      </c>
      <c r="T356" s="28" t="str">
        <f aca="false">IF(OR($J356="",$N356&lt;&gt;"Concluída",$O356=""),"",MAX(0,$O356-$J356))</f>
        <v/>
      </c>
      <c r="U356" s="33" t="str">
        <f aca="true">IF($E356="","",IF($N356="Cancelada","Cancelada",IF($N356="Concluída",IF($R356=1,"No prazo","Concluída com atraso"),IF($J356="","Na carteira",IF($J356&lt;TODAY(),"VENCIDA",IF($J356=TODAY(),"Hoje","Programada"))))))</f>
        <v/>
      </c>
    </row>
    <row r="357" customFormat="false" ht="15.75" hidden="false" customHeight="true" outlineLevel="0" collapsed="false">
      <c r="A357" s="28" t="str">
        <f aca="false">IF($E357="","",COUNTA($E$4:$E357))</f>
        <v/>
      </c>
      <c r="B357" s="34"/>
      <c r="C357" s="34"/>
      <c r="D357" s="34"/>
      <c r="E357" s="34"/>
      <c r="F357" s="35"/>
      <c r="G357" s="34"/>
      <c r="H357" s="35"/>
      <c r="I357" s="34"/>
      <c r="J357" s="36"/>
      <c r="K357" s="36"/>
      <c r="L357" s="35"/>
      <c r="M357" s="34"/>
      <c r="N357" s="35"/>
      <c r="O357" s="36"/>
      <c r="P357" s="32" t="str">
        <f aca="false">IF($J357="","",$J357-WEEKDAY($J357,3))</f>
        <v/>
      </c>
      <c r="Q357" s="32" t="str">
        <f aca="false">IF($J357="","",IF($K357="",$J357,$K357))</f>
        <v/>
      </c>
      <c r="R357" s="28" t="str">
        <f aca="false">IF($E357="","",IF(OR($N357&lt;&gt;"Concluída",$O357="",$J357=""),0,IF($O357&lt;=$J357,1,0)))</f>
        <v/>
      </c>
      <c r="S357" s="28" t="str">
        <f aca="false">IF($E357="","",IF(OR($N357&lt;&gt;"Concluída",$O357="",$Q357=""),0,IF($O357&lt;=$Q357,1,0)))</f>
        <v/>
      </c>
      <c r="T357" s="28" t="str">
        <f aca="false">IF(OR($J357="",$N357&lt;&gt;"Concluída",$O357=""),"",MAX(0,$O357-$J357))</f>
        <v/>
      </c>
      <c r="U357" s="33" t="str">
        <f aca="true">IF($E357="","",IF($N357="Cancelada","Cancelada",IF($N357="Concluída",IF($R357=1,"No prazo","Concluída com atraso"),IF($J357="","Na carteira",IF($J357&lt;TODAY(),"VENCIDA",IF($J357=TODAY(),"Hoje","Programada"))))))</f>
        <v/>
      </c>
    </row>
    <row r="358" customFormat="false" ht="15.75" hidden="false" customHeight="true" outlineLevel="0" collapsed="false">
      <c r="A358" s="28" t="str">
        <f aca="false">IF($E358="","",COUNTA($E$4:$E358))</f>
        <v/>
      </c>
      <c r="B358" s="29"/>
      <c r="C358" s="29"/>
      <c r="D358" s="29"/>
      <c r="E358" s="29"/>
      <c r="F358" s="30"/>
      <c r="G358" s="29"/>
      <c r="H358" s="30"/>
      <c r="I358" s="29"/>
      <c r="J358" s="31"/>
      <c r="K358" s="31"/>
      <c r="L358" s="30"/>
      <c r="M358" s="29"/>
      <c r="N358" s="30"/>
      <c r="O358" s="31"/>
      <c r="P358" s="32" t="str">
        <f aca="false">IF($J358="","",$J358-WEEKDAY($J358,3))</f>
        <v/>
      </c>
      <c r="Q358" s="32" t="str">
        <f aca="false">IF($J358="","",IF($K358="",$J358,$K358))</f>
        <v/>
      </c>
      <c r="R358" s="28" t="str">
        <f aca="false">IF($E358="","",IF(OR($N358&lt;&gt;"Concluída",$O358="",$J358=""),0,IF($O358&lt;=$J358,1,0)))</f>
        <v/>
      </c>
      <c r="S358" s="28" t="str">
        <f aca="false">IF($E358="","",IF(OR($N358&lt;&gt;"Concluída",$O358="",$Q358=""),0,IF($O358&lt;=$Q358,1,0)))</f>
        <v/>
      </c>
      <c r="T358" s="28" t="str">
        <f aca="false">IF(OR($J358="",$N358&lt;&gt;"Concluída",$O358=""),"",MAX(0,$O358-$J358))</f>
        <v/>
      </c>
      <c r="U358" s="33" t="str">
        <f aca="true">IF($E358="","",IF($N358="Cancelada","Cancelada",IF($N358="Concluída",IF($R358=1,"No prazo","Concluída com atraso"),IF($J358="","Na carteira",IF($J358&lt;TODAY(),"VENCIDA",IF($J358=TODAY(),"Hoje","Programada"))))))</f>
        <v/>
      </c>
    </row>
    <row r="359" customFormat="false" ht="15.75" hidden="false" customHeight="true" outlineLevel="0" collapsed="false">
      <c r="A359" s="28" t="str">
        <f aca="false">IF($E359="","",COUNTA($E$4:$E359))</f>
        <v/>
      </c>
      <c r="B359" s="34"/>
      <c r="C359" s="34"/>
      <c r="D359" s="34"/>
      <c r="E359" s="34"/>
      <c r="F359" s="35"/>
      <c r="G359" s="34"/>
      <c r="H359" s="35"/>
      <c r="I359" s="34"/>
      <c r="J359" s="36"/>
      <c r="K359" s="36"/>
      <c r="L359" s="35"/>
      <c r="M359" s="34"/>
      <c r="N359" s="35"/>
      <c r="O359" s="36"/>
      <c r="P359" s="32" t="str">
        <f aca="false">IF($J359="","",$J359-WEEKDAY($J359,3))</f>
        <v/>
      </c>
      <c r="Q359" s="32" t="str">
        <f aca="false">IF($J359="","",IF($K359="",$J359,$K359))</f>
        <v/>
      </c>
      <c r="R359" s="28" t="str">
        <f aca="false">IF($E359="","",IF(OR($N359&lt;&gt;"Concluída",$O359="",$J359=""),0,IF($O359&lt;=$J359,1,0)))</f>
        <v/>
      </c>
      <c r="S359" s="28" t="str">
        <f aca="false">IF($E359="","",IF(OR($N359&lt;&gt;"Concluída",$O359="",$Q359=""),0,IF($O359&lt;=$Q359,1,0)))</f>
        <v/>
      </c>
      <c r="T359" s="28" t="str">
        <f aca="false">IF(OR($J359="",$N359&lt;&gt;"Concluída",$O359=""),"",MAX(0,$O359-$J359))</f>
        <v/>
      </c>
      <c r="U359" s="33" t="str">
        <f aca="true">IF($E359="","",IF($N359="Cancelada","Cancelada",IF($N359="Concluída",IF($R359=1,"No prazo","Concluída com atraso"),IF($J359="","Na carteira",IF($J359&lt;TODAY(),"VENCIDA",IF($J359=TODAY(),"Hoje","Programada"))))))</f>
        <v/>
      </c>
    </row>
    <row r="360" customFormat="false" ht="15.75" hidden="false" customHeight="true" outlineLevel="0" collapsed="false">
      <c r="A360" s="28" t="str">
        <f aca="false">IF($E360="","",COUNTA($E$4:$E360))</f>
        <v/>
      </c>
      <c r="B360" s="29"/>
      <c r="C360" s="29"/>
      <c r="D360" s="29"/>
      <c r="E360" s="29"/>
      <c r="F360" s="30"/>
      <c r="G360" s="29"/>
      <c r="H360" s="30"/>
      <c r="I360" s="29"/>
      <c r="J360" s="31"/>
      <c r="K360" s="31"/>
      <c r="L360" s="30"/>
      <c r="M360" s="29"/>
      <c r="N360" s="30"/>
      <c r="O360" s="31"/>
      <c r="P360" s="32" t="str">
        <f aca="false">IF($J360="","",$J360-WEEKDAY($J360,3))</f>
        <v/>
      </c>
      <c r="Q360" s="32" t="str">
        <f aca="false">IF($J360="","",IF($K360="",$J360,$K360))</f>
        <v/>
      </c>
      <c r="R360" s="28" t="str">
        <f aca="false">IF($E360="","",IF(OR($N360&lt;&gt;"Concluída",$O360="",$J360=""),0,IF($O360&lt;=$J360,1,0)))</f>
        <v/>
      </c>
      <c r="S360" s="28" t="str">
        <f aca="false">IF($E360="","",IF(OR($N360&lt;&gt;"Concluída",$O360="",$Q360=""),0,IF($O360&lt;=$Q360,1,0)))</f>
        <v/>
      </c>
      <c r="T360" s="28" t="str">
        <f aca="false">IF(OR($J360="",$N360&lt;&gt;"Concluída",$O360=""),"",MAX(0,$O360-$J360))</f>
        <v/>
      </c>
      <c r="U360" s="33" t="str">
        <f aca="true">IF($E360="","",IF($N360="Cancelada","Cancelada",IF($N360="Concluída",IF($R360=1,"No prazo","Concluída com atraso"),IF($J360="","Na carteira",IF($J360&lt;TODAY(),"VENCIDA",IF($J360=TODAY(),"Hoje","Programada"))))))</f>
        <v/>
      </c>
    </row>
    <row r="361" customFormat="false" ht="15.75" hidden="false" customHeight="true" outlineLevel="0" collapsed="false">
      <c r="A361" s="28" t="str">
        <f aca="false">IF($E361="","",COUNTA($E$4:$E361))</f>
        <v/>
      </c>
      <c r="B361" s="34"/>
      <c r="C361" s="34"/>
      <c r="D361" s="34"/>
      <c r="E361" s="34"/>
      <c r="F361" s="35"/>
      <c r="G361" s="34"/>
      <c r="H361" s="35"/>
      <c r="I361" s="34"/>
      <c r="J361" s="36"/>
      <c r="K361" s="36"/>
      <c r="L361" s="35"/>
      <c r="M361" s="34"/>
      <c r="N361" s="35"/>
      <c r="O361" s="36"/>
      <c r="P361" s="32" t="str">
        <f aca="false">IF($J361="","",$J361-WEEKDAY($J361,3))</f>
        <v/>
      </c>
      <c r="Q361" s="32" t="str">
        <f aca="false">IF($J361="","",IF($K361="",$J361,$K361))</f>
        <v/>
      </c>
      <c r="R361" s="28" t="str">
        <f aca="false">IF($E361="","",IF(OR($N361&lt;&gt;"Concluída",$O361="",$J361=""),0,IF($O361&lt;=$J361,1,0)))</f>
        <v/>
      </c>
      <c r="S361" s="28" t="str">
        <f aca="false">IF($E361="","",IF(OR($N361&lt;&gt;"Concluída",$O361="",$Q361=""),0,IF($O361&lt;=$Q361,1,0)))</f>
        <v/>
      </c>
      <c r="T361" s="28" t="str">
        <f aca="false">IF(OR($J361="",$N361&lt;&gt;"Concluída",$O361=""),"",MAX(0,$O361-$J361))</f>
        <v/>
      </c>
      <c r="U361" s="33" t="str">
        <f aca="true">IF($E361="","",IF($N361="Cancelada","Cancelada",IF($N361="Concluída",IF($R361=1,"No prazo","Concluída com atraso"),IF($J361="","Na carteira",IF($J361&lt;TODAY(),"VENCIDA",IF($J361=TODAY(),"Hoje","Programada"))))))</f>
        <v/>
      </c>
    </row>
    <row r="362" customFormat="false" ht="15.75" hidden="false" customHeight="true" outlineLevel="0" collapsed="false">
      <c r="A362" s="28" t="str">
        <f aca="false">IF($E362="","",COUNTA($E$4:$E362))</f>
        <v/>
      </c>
      <c r="B362" s="29"/>
      <c r="C362" s="29"/>
      <c r="D362" s="29"/>
      <c r="E362" s="29"/>
      <c r="F362" s="30"/>
      <c r="G362" s="29"/>
      <c r="H362" s="30"/>
      <c r="I362" s="29"/>
      <c r="J362" s="31"/>
      <c r="K362" s="31"/>
      <c r="L362" s="30"/>
      <c r="M362" s="29"/>
      <c r="N362" s="30"/>
      <c r="O362" s="31"/>
      <c r="P362" s="32" t="str">
        <f aca="false">IF($J362="","",$J362-WEEKDAY($J362,3))</f>
        <v/>
      </c>
      <c r="Q362" s="32" t="str">
        <f aca="false">IF($J362="","",IF($K362="",$J362,$K362))</f>
        <v/>
      </c>
      <c r="R362" s="28" t="str">
        <f aca="false">IF($E362="","",IF(OR($N362&lt;&gt;"Concluída",$O362="",$J362=""),0,IF($O362&lt;=$J362,1,0)))</f>
        <v/>
      </c>
      <c r="S362" s="28" t="str">
        <f aca="false">IF($E362="","",IF(OR($N362&lt;&gt;"Concluída",$O362="",$Q362=""),0,IF($O362&lt;=$Q362,1,0)))</f>
        <v/>
      </c>
      <c r="T362" s="28" t="str">
        <f aca="false">IF(OR($J362="",$N362&lt;&gt;"Concluída",$O362=""),"",MAX(0,$O362-$J362))</f>
        <v/>
      </c>
      <c r="U362" s="33" t="str">
        <f aca="true">IF($E362="","",IF($N362="Cancelada","Cancelada",IF($N362="Concluída",IF($R362=1,"No prazo","Concluída com atraso"),IF($J362="","Na carteira",IF($J362&lt;TODAY(),"VENCIDA",IF($J362=TODAY(),"Hoje","Programada"))))))</f>
        <v/>
      </c>
    </row>
    <row r="363" customFormat="false" ht="15.75" hidden="false" customHeight="true" outlineLevel="0" collapsed="false">
      <c r="A363" s="28" t="str">
        <f aca="false">IF($E363="","",COUNTA($E$4:$E363))</f>
        <v/>
      </c>
      <c r="B363" s="34"/>
      <c r="C363" s="34"/>
      <c r="D363" s="34"/>
      <c r="E363" s="34"/>
      <c r="F363" s="35"/>
      <c r="G363" s="34"/>
      <c r="H363" s="35"/>
      <c r="I363" s="34"/>
      <c r="J363" s="36"/>
      <c r="K363" s="36"/>
      <c r="L363" s="35"/>
      <c r="M363" s="34"/>
      <c r="N363" s="35"/>
      <c r="O363" s="36"/>
      <c r="P363" s="32" t="str">
        <f aca="false">IF($J363="","",$J363-WEEKDAY($J363,3))</f>
        <v/>
      </c>
      <c r="Q363" s="32" t="str">
        <f aca="false">IF($J363="","",IF($K363="",$J363,$K363))</f>
        <v/>
      </c>
      <c r="R363" s="28" t="str">
        <f aca="false">IF($E363="","",IF(OR($N363&lt;&gt;"Concluída",$O363="",$J363=""),0,IF($O363&lt;=$J363,1,0)))</f>
        <v/>
      </c>
      <c r="S363" s="28" t="str">
        <f aca="false">IF($E363="","",IF(OR($N363&lt;&gt;"Concluída",$O363="",$Q363=""),0,IF($O363&lt;=$Q363,1,0)))</f>
        <v/>
      </c>
      <c r="T363" s="28" t="str">
        <f aca="false">IF(OR($J363="",$N363&lt;&gt;"Concluída",$O363=""),"",MAX(0,$O363-$J363))</f>
        <v/>
      </c>
      <c r="U363" s="33" t="str">
        <f aca="true">IF($E363="","",IF($N363="Cancelada","Cancelada",IF($N363="Concluída",IF($R363=1,"No prazo","Concluída com atraso"),IF($J363="","Na carteira",IF($J363&lt;TODAY(),"VENCIDA",IF($J363=TODAY(),"Hoje","Programada"))))))</f>
        <v/>
      </c>
    </row>
    <row r="364" customFormat="false" ht="15.75" hidden="false" customHeight="true" outlineLevel="0" collapsed="false">
      <c r="A364" s="28" t="str">
        <f aca="false">IF($E364="","",COUNTA($E$4:$E364))</f>
        <v/>
      </c>
      <c r="B364" s="29"/>
      <c r="C364" s="29"/>
      <c r="D364" s="29"/>
      <c r="E364" s="29"/>
      <c r="F364" s="30"/>
      <c r="G364" s="29"/>
      <c r="H364" s="30"/>
      <c r="I364" s="29"/>
      <c r="J364" s="31"/>
      <c r="K364" s="31"/>
      <c r="L364" s="30"/>
      <c r="M364" s="29"/>
      <c r="N364" s="30"/>
      <c r="O364" s="31"/>
      <c r="P364" s="32" t="str">
        <f aca="false">IF($J364="","",$J364-WEEKDAY($J364,3))</f>
        <v/>
      </c>
      <c r="Q364" s="32" t="str">
        <f aca="false">IF($J364="","",IF($K364="",$J364,$K364))</f>
        <v/>
      </c>
      <c r="R364" s="28" t="str">
        <f aca="false">IF($E364="","",IF(OR($N364&lt;&gt;"Concluída",$O364="",$J364=""),0,IF($O364&lt;=$J364,1,0)))</f>
        <v/>
      </c>
      <c r="S364" s="28" t="str">
        <f aca="false">IF($E364="","",IF(OR($N364&lt;&gt;"Concluída",$O364="",$Q364=""),0,IF($O364&lt;=$Q364,1,0)))</f>
        <v/>
      </c>
      <c r="T364" s="28" t="str">
        <f aca="false">IF(OR($J364="",$N364&lt;&gt;"Concluída",$O364=""),"",MAX(0,$O364-$J364))</f>
        <v/>
      </c>
      <c r="U364" s="33" t="str">
        <f aca="true">IF($E364="","",IF($N364="Cancelada","Cancelada",IF($N364="Concluída",IF($R364=1,"No prazo","Concluída com atraso"),IF($J364="","Na carteira",IF($J364&lt;TODAY(),"VENCIDA",IF($J364=TODAY(),"Hoje","Programada"))))))</f>
        <v/>
      </c>
    </row>
    <row r="365" customFormat="false" ht="15.75" hidden="false" customHeight="true" outlineLevel="0" collapsed="false">
      <c r="A365" s="28" t="str">
        <f aca="false">IF($E365="","",COUNTA($E$4:$E365))</f>
        <v/>
      </c>
      <c r="B365" s="34"/>
      <c r="C365" s="34"/>
      <c r="D365" s="34"/>
      <c r="E365" s="34"/>
      <c r="F365" s="35"/>
      <c r="G365" s="34"/>
      <c r="H365" s="35"/>
      <c r="I365" s="34"/>
      <c r="J365" s="36"/>
      <c r="K365" s="36"/>
      <c r="L365" s="35"/>
      <c r="M365" s="34"/>
      <c r="N365" s="35"/>
      <c r="O365" s="36"/>
      <c r="P365" s="32" t="str">
        <f aca="false">IF($J365="","",$J365-WEEKDAY($J365,3))</f>
        <v/>
      </c>
      <c r="Q365" s="32" t="str">
        <f aca="false">IF($J365="","",IF($K365="",$J365,$K365))</f>
        <v/>
      </c>
      <c r="R365" s="28" t="str">
        <f aca="false">IF($E365="","",IF(OR($N365&lt;&gt;"Concluída",$O365="",$J365=""),0,IF($O365&lt;=$J365,1,0)))</f>
        <v/>
      </c>
      <c r="S365" s="28" t="str">
        <f aca="false">IF($E365="","",IF(OR($N365&lt;&gt;"Concluída",$O365="",$Q365=""),0,IF($O365&lt;=$Q365,1,0)))</f>
        <v/>
      </c>
      <c r="T365" s="28" t="str">
        <f aca="false">IF(OR($J365="",$N365&lt;&gt;"Concluída",$O365=""),"",MAX(0,$O365-$J365))</f>
        <v/>
      </c>
      <c r="U365" s="33" t="str">
        <f aca="true">IF($E365="","",IF($N365="Cancelada","Cancelada",IF($N365="Concluída",IF($R365=1,"No prazo","Concluída com atraso"),IF($J365="","Na carteira",IF($J365&lt;TODAY(),"VENCIDA",IF($J365=TODAY(),"Hoje","Programada"))))))</f>
        <v/>
      </c>
    </row>
    <row r="366" customFormat="false" ht="15.75" hidden="false" customHeight="true" outlineLevel="0" collapsed="false">
      <c r="A366" s="28" t="str">
        <f aca="false">IF($E366="","",COUNTA($E$4:$E366))</f>
        <v/>
      </c>
      <c r="B366" s="29"/>
      <c r="C366" s="29"/>
      <c r="D366" s="29"/>
      <c r="E366" s="29"/>
      <c r="F366" s="30"/>
      <c r="G366" s="29"/>
      <c r="H366" s="30"/>
      <c r="I366" s="29"/>
      <c r="J366" s="31"/>
      <c r="K366" s="31"/>
      <c r="L366" s="30"/>
      <c r="M366" s="29"/>
      <c r="N366" s="30"/>
      <c r="O366" s="31"/>
      <c r="P366" s="32" t="str">
        <f aca="false">IF($J366="","",$J366-WEEKDAY($J366,3))</f>
        <v/>
      </c>
      <c r="Q366" s="32" t="str">
        <f aca="false">IF($J366="","",IF($K366="",$J366,$K366))</f>
        <v/>
      </c>
      <c r="R366" s="28" t="str">
        <f aca="false">IF($E366="","",IF(OR($N366&lt;&gt;"Concluída",$O366="",$J366=""),0,IF($O366&lt;=$J366,1,0)))</f>
        <v/>
      </c>
      <c r="S366" s="28" t="str">
        <f aca="false">IF($E366="","",IF(OR($N366&lt;&gt;"Concluída",$O366="",$Q366=""),0,IF($O366&lt;=$Q366,1,0)))</f>
        <v/>
      </c>
      <c r="T366" s="28" t="str">
        <f aca="false">IF(OR($J366="",$N366&lt;&gt;"Concluída",$O366=""),"",MAX(0,$O366-$J366))</f>
        <v/>
      </c>
      <c r="U366" s="33" t="str">
        <f aca="true">IF($E366="","",IF($N366="Cancelada","Cancelada",IF($N366="Concluída",IF($R366=1,"No prazo","Concluída com atraso"),IF($J366="","Na carteira",IF($J366&lt;TODAY(),"VENCIDA",IF($J366=TODAY(),"Hoje","Programada"))))))</f>
        <v/>
      </c>
    </row>
    <row r="367" customFormat="false" ht="15.75" hidden="false" customHeight="true" outlineLevel="0" collapsed="false">
      <c r="A367" s="28" t="str">
        <f aca="false">IF($E367="","",COUNTA($E$4:$E367))</f>
        <v/>
      </c>
      <c r="B367" s="34"/>
      <c r="C367" s="34"/>
      <c r="D367" s="34"/>
      <c r="E367" s="34"/>
      <c r="F367" s="35"/>
      <c r="G367" s="34"/>
      <c r="H367" s="35"/>
      <c r="I367" s="34"/>
      <c r="J367" s="36"/>
      <c r="K367" s="36"/>
      <c r="L367" s="35"/>
      <c r="M367" s="34"/>
      <c r="N367" s="35"/>
      <c r="O367" s="36"/>
      <c r="P367" s="32" t="str">
        <f aca="false">IF($J367="","",$J367-WEEKDAY($J367,3))</f>
        <v/>
      </c>
      <c r="Q367" s="32" t="str">
        <f aca="false">IF($J367="","",IF($K367="",$J367,$K367))</f>
        <v/>
      </c>
      <c r="R367" s="28" t="str">
        <f aca="false">IF($E367="","",IF(OR($N367&lt;&gt;"Concluída",$O367="",$J367=""),0,IF($O367&lt;=$J367,1,0)))</f>
        <v/>
      </c>
      <c r="S367" s="28" t="str">
        <f aca="false">IF($E367="","",IF(OR($N367&lt;&gt;"Concluída",$O367="",$Q367=""),0,IF($O367&lt;=$Q367,1,0)))</f>
        <v/>
      </c>
      <c r="T367" s="28" t="str">
        <f aca="false">IF(OR($J367="",$N367&lt;&gt;"Concluída",$O367=""),"",MAX(0,$O367-$J367))</f>
        <v/>
      </c>
      <c r="U367" s="33" t="str">
        <f aca="true">IF($E367="","",IF($N367="Cancelada","Cancelada",IF($N367="Concluída",IF($R367=1,"No prazo","Concluída com atraso"),IF($J367="","Na carteira",IF($J367&lt;TODAY(),"VENCIDA",IF($J367=TODAY(),"Hoje","Programada"))))))</f>
        <v/>
      </c>
    </row>
    <row r="368" customFormat="false" ht="15.75" hidden="false" customHeight="true" outlineLevel="0" collapsed="false">
      <c r="A368" s="28" t="str">
        <f aca="false">IF($E368="","",COUNTA($E$4:$E368))</f>
        <v/>
      </c>
      <c r="B368" s="29"/>
      <c r="C368" s="29"/>
      <c r="D368" s="29"/>
      <c r="E368" s="29"/>
      <c r="F368" s="30"/>
      <c r="G368" s="29"/>
      <c r="H368" s="30"/>
      <c r="I368" s="29"/>
      <c r="J368" s="31"/>
      <c r="K368" s="31"/>
      <c r="L368" s="30"/>
      <c r="M368" s="29"/>
      <c r="N368" s="30"/>
      <c r="O368" s="31"/>
      <c r="P368" s="32" t="str">
        <f aca="false">IF($J368="","",$J368-WEEKDAY($J368,3))</f>
        <v/>
      </c>
      <c r="Q368" s="32" t="str">
        <f aca="false">IF($J368="","",IF($K368="",$J368,$K368))</f>
        <v/>
      </c>
      <c r="R368" s="28" t="str">
        <f aca="false">IF($E368="","",IF(OR($N368&lt;&gt;"Concluída",$O368="",$J368=""),0,IF($O368&lt;=$J368,1,0)))</f>
        <v/>
      </c>
      <c r="S368" s="28" t="str">
        <f aca="false">IF($E368="","",IF(OR($N368&lt;&gt;"Concluída",$O368="",$Q368=""),0,IF($O368&lt;=$Q368,1,0)))</f>
        <v/>
      </c>
      <c r="T368" s="28" t="str">
        <f aca="false">IF(OR($J368="",$N368&lt;&gt;"Concluída",$O368=""),"",MAX(0,$O368-$J368))</f>
        <v/>
      </c>
      <c r="U368" s="33" t="str">
        <f aca="true">IF($E368="","",IF($N368="Cancelada","Cancelada",IF($N368="Concluída",IF($R368=1,"No prazo","Concluída com atraso"),IF($J368="","Na carteira",IF($J368&lt;TODAY(),"VENCIDA",IF($J368=TODAY(),"Hoje","Programada"))))))</f>
        <v/>
      </c>
    </row>
    <row r="369" customFormat="false" ht="15.75" hidden="false" customHeight="true" outlineLevel="0" collapsed="false">
      <c r="A369" s="28" t="str">
        <f aca="false">IF($E369="","",COUNTA($E$4:$E369))</f>
        <v/>
      </c>
      <c r="B369" s="34"/>
      <c r="C369" s="34"/>
      <c r="D369" s="34"/>
      <c r="E369" s="34"/>
      <c r="F369" s="35"/>
      <c r="G369" s="34"/>
      <c r="H369" s="35"/>
      <c r="I369" s="34"/>
      <c r="J369" s="36"/>
      <c r="K369" s="36"/>
      <c r="L369" s="35"/>
      <c r="M369" s="34"/>
      <c r="N369" s="35"/>
      <c r="O369" s="36"/>
      <c r="P369" s="32" t="str">
        <f aca="false">IF($J369="","",$J369-WEEKDAY($J369,3))</f>
        <v/>
      </c>
      <c r="Q369" s="32" t="str">
        <f aca="false">IF($J369="","",IF($K369="",$J369,$K369))</f>
        <v/>
      </c>
      <c r="R369" s="28" t="str">
        <f aca="false">IF($E369="","",IF(OR($N369&lt;&gt;"Concluída",$O369="",$J369=""),0,IF($O369&lt;=$J369,1,0)))</f>
        <v/>
      </c>
      <c r="S369" s="28" t="str">
        <f aca="false">IF($E369="","",IF(OR($N369&lt;&gt;"Concluída",$O369="",$Q369=""),0,IF($O369&lt;=$Q369,1,0)))</f>
        <v/>
      </c>
      <c r="T369" s="28" t="str">
        <f aca="false">IF(OR($J369="",$N369&lt;&gt;"Concluída",$O369=""),"",MAX(0,$O369-$J369))</f>
        <v/>
      </c>
      <c r="U369" s="33" t="str">
        <f aca="true">IF($E369="","",IF($N369="Cancelada","Cancelada",IF($N369="Concluída",IF($R369=1,"No prazo","Concluída com atraso"),IF($J369="","Na carteira",IF($J369&lt;TODAY(),"VENCIDA",IF($J369=TODAY(),"Hoje","Programada"))))))</f>
        <v/>
      </c>
    </row>
    <row r="370" customFormat="false" ht="15.75" hidden="false" customHeight="true" outlineLevel="0" collapsed="false">
      <c r="A370" s="28" t="str">
        <f aca="false">IF($E370="","",COUNTA($E$4:$E370))</f>
        <v/>
      </c>
      <c r="B370" s="29"/>
      <c r="C370" s="29"/>
      <c r="D370" s="29"/>
      <c r="E370" s="29"/>
      <c r="F370" s="30"/>
      <c r="G370" s="29"/>
      <c r="H370" s="30"/>
      <c r="I370" s="29"/>
      <c r="J370" s="31"/>
      <c r="K370" s="31"/>
      <c r="L370" s="30"/>
      <c r="M370" s="29"/>
      <c r="N370" s="30"/>
      <c r="O370" s="31"/>
      <c r="P370" s="32" t="str">
        <f aca="false">IF($J370="","",$J370-WEEKDAY($J370,3))</f>
        <v/>
      </c>
      <c r="Q370" s="32" t="str">
        <f aca="false">IF($J370="","",IF($K370="",$J370,$K370))</f>
        <v/>
      </c>
      <c r="R370" s="28" t="str">
        <f aca="false">IF($E370="","",IF(OR($N370&lt;&gt;"Concluída",$O370="",$J370=""),0,IF($O370&lt;=$J370,1,0)))</f>
        <v/>
      </c>
      <c r="S370" s="28" t="str">
        <f aca="false">IF($E370="","",IF(OR($N370&lt;&gt;"Concluída",$O370="",$Q370=""),0,IF($O370&lt;=$Q370,1,0)))</f>
        <v/>
      </c>
      <c r="T370" s="28" t="str">
        <f aca="false">IF(OR($J370="",$N370&lt;&gt;"Concluída",$O370=""),"",MAX(0,$O370-$J370))</f>
        <v/>
      </c>
      <c r="U370" s="33" t="str">
        <f aca="true">IF($E370="","",IF($N370="Cancelada","Cancelada",IF($N370="Concluída",IF($R370=1,"No prazo","Concluída com atraso"),IF($J370="","Na carteira",IF($J370&lt;TODAY(),"VENCIDA",IF($J370=TODAY(),"Hoje","Programada"))))))</f>
        <v/>
      </c>
    </row>
    <row r="371" customFormat="false" ht="15.75" hidden="false" customHeight="true" outlineLevel="0" collapsed="false">
      <c r="A371" s="28" t="str">
        <f aca="false">IF($E371="","",COUNTA($E$4:$E371))</f>
        <v/>
      </c>
      <c r="B371" s="34"/>
      <c r="C371" s="34"/>
      <c r="D371" s="34"/>
      <c r="E371" s="34"/>
      <c r="F371" s="35"/>
      <c r="G371" s="34"/>
      <c r="H371" s="35"/>
      <c r="I371" s="34"/>
      <c r="J371" s="36"/>
      <c r="K371" s="36"/>
      <c r="L371" s="35"/>
      <c r="M371" s="34"/>
      <c r="N371" s="35"/>
      <c r="O371" s="36"/>
      <c r="P371" s="32" t="str">
        <f aca="false">IF($J371="","",$J371-WEEKDAY($J371,3))</f>
        <v/>
      </c>
      <c r="Q371" s="32" t="str">
        <f aca="false">IF($J371="","",IF($K371="",$J371,$K371))</f>
        <v/>
      </c>
      <c r="R371" s="28" t="str">
        <f aca="false">IF($E371="","",IF(OR($N371&lt;&gt;"Concluída",$O371="",$J371=""),0,IF($O371&lt;=$J371,1,0)))</f>
        <v/>
      </c>
      <c r="S371" s="28" t="str">
        <f aca="false">IF($E371="","",IF(OR($N371&lt;&gt;"Concluída",$O371="",$Q371=""),0,IF($O371&lt;=$Q371,1,0)))</f>
        <v/>
      </c>
      <c r="T371" s="28" t="str">
        <f aca="false">IF(OR($J371="",$N371&lt;&gt;"Concluída",$O371=""),"",MAX(0,$O371-$J371))</f>
        <v/>
      </c>
      <c r="U371" s="33" t="str">
        <f aca="true">IF($E371="","",IF($N371="Cancelada","Cancelada",IF($N371="Concluída",IF($R371=1,"No prazo","Concluída com atraso"),IF($J371="","Na carteira",IF($J371&lt;TODAY(),"VENCIDA",IF($J371=TODAY(),"Hoje","Programada"))))))</f>
        <v/>
      </c>
    </row>
    <row r="372" customFormat="false" ht="15.75" hidden="false" customHeight="true" outlineLevel="0" collapsed="false">
      <c r="A372" s="28" t="str">
        <f aca="false">IF($E372="","",COUNTA($E$4:$E372))</f>
        <v/>
      </c>
      <c r="B372" s="29"/>
      <c r="C372" s="29"/>
      <c r="D372" s="29"/>
      <c r="E372" s="29"/>
      <c r="F372" s="30"/>
      <c r="G372" s="29"/>
      <c r="H372" s="30"/>
      <c r="I372" s="29"/>
      <c r="J372" s="31"/>
      <c r="K372" s="31"/>
      <c r="L372" s="30"/>
      <c r="M372" s="29"/>
      <c r="N372" s="30"/>
      <c r="O372" s="31"/>
      <c r="P372" s="32" t="str">
        <f aca="false">IF($J372="","",$J372-WEEKDAY($J372,3))</f>
        <v/>
      </c>
      <c r="Q372" s="32" t="str">
        <f aca="false">IF($J372="","",IF($K372="",$J372,$K372))</f>
        <v/>
      </c>
      <c r="R372" s="28" t="str">
        <f aca="false">IF($E372="","",IF(OR($N372&lt;&gt;"Concluída",$O372="",$J372=""),0,IF($O372&lt;=$J372,1,0)))</f>
        <v/>
      </c>
      <c r="S372" s="28" t="str">
        <f aca="false">IF($E372="","",IF(OR($N372&lt;&gt;"Concluída",$O372="",$Q372=""),0,IF($O372&lt;=$Q372,1,0)))</f>
        <v/>
      </c>
      <c r="T372" s="28" t="str">
        <f aca="false">IF(OR($J372="",$N372&lt;&gt;"Concluída",$O372=""),"",MAX(0,$O372-$J372))</f>
        <v/>
      </c>
      <c r="U372" s="33" t="str">
        <f aca="true">IF($E372="","",IF($N372="Cancelada","Cancelada",IF($N372="Concluída",IF($R372=1,"No prazo","Concluída com atraso"),IF($J372="","Na carteira",IF($J372&lt;TODAY(),"VENCIDA",IF($J372=TODAY(),"Hoje","Programada"))))))</f>
        <v/>
      </c>
    </row>
    <row r="373" customFormat="false" ht="15.75" hidden="false" customHeight="true" outlineLevel="0" collapsed="false">
      <c r="A373" s="28" t="str">
        <f aca="false">IF($E373="","",COUNTA($E$4:$E373))</f>
        <v/>
      </c>
      <c r="B373" s="34"/>
      <c r="C373" s="34"/>
      <c r="D373" s="34"/>
      <c r="E373" s="34"/>
      <c r="F373" s="35"/>
      <c r="G373" s="34"/>
      <c r="H373" s="35"/>
      <c r="I373" s="34"/>
      <c r="J373" s="36"/>
      <c r="K373" s="36"/>
      <c r="L373" s="35"/>
      <c r="M373" s="34"/>
      <c r="N373" s="35"/>
      <c r="O373" s="36"/>
      <c r="P373" s="32" t="str">
        <f aca="false">IF($J373="","",$J373-WEEKDAY($J373,3))</f>
        <v/>
      </c>
      <c r="Q373" s="32" t="str">
        <f aca="false">IF($J373="","",IF($K373="",$J373,$K373))</f>
        <v/>
      </c>
      <c r="R373" s="28" t="str">
        <f aca="false">IF($E373="","",IF(OR($N373&lt;&gt;"Concluída",$O373="",$J373=""),0,IF($O373&lt;=$J373,1,0)))</f>
        <v/>
      </c>
      <c r="S373" s="28" t="str">
        <f aca="false">IF($E373="","",IF(OR($N373&lt;&gt;"Concluída",$O373="",$Q373=""),0,IF($O373&lt;=$Q373,1,0)))</f>
        <v/>
      </c>
      <c r="T373" s="28" t="str">
        <f aca="false">IF(OR($J373="",$N373&lt;&gt;"Concluída",$O373=""),"",MAX(0,$O373-$J373))</f>
        <v/>
      </c>
      <c r="U373" s="33" t="str">
        <f aca="true">IF($E373="","",IF($N373="Cancelada","Cancelada",IF($N373="Concluída",IF($R373=1,"No prazo","Concluída com atraso"),IF($J373="","Na carteira",IF($J373&lt;TODAY(),"VENCIDA",IF($J373=TODAY(),"Hoje","Programada"))))))</f>
        <v/>
      </c>
    </row>
    <row r="374" customFormat="false" ht="15.75" hidden="false" customHeight="true" outlineLevel="0" collapsed="false">
      <c r="A374" s="28" t="str">
        <f aca="false">IF($E374="","",COUNTA($E$4:$E374))</f>
        <v/>
      </c>
      <c r="B374" s="29"/>
      <c r="C374" s="29"/>
      <c r="D374" s="29"/>
      <c r="E374" s="29"/>
      <c r="F374" s="30"/>
      <c r="G374" s="29"/>
      <c r="H374" s="30"/>
      <c r="I374" s="29"/>
      <c r="J374" s="31"/>
      <c r="K374" s="31"/>
      <c r="L374" s="30"/>
      <c r="M374" s="29"/>
      <c r="N374" s="30"/>
      <c r="O374" s="31"/>
      <c r="P374" s="32" t="str">
        <f aca="false">IF($J374="","",$J374-WEEKDAY($J374,3))</f>
        <v/>
      </c>
      <c r="Q374" s="32" t="str">
        <f aca="false">IF($J374="","",IF($K374="",$J374,$K374))</f>
        <v/>
      </c>
      <c r="R374" s="28" t="str">
        <f aca="false">IF($E374="","",IF(OR($N374&lt;&gt;"Concluída",$O374="",$J374=""),0,IF($O374&lt;=$J374,1,0)))</f>
        <v/>
      </c>
      <c r="S374" s="28" t="str">
        <f aca="false">IF($E374="","",IF(OR($N374&lt;&gt;"Concluída",$O374="",$Q374=""),0,IF($O374&lt;=$Q374,1,0)))</f>
        <v/>
      </c>
      <c r="T374" s="28" t="str">
        <f aca="false">IF(OR($J374="",$N374&lt;&gt;"Concluída",$O374=""),"",MAX(0,$O374-$J374))</f>
        <v/>
      </c>
      <c r="U374" s="33" t="str">
        <f aca="true">IF($E374="","",IF($N374="Cancelada","Cancelada",IF($N374="Concluída",IF($R374=1,"No prazo","Concluída com atraso"),IF($J374="","Na carteira",IF($J374&lt;TODAY(),"VENCIDA",IF($J374=TODAY(),"Hoje","Programada"))))))</f>
        <v/>
      </c>
    </row>
    <row r="375" customFormat="false" ht="15.75" hidden="false" customHeight="true" outlineLevel="0" collapsed="false">
      <c r="A375" s="28" t="str">
        <f aca="false">IF($E375="","",COUNTA($E$4:$E375))</f>
        <v/>
      </c>
      <c r="B375" s="34"/>
      <c r="C375" s="34"/>
      <c r="D375" s="34"/>
      <c r="E375" s="34"/>
      <c r="F375" s="35"/>
      <c r="G375" s="34"/>
      <c r="H375" s="35"/>
      <c r="I375" s="34"/>
      <c r="J375" s="36"/>
      <c r="K375" s="36"/>
      <c r="L375" s="35"/>
      <c r="M375" s="34"/>
      <c r="N375" s="35"/>
      <c r="O375" s="36"/>
      <c r="P375" s="32" t="str">
        <f aca="false">IF($J375="","",$J375-WEEKDAY($J375,3))</f>
        <v/>
      </c>
      <c r="Q375" s="32" t="str">
        <f aca="false">IF($J375="","",IF($K375="",$J375,$K375))</f>
        <v/>
      </c>
      <c r="R375" s="28" t="str">
        <f aca="false">IF($E375="","",IF(OR($N375&lt;&gt;"Concluída",$O375="",$J375=""),0,IF($O375&lt;=$J375,1,0)))</f>
        <v/>
      </c>
      <c r="S375" s="28" t="str">
        <f aca="false">IF($E375="","",IF(OR($N375&lt;&gt;"Concluída",$O375="",$Q375=""),0,IF($O375&lt;=$Q375,1,0)))</f>
        <v/>
      </c>
      <c r="T375" s="28" t="str">
        <f aca="false">IF(OR($J375="",$N375&lt;&gt;"Concluída",$O375=""),"",MAX(0,$O375-$J375))</f>
        <v/>
      </c>
      <c r="U375" s="33" t="str">
        <f aca="true">IF($E375="","",IF($N375="Cancelada","Cancelada",IF($N375="Concluída",IF($R375=1,"No prazo","Concluída com atraso"),IF($J375="","Na carteira",IF($J375&lt;TODAY(),"VENCIDA",IF($J375=TODAY(),"Hoje","Programada"))))))</f>
        <v/>
      </c>
    </row>
    <row r="376" customFormat="false" ht="15.75" hidden="false" customHeight="true" outlineLevel="0" collapsed="false">
      <c r="A376" s="28" t="str">
        <f aca="false">IF($E376="","",COUNTA($E$4:$E376))</f>
        <v/>
      </c>
      <c r="B376" s="29"/>
      <c r="C376" s="29"/>
      <c r="D376" s="29"/>
      <c r="E376" s="29"/>
      <c r="F376" s="30"/>
      <c r="G376" s="29"/>
      <c r="H376" s="30"/>
      <c r="I376" s="29"/>
      <c r="J376" s="31"/>
      <c r="K376" s="31"/>
      <c r="L376" s="30"/>
      <c r="M376" s="29"/>
      <c r="N376" s="30"/>
      <c r="O376" s="31"/>
      <c r="P376" s="32" t="str">
        <f aca="false">IF($J376="","",$J376-WEEKDAY($J376,3))</f>
        <v/>
      </c>
      <c r="Q376" s="32" t="str">
        <f aca="false">IF($J376="","",IF($K376="",$J376,$K376))</f>
        <v/>
      </c>
      <c r="R376" s="28" t="str">
        <f aca="false">IF($E376="","",IF(OR($N376&lt;&gt;"Concluída",$O376="",$J376=""),0,IF($O376&lt;=$J376,1,0)))</f>
        <v/>
      </c>
      <c r="S376" s="28" t="str">
        <f aca="false">IF($E376="","",IF(OR($N376&lt;&gt;"Concluída",$O376="",$Q376=""),0,IF($O376&lt;=$Q376,1,0)))</f>
        <v/>
      </c>
      <c r="T376" s="28" t="str">
        <f aca="false">IF(OR($J376="",$N376&lt;&gt;"Concluída",$O376=""),"",MAX(0,$O376-$J376))</f>
        <v/>
      </c>
      <c r="U376" s="33" t="str">
        <f aca="true">IF($E376="","",IF($N376="Cancelada","Cancelada",IF($N376="Concluída",IF($R376=1,"No prazo","Concluída com atraso"),IF($J376="","Na carteira",IF($J376&lt;TODAY(),"VENCIDA",IF($J376=TODAY(),"Hoje","Programada"))))))</f>
        <v/>
      </c>
    </row>
    <row r="377" customFormat="false" ht="15.75" hidden="false" customHeight="true" outlineLevel="0" collapsed="false">
      <c r="A377" s="28" t="str">
        <f aca="false">IF($E377="","",COUNTA($E$4:$E377))</f>
        <v/>
      </c>
      <c r="B377" s="34"/>
      <c r="C377" s="34"/>
      <c r="D377" s="34"/>
      <c r="E377" s="34"/>
      <c r="F377" s="35"/>
      <c r="G377" s="34"/>
      <c r="H377" s="35"/>
      <c r="I377" s="34"/>
      <c r="J377" s="36"/>
      <c r="K377" s="36"/>
      <c r="L377" s="35"/>
      <c r="M377" s="34"/>
      <c r="N377" s="35"/>
      <c r="O377" s="36"/>
      <c r="P377" s="32" t="str">
        <f aca="false">IF($J377="","",$J377-WEEKDAY($J377,3))</f>
        <v/>
      </c>
      <c r="Q377" s="32" t="str">
        <f aca="false">IF($J377="","",IF($K377="",$J377,$K377))</f>
        <v/>
      </c>
      <c r="R377" s="28" t="str">
        <f aca="false">IF($E377="","",IF(OR($N377&lt;&gt;"Concluída",$O377="",$J377=""),0,IF($O377&lt;=$J377,1,0)))</f>
        <v/>
      </c>
      <c r="S377" s="28" t="str">
        <f aca="false">IF($E377="","",IF(OR($N377&lt;&gt;"Concluída",$O377="",$Q377=""),0,IF($O377&lt;=$Q377,1,0)))</f>
        <v/>
      </c>
      <c r="T377" s="28" t="str">
        <f aca="false">IF(OR($J377="",$N377&lt;&gt;"Concluída",$O377=""),"",MAX(0,$O377-$J377))</f>
        <v/>
      </c>
      <c r="U377" s="33" t="str">
        <f aca="true">IF($E377="","",IF($N377="Cancelada","Cancelada",IF($N377="Concluída",IF($R377=1,"No prazo","Concluída com atraso"),IF($J377="","Na carteira",IF($J377&lt;TODAY(),"VENCIDA",IF($J377=TODAY(),"Hoje","Programada"))))))</f>
        <v/>
      </c>
    </row>
    <row r="378" customFormat="false" ht="15.75" hidden="false" customHeight="true" outlineLevel="0" collapsed="false">
      <c r="A378" s="28" t="str">
        <f aca="false">IF($E378="","",COUNTA($E$4:$E378))</f>
        <v/>
      </c>
      <c r="B378" s="29"/>
      <c r="C378" s="29"/>
      <c r="D378" s="29"/>
      <c r="E378" s="29"/>
      <c r="F378" s="30"/>
      <c r="G378" s="29"/>
      <c r="H378" s="30"/>
      <c r="I378" s="29"/>
      <c r="J378" s="31"/>
      <c r="K378" s="31"/>
      <c r="L378" s="30"/>
      <c r="M378" s="29"/>
      <c r="N378" s="30"/>
      <c r="O378" s="31"/>
      <c r="P378" s="32" t="str">
        <f aca="false">IF($J378="","",$J378-WEEKDAY($J378,3))</f>
        <v/>
      </c>
      <c r="Q378" s="32" t="str">
        <f aca="false">IF($J378="","",IF($K378="",$J378,$K378))</f>
        <v/>
      </c>
      <c r="R378" s="28" t="str">
        <f aca="false">IF($E378="","",IF(OR($N378&lt;&gt;"Concluída",$O378="",$J378=""),0,IF($O378&lt;=$J378,1,0)))</f>
        <v/>
      </c>
      <c r="S378" s="28" t="str">
        <f aca="false">IF($E378="","",IF(OR($N378&lt;&gt;"Concluída",$O378="",$Q378=""),0,IF($O378&lt;=$Q378,1,0)))</f>
        <v/>
      </c>
      <c r="T378" s="28" t="str">
        <f aca="false">IF(OR($J378="",$N378&lt;&gt;"Concluída",$O378=""),"",MAX(0,$O378-$J378))</f>
        <v/>
      </c>
      <c r="U378" s="33" t="str">
        <f aca="true">IF($E378="","",IF($N378="Cancelada","Cancelada",IF($N378="Concluída",IF($R378=1,"No prazo","Concluída com atraso"),IF($J378="","Na carteira",IF($J378&lt;TODAY(),"VENCIDA",IF($J378=TODAY(),"Hoje","Programada"))))))</f>
        <v/>
      </c>
    </row>
    <row r="379" customFormat="false" ht="15.75" hidden="false" customHeight="true" outlineLevel="0" collapsed="false">
      <c r="A379" s="28" t="str">
        <f aca="false">IF($E379="","",COUNTA($E$4:$E379))</f>
        <v/>
      </c>
      <c r="B379" s="34"/>
      <c r="C379" s="34"/>
      <c r="D379" s="34"/>
      <c r="E379" s="34"/>
      <c r="F379" s="35"/>
      <c r="G379" s="34"/>
      <c r="H379" s="35"/>
      <c r="I379" s="34"/>
      <c r="J379" s="36"/>
      <c r="K379" s="36"/>
      <c r="L379" s="35"/>
      <c r="M379" s="34"/>
      <c r="N379" s="35"/>
      <c r="O379" s="36"/>
      <c r="P379" s="32" t="str">
        <f aca="false">IF($J379="","",$J379-WEEKDAY($J379,3))</f>
        <v/>
      </c>
      <c r="Q379" s="32" t="str">
        <f aca="false">IF($J379="","",IF($K379="",$J379,$K379))</f>
        <v/>
      </c>
      <c r="R379" s="28" t="str">
        <f aca="false">IF($E379="","",IF(OR($N379&lt;&gt;"Concluída",$O379="",$J379=""),0,IF($O379&lt;=$J379,1,0)))</f>
        <v/>
      </c>
      <c r="S379" s="28" t="str">
        <f aca="false">IF($E379="","",IF(OR($N379&lt;&gt;"Concluída",$O379="",$Q379=""),0,IF($O379&lt;=$Q379,1,0)))</f>
        <v/>
      </c>
      <c r="T379" s="28" t="str">
        <f aca="false">IF(OR($J379="",$N379&lt;&gt;"Concluída",$O379=""),"",MAX(0,$O379-$J379))</f>
        <v/>
      </c>
      <c r="U379" s="33" t="str">
        <f aca="true">IF($E379="","",IF($N379="Cancelada","Cancelada",IF($N379="Concluída",IF($R379=1,"No prazo","Concluída com atraso"),IF($J379="","Na carteira",IF($J379&lt;TODAY(),"VENCIDA",IF($J379=TODAY(),"Hoje","Programada"))))))</f>
        <v/>
      </c>
    </row>
    <row r="380" customFormat="false" ht="15.75" hidden="false" customHeight="true" outlineLevel="0" collapsed="false">
      <c r="A380" s="28" t="str">
        <f aca="false">IF($E380="","",COUNTA($E$4:$E380))</f>
        <v/>
      </c>
      <c r="B380" s="29"/>
      <c r="C380" s="29"/>
      <c r="D380" s="29"/>
      <c r="E380" s="29"/>
      <c r="F380" s="30"/>
      <c r="G380" s="29"/>
      <c r="H380" s="30"/>
      <c r="I380" s="29"/>
      <c r="J380" s="31"/>
      <c r="K380" s="31"/>
      <c r="L380" s="30"/>
      <c r="M380" s="29"/>
      <c r="N380" s="30"/>
      <c r="O380" s="31"/>
      <c r="P380" s="32" t="str">
        <f aca="false">IF($J380="","",$J380-WEEKDAY($J380,3))</f>
        <v/>
      </c>
      <c r="Q380" s="32" t="str">
        <f aca="false">IF($J380="","",IF($K380="",$J380,$K380))</f>
        <v/>
      </c>
      <c r="R380" s="28" t="str">
        <f aca="false">IF($E380="","",IF(OR($N380&lt;&gt;"Concluída",$O380="",$J380=""),0,IF($O380&lt;=$J380,1,0)))</f>
        <v/>
      </c>
      <c r="S380" s="28" t="str">
        <f aca="false">IF($E380="","",IF(OR($N380&lt;&gt;"Concluída",$O380="",$Q380=""),0,IF($O380&lt;=$Q380,1,0)))</f>
        <v/>
      </c>
      <c r="T380" s="28" t="str">
        <f aca="false">IF(OR($J380="",$N380&lt;&gt;"Concluída",$O380=""),"",MAX(0,$O380-$J380))</f>
        <v/>
      </c>
      <c r="U380" s="33" t="str">
        <f aca="true">IF($E380="","",IF($N380="Cancelada","Cancelada",IF($N380="Concluída",IF($R380=1,"No prazo","Concluída com atraso"),IF($J380="","Na carteira",IF($J380&lt;TODAY(),"VENCIDA",IF($J380=TODAY(),"Hoje","Programada"))))))</f>
        <v/>
      </c>
    </row>
    <row r="381" customFormat="false" ht="15.75" hidden="false" customHeight="true" outlineLevel="0" collapsed="false">
      <c r="A381" s="28" t="str">
        <f aca="false">IF($E381="","",COUNTA($E$4:$E381))</f>
        <v/>
      </c>
      <c r="B381" s="34"/>
      <c r="C381" s="34"/>
      <c r="D381" s="34"/>
      <c r="E381" s="34"/>
      <c r="F381" s="35"/>
      <c r="G381" s="34"/>
      <c r="H381" s="35"/>
      <c r="I381" s="34"/>
      <c r="J381" s="36"/>
      <c r="K381" s="36"/>
      <c r="L381" s="35"/>
      <c r="M381" s="34"/>
      <c r="N381" s="35"/>
      <c r="O381" s="36"/>
      <c r="P381" s="32" t="str">
        <f aca="false">IF($J381="","",$J381-WEEKDAY($J381,3))</f>
        <v/>
      </c>
      <c r="Q381" s="32" t="str">
        <f aca="false">IF($J381="","",IF($K381="",$J381,$K381))</f>
        <v/>
      </c>
      <c r="R381" s="28" t="str">
        <f aca="false">IF($E381="","",IF(OR($N381&lt;&gt;"Concluída",$O381="",$J381=""),0,IF($O381&lt;=$J381,1,0)))</f>
        <v/>
      </c>
      <c r="S381" s="28" t="str">
        <f aca="false">IF($E381="","",IF(OR($N381&lt;&gt;"Concluída",$O381="",$Q381=""),0,IF($O381&lt;=$Q381,1,0)))</f>
        <v/>
      </c>
      <c r="T381" s="28" t="str">
        <f aca="false">IF(OR($J381="",$N381&lt;&gt;"Concluída",$O381=""),"",MAX(0,$O381-$J381))</f>
        <v/>
      </c>
      <c r="U381" s="33" t="str">
        <f aca="true">IF($E381="","",IF($N381="Cancelada","Cancelada",IF($N381="Concluída",IF($R381=1,"No prazo","Concluída com atraso"),IF($J381="","Na carteira",IF($J381&lt;TODAY(),"VENCIDA",IF($J381=TODAY(),"Hoje","Programada"))))))</f>
        <v/>
      </c>
    </row>
    <row r="382" customFormat="false" ht="15.75" hidden="false" customHeight="true" outlineLevel="0" collapsed="false">
      <c r="A382" s="28" t="str">
        <f aca="false">IF($E382="","",COUNTA($E$4:$E382))</f>
        <v/>
      </c>
      <c r="B382" s="29"/>
      <c r="C382" s="29"/>
      <c r="D382" s="29"/>
      <c r="E382" s="29"/>
      <c r="F382" s="30"/>
      <c r="G382" s="29"/>
      <c r="H382" s="30"/>
      <c r="I382" s="29"/>
      <c r="J382" s="31"/>
      <c r="K382" s="31"/>
      <c r="L382" s="30"/>
      <c r="M382" s="29"/>
      <c r="N382" s="30"/>
      <c r="O382" s="31"/>
      <c r="P382" s="32" t="str">
        <f aca="false">IF($J382="","",$J382-WEEKDAY($J382,3))</f>
        <v/>
      </c>
      <c r="Q382" s="32" t="str">
        <f aca="false">IF($J382="","",IF($K382="",$J382,$K382))</f>
        <v/>
      </c>
      <c r="R382" s="28" t="str">
        <f aca="false">IF($E382="","",IF(OR($N382&lt;&gt;"Concluída",$O382="",$J382=""),0,IF($O382&lt;=$J382,1,0)))</f>
        <v/>
      </c>
      <c r="S382" s="28" t="str">
        <f aca="false">IF($E382="","",IF(OR($N382&lt;&gt;"Concluída",$O382="",$Q382=""),0,IF($O382&lt;=$Q382,1,0)))</f>
        <v/>
      </c>
      <c r="T382" s="28" t="str">
        <f aca="false">IF(OR($J382="",$N382&lt;&gt;"Concluída",$O382=""),"",MAX(0,$O382-$J382))</f>
        <v/>
      </c>
      <c r="U382" s="33" t="str">
        <f aca="true">IF($E382="","",IF($N382="Cancelada","Cancelada",IF($N382="Concluída",IF($R382=1,"No prazo","Concluída com atraso"),IF($J382="","Na carteira",IF($J382&lt;TODAY(),"VENCIDA",IF($J382=TODAY(),"Hoje","Programada"))))))</f>
        <v/>
      </c>
    </row>
    <row r="383" customFormat="false" ht="15.75" hidden="false" customHeight="true" outlineLevel="0" collapsed="false">
      <c r="A383" s="28" t="str">
        <f aca="false">IF($E383="","",COUNTA($E$4:$E383))</f>
        <v/>
      </c>
      <c r="B383" s="34"/>
      <c r="C383" s="34"/>
      <c r="D383" s="34"/>
      <c r="E383" s="34"/>
      <c r="F383" s="35"/>
      <c r="G383" s="34"/>
      <c r="H383" s="35"/>
      <c r="I383" s="34"/>
      <c r="J383" s="36"/>
      <c r="K383" s="36"/>
      <c r="L383" s="35"/>
      <c r="M383" s="34"/>
      <c r="N383" s="35"/>
      <c r="O383" s="36"/>
      <c r="P383" s="32" t="str">
        <f aca="false">IF($J383="","",$J383-WEEKDAY($J383,3))</f>
        <v/>
      </c>
      <c r="Q383" s="32" t="str">
        <f aca="false">IF($J383="","",IF($K383="",$J383,$K383))</f>
        <v/>
      </c>
      <c r="R383" s="28" t="str">
        <f aca="false">IF($E383="","",IF(OR($N383&lt;&gt;"Concluída",$O383="",$J383=""),0,IF($O383&lt;=$J383,1,0)))</f>
        <v/>
      </c>
      <c r="S383" s="28" t="str">
        <f aca="false">IF($E383="","",IF(OR($N383&lt;&gt;"Concluída",$O383="",$Q383=""),0,IF($O383&lt;=$Q383,1,0)))</f>
        <v/>
      </c>
      <c r="T383" s="28" t="str">
        <f aca="false">IF(OR($J383="",$N383&lt;&gt;"Concluída",$O383=""),"",MAX(0,$O383-$J383))</f>
        <v/>
      </c>
      <c r="U383" s="33" t="str">
        <f aca="true">IF($E383="","",IF($N383="Cancelada","Cancelada",IF($N383="Concluída",IF($R383=1,"No prazo","Concluída com atraso"),IF($J383="","Na carteira",IF($J383&lt;TODAY(),"VENCIDA",IF($J383=TODAY(),"Hoje","Programada"))))))</f>
        <v/>
      </c>
    </row>
    <row r="384" customFormat="false" ht="15.75" hidden="false" customHeight="true" outlineLevel="0" collapsed="false">
      <c r="A384" s="28" t="str">
        <f aca="false">IF($E384="","",COUNTA($E$4:$E384))</f>
        <v/>
      </c>
      <c r="B384" s="29"/>
      <c r="C384" s="29"/>
      <c r="D384" s="29"/>
      <c r="E384" s="29"/>
      <c r="F384" s="30"/>
      <c r="G384" s="29"/>
      <c r="H384" s="30"/>
      <c r="I384" s="29"/>
      <c r="J384" s="31"/>
      <c r="K384" s="31"/>
      <c r="L384" s="30"/>
      <c r="M384" s="29"/>
      <c r="N384" s="30"/>
      <c r="O384" s="31"/>
      <c r="P384" s="32" t="str">
        <f aca="false">IF($J384="","",$J384-WEEKDAY($J384,3))</f>
        <v/>
      </c>
      <c r="Q384" s="32" t="str">
        <f aca="false">IF($J384="","",IF($K384="",$J384,$K384))</f>
        <v/>
      </c>
      <c r="R384" s="28" t="str">
        <f aca="false">IF($E384="","",IF(OR($N384&lt;&gt;"Concluída",$O384="",$J384=""),0,IF($O384&lt;=$J384,1,0)))</f>
        <v/>
      </c>
      <c r="S384" s="28" t="str">
        <f aca="false">IF($E384="","",IF(OR($N384&lt;&gt;"Concluída",$O384="",$Q384=""),0,IF($O384&lt;=$Q384,1,0)))</f>
        <v/>
      </c>
      <c r="T384" s="28" t="str">
        <f aca="false">IF(OR($J384="",$N384&lt;&gt;"Concluída",$O384=""),"",MAX(0,$O384-$J384))</f>
        <v/>
      </c>
      <c r="U384" s="33" t="str">
        <f aca="true">IF($E384="","",IF($N384="Cancelada","Cancelada",IF($N384="Concluída",IF($R384=1,"No prazo","Concluída com atraso"),IF($J384="","Na carteira",IF($J384&lt;TODAY(),"VENCIDA",IF($J384=TODAY(),"Hoje","Programada"))))))</f>
        <v/>
      </c>
    </row>
    <row r="385" customFormat="false" ht="15.75" hidden="false" customHeight="true" outlineLevel="0" collapsed="false">
      <c r="A385" s="28" t="str">
        <f aca="false">IF($E385="","",COUNTA($E$4:$E385))</f>
        <v/>
      </c>
      <c r="B385" s="34"/>
      <c r="C385" s="34"/>
      <c r="D385" s="34"/>
      <c r="E385" s="34"/>
      <c r="F385" s="35"/>
      <c r="G385" s="34"/>
      <c r="H385" s="35"/>
      <c r="I385" s="34"/>
      <c r="J385" s="36"/>
      <c r="K385" s="36"/>
      <c r="L385" s="35"/>
      <c r="M385" s="34"/>
      <c r="N385" s="35"/>
      <c r="O385" s="36"/>
      <c r="P385" s="32" t="str">
        <f aca="false">IF($J385="","",$J385-WEEKDAY($J385,3))</f>
        <v/>
      </c>
      <c r="Q385" s="32" t="str">
        <f aca="false">IF($J385="","",IF($K385="",$J385,$K385))</f>
        <v/>
      </c>
      <c r="R385" s="28" t="str">
        <f aca="false">IF($E385="","",IF(OR($N385&lt;&gt;"Concluída",$O385="",$J385=""),0,IF($O385&lt;=$J385,1,0)))</f>
        <v/>
      </c>
      <c r="S385" s="28" t="str">
        <f aca="false">IF($E385="","",IF(OR($N385&lt;&gt;"Concluída",$O385="",$Q385=""),0,IF($O385&lt;=$Q385,1,0)))</f>
        <v/>
      </c>
      <c r="T385" s="28" t="str">
        <f aca="false">IF(OR($J385="",$N385&lt;&gt;"Concluída",$O385=""),"",MAX(0,$O385-$J385))</f>
        <v/>
      </c>
      <c r="U385" s="33" t="str">
        <f aca="true">IF($E385="","",IF($N385="Cancelada","Cancelada",IF($N385="Concluída",IF($R385=1,"No prazo","Concluída com atraso"),IF($J385="","Na carteira",IF($J385&lt;TODAY(),"VENCIDA",IF($J385=TODAY(),"Hoje","Programada"))))))</f>
        <v/>
      </c>
    </row>
    <row r="386" customFormat="false" ht="15.75" hidden="false" customHeight="true" outlineLevel="0" collapsed="false">
      <c r="A386" s="28" t="str">
        <f aca="false">IF($E386="","",COUNTA($E$4:$E386))</f>
        <v/>
      </c>
      <c r="B386" s="29"/>
      <c r="C386" s="29"/>
      <c r="D386" s="29"/>
      <c r="E386" s="29"/>
      <c r="F386" s="30"/>
      <c r="G386" s="29"/>
      <c r="H386" s="30"/>
      <c r="I386" s="29"/>
      <c r="J386" s="31"/>
      <c r="K386" s="31"/>
      <c r="L386" s="30"/>
      <c r="M386" s="29"/>
      <c r="N386" s="30"/>
      <c r="O386" s="31"/>
      <c r="P386" s="32" t="str">
        <f aca="false">IF($J386="","",$J386-WEEKDAY($J386,3))</f>
        <v/>
      </c>
      <c r="Q386" s="32" t="str">
        <f aca="false">IF($J386="","",IF($K386="",$J386,$K386))</f>
        <v/>
      </c>
      <c r="R386" s="28" t="str">
        <f aca="false">IF($E386="","",IF(OR($N386&lt;&gt;"Concluída",$O386="",$J386=""),0,IF($O386&lt;=$J386,1,0)))</f>
        <v/>
      </c>
      <c r="S386" s="28" t="str">
        <f aca="false">IF($E386="","",IF(OR($N386&lt;&gt;"Concluída",$O386="",$Q386=""),0,IF($O386&lt;=$Q386,1,0)))</f>
        <v/>
      </c>
      <c r="T386" s="28" t="str">
        <f aca="false">IF(OR($J386="",$N386&lt;&gt;"Concluída",$O386=""),"",MAX(0,$O386-$J386))</f>
        <v/>
      </c>
      <c r="U386" s="33" t="str">
        <f aca="true">IF($E386="","",IF($N386="Cancelada","Cancelada",IF($N386="Concluída",IF($R386=1,"No prazo","Concluída com atraso"),IF($J386="","Na carteira",IF($J386&lt;TODAY(),"VENCIDA",IF($J386=TODAY(),"Hoje","Programada"))))))</f>
        <v/>
      </c>
    </row>
    <row r="387" customFormat="false" ht="15.75" hidden="false" customHeight="true" outlineLevel="0" collapsed="false">
      <c r="A387" s="28" t="str">
        <f aca="false">IF($E387="","",COUNTA($E$4:$E387))</f>
        <v/>
      </c>
      <c r="B387" s="34"/>
      <c r="C387" s="34"/>
      <c r="D387" s="34"/>
      <c r="E387" s="34"/>
      <c r="F387" s="35"/>
      <c r="G387" s="34"/>
      <c r="H387" s="35"/>
      <c r="I387" s="34"/>
      <c r="J387" s="36"/>
      <c r="K387" s="36"/>
      <c r="L387" s="35"/>
      <c r="M387" s="34"/>
      <c r="N387" s="35"/>
      <c r="O387" s="36"/>
      <c r="P387" s="32" t="str">
        <f aca="false">IF($J387="","",$J387-WEEKDAY($J387,3))</f>
        <v/>
      </c>
      <c r="Q387" s="32" t="str">
        <f aca="false">IF($J387="","",IF($K387="",$J387,$K387))</f>
        <v/>
      </c>
      <c r="R387" s="28" t="str">
        <f aca="false">IF($E387="","",IF(OR($N387&lt;&gt;"Concluída",$O387="",$J387=""),0,IF($O387&lt;=$J387,1,0)))</f>
        <v/>
      </c>
      <c r="S387" s="28" t="str">
        <f aca="false">IF($E387="","",IF(OR($N387&lt;&gt;"Concluída",$O387="",$Q387=""),0,IF($O387&lt;=$Q387,1,0)))</f>
        <v/>
      </c>
      <c r="T387" s="28" t="str">
        <f aca="false">IF(OR($J387="",$N387&lt;&gt;"Concluída",$O387=""),"",MAX(0,$O387-$J387))</f>
        <v/>
      </c>
      <c r="U387" s="33" t="str">
        <f aca="true">IF($E387="","",IF($N387="Cancelada","Cancelada",IF($N387="Concluída",IF($R387=1,"No prazo","Concluída com atraso"),IF($J387="","Na carteira",IF($J387&lt;TODAY(),"VENCIDA",IF($J387=TODAY(),"Hoje","Programada"))))))</f>
        <v/>
      </c>
    </row>
    <row r="388" customFormat="false" ht="15.75" hidden="false" customHeight="true" outlineLevel="0" collapsed="false">
      <c r="A388" s="28" t="str">
        <f aca="false">IF($E388="","",COUNTA($E$4:$E388))</f>
        <v/>
      </c>
      <c r="B388" s="29"/>
      <c r="C388" s="29"/>
      <c r="D388" s="29"/>
      <c r="E388" s="29"/>
      <c r="F388" s="30"/>
      <c r="G388" s="29"/>
      <c r="H388" s="30"/>
      <c r="I388" s="29"/>
      <c r="J388" s="31"/>
      <c r="K388" s="31"/>
      <c r="L388" s="30"/>
      <c r="M388" s="29"/>
      <c r="N388" s="30"/>
      <c r="O388" s="31"/>
      <c r="P388" s="32" t="str">
        <f aca="false">IF($J388="","",$J388-WEEKDAY($J388,3))</f>
        <v/>
      </c>
      <c r="Q388" s="32" t="str">
        <f aca="false">IF($J388="","",IF($K388="",$J388,$K388))</f>
        <v/>
      </c>
      <c r="R388" s="28" t="str">
        <f aca="false">IF($E388="","",IF(OR($N388&lt;&gt;"Concluída",$O388="",$J388=""),0,IF($O388&lt;=$J388,1,0)))</f>
        <v/>
      </c>
      <c r="S388" s="28" t="str">
        <f aca="false">IF($E388="","",IF(OR($N388&lt;&gt;"Concluída",$O388="",$Q388=""),0,IF($O388&lt;=$Q388,1,0)))</f>
        <v/>
      </c>
      <c r="T388" s="28" t="str">
        <f aca="false">IF(OR($J388="",$N388&lt;&gt;"Concluída",$O388=""),"",MAX(0,$O388-$J388))</f>
        <v/>
      </c>
      <c r="U388" s="33" t="str">
        <f aca="true">IF($E388="","",IF($N388="Cancelada","Cancelada",IF($N388="Concluída",IF($R388=1,"No prazo","Concluída com atraso"),IF($J388="","Na carteira",IF($J388&lt;TODAY(),"VENCIDA",IF($J388=TODAY(),"Hoje","Programada"))))))</f>
        <v/>
      </c>
    </row>
    <row r="389" customFormat="false" ht="15.75" hidden="false" customHeight="true" outlineLevel="0" collapsed="false">
      <c r="A389" s="28" t="str">
        <f aca="false">IF($E389="","",COUNTA($E$4:$E389))</f>
        <v/>
      </c>
      <c r="B389" s="34"/>
      <c r="C389" s="34"/>
      <c r="D389" s="34"/>
      <c r="E389" s="34"/>
      <c r="F389" s="35"/>
      <c r="G389" s="34"/>
      <c r="H389" s="35"/>
      <c r="I389" s="34"/>
      <c r="J389" s="36"/>
      <c r="K389" s="36"/>
      <c r="L389" s="35"/>
      <c r="M389" s="34"/>
      <c r="N389" s="35"/>
      <c r="O389" s="36"/>
      <c r="P389" s="32" t="str">
        <f aca="false">IF($J389="","",$J389-WEEKDAY($J389,3))</f>
        <v/>
      </c>
      <c r="Q389" s="32" t="str">
        <f aca="false">IF($J389="","",IF($K389="",$J389,$K389))</f>
        <v/>
      </c>
      <c r="R389" s="28" t="str">
        <f aca="false">IF($E389="","",IF(OR($N389&lt;&gt;"Concluída",$O389="",$J389=""),0,IF($O389&lt;=$J389,1,0)))</f>
        <v/>
      </c>
      <c r="S389" s="28" t="str">
        <f aca="false">IF($E389="","",IF(OR($N389&lt;&gt;"Concluída",$O389="",$Q389=""),0,IF($O389&lt;=$Q389,1,0)))</f>
        <v/>
      </c>
      <c r="T389" s="28" t="str">
        <f aca="false">IF(OR($J389="",$N389&lt;&gt;"Concluída",$O389=""),"",MAX(0,$O389-$J389))</f>
        <v/>
      </c>
      <c r="U389" s="33" t="str">
        <f aca="true">IF($E389="","",IF($N389="Cancelada","Cancelada",IF($N389="Concluída",IF($R389=1,"No prazo","Concluída com atraso"),IF($J389="","Na carteira",IF($J389&lt;TODAY(),"VENCIDA",IF($J389=TODAY(),"Hoje","Programada"))))))</f>
        <v/>
      </c>
    </row>
    <row r="390" customFormat="false" ht="15.75" hidden="false" customHeight="true" outlineLevel="0" collapsed="false">
      <c r="A390" s="28" t="str">
        <f aca="false">IF($E390="","",COUNTA($E$4:$E390))</f>
        <v/>
      </c>
      <c r="B390" s="29"/>
      <c r="C390" s="29"/>
      <c r="D390" s="29"/>
      <c r="E390" s="29"/>
      <c r="F390" s="30"/>
      <c r="G390" s="29"/>
      <c r="H390" s="30"/>
      <c r="I390" s="29"/>
      <c r="J390" s="31"/>
      <c r="K390" s="31"/>
      <c r="L390" s="30"/>
      <c r="M390" s="29"/>
      <c r="N390" s="30"/>
      <c r="O390" s="31"/>
      <c r="P390" s="32" t="str">
        <f aca="false">IF($J390="","",$J390-WEEKDAY($J390,3))</f>
        <v/>
      </c>
      <c r="Q390" s="32" t="str">
        <f aca="false">IF($J390="","",IF($K390="",$J390,$K390))</f>
        <v/>
      </c>
      <c r="R390" s="28" t="str">
        <f aca="false">IF($E390="","",IF(OR($N390&lt;&gt;"Concluída",$O390="",$J390=""),0,IF($O390&lt;=$J390,1,0)))</f>
        <v/>
      </c>
      <c r="S390" s="28" t="str">
        <f aca="false">IF($E390="","",IF(OR($N390&lt;&gt;"Concluída",$O390="",$Q390=""),0,IF($O390&lt;=$Q390,1,0)))</f>
        <v/>
      </c>
      <c r="T390" s="28" t="str">
        <f aca="false">IF(OR($J390="",$N390&lt;&gt;"Concluída",$O390=""),"",MAX(0,$O390-$J390))</f>
        <v/>
      </c>
      <c r="U390" s="33" t="str">
        <f aca="true">IF($E390="","",IF($N390="Cancelada","Cancelada",IF($N390="Concluída",IF($R390=1,"No prazo","Concluída com atraso"),IF($J390="","Na carteira",IF($J390&lt;TODAY(),"VENCIDA",IF($J390=TODAY(),"Hoje","Programada"))))))</f>
        <v/>
      </c>
    </row>
    <row r="391" customFormat="false" ht="15.75" hidden="false" customHeight="true" outlineLevel="0" collapsed="false">
      <c r="A391" s="28" t="str">
        <f aca="false">IF($E391="","",COUNTA($E$4:$E391))</f>
        <v/>
      </c>
      <c r="B391" s="34"/>
      <c r="C391" s="34"/>
      <c r="D391" s="34"/>
      <c r="E391" s="34"/>
      <c r="F391" s="35"/>
      <c r="G391" s="34"/>
      <c r="H391" s="35"/>
      <c r="I391" s="34"/>
      <c r="J391" s="36"/>
      <c r="K391" s="36"/>
      <c r="L391" s="35"/>
      <c r="M391" s="34"/>
      <c r="N391" s="35"/>
      <c r="O391" s="36"/>
      <c r="P391" s="32" t="str">
        <f aca="false">IF($J391="","",$J391-WEEKDAY($J391,3))</f>
        <v/>
      </c>
      <c r="Q391" s="32" t="str">
        <f aca="false">IF($J391="","",IF($K391="",$J391,$K391))</f>
        <v/>
      </c>
      <c r="R391" s="28" t="str">
        <f aca="false">IF($E391="","",IF(OR($N391&lt;&gt;"Concluída",$O391="",$J391=""),0,IF($O391&lt;=$J391,1,0)))</f>
        <v/>
      </c>
      <c r="S391" s="28" t="str">
        <f aca="false">IF($E391="","",IF(OR($N391&lt;&gt;"Concluída",$O391="",$Q391=""),0,IF($O391&lt;=$Q391,1,0)))</f>
        <v/>
      </c>
      <c r="T391" s="28" t="str">
        <f aca="false">IF(OR($J391="",$N391&lt;&gt;"Concluída",$O391=""),"",MAX(0,$O391-$J391))</f>
        <v/>
      </c>
      <c r="U391" s="33" t="str">
        <f aca="true">IF($E391="","",IF($N391="Cancelada","Cancelada",IF($N391="Concluída",IF($R391=1,"No prazo","Concluída com atraso"),IF($J391="","Na carteira",IF($J391&lt;TODAY(),"VENCIDA",IF($J391=TODAY(),"Hoje","Programada"))))))</f>
        <v/>
      </c>
    </row>
    <row r="392" customFormat="false" ht="15.75" hidden="false" customHeight="true" outlineLevel="0" collapsed="false">
      <c r="A392" s="28" t="str">
        <f aca="false">IF($E392="","",COUNTA($E$4:$E392))</f>
        <v/>
      </c>
      <c r="B392" s="29"/>
      <c r="C392" s="29"/>
      <c r="D392" s="29"/>
      <c r="E392" s="29"/>
      <c r="F392" s="30"/>
      <c r="G392" s="29"/>
      <c r="H392" s="30"/>
      <c r="I392" s="29"/>
      <c r="J392" s="31"/>
      <c r="K392" s="31"/>
      <c r="L392" s="30"/>
      <c r="M392" s="29"/>
      <c r="N392" s="30"/>
      <c r="O392" s="31"/>
      <c r="P392" s="32" t="str">
        <f aca="false">IF($J392="","",$J392-WEEKDAY($J392,3))</f>
        <v/>
      </c>
      <c r="Q392" s="32" t="str">
        <f aca="false">IF($J392="","",IF($K392="",$J392,$K392))</f>
        <v/>
      </c>
      <c r="R392" s="28" t="str">
        <f aca="false">IF($E392="","",IF(OR($N392&lt;&gt;"Concluída",$O392="",$J392=""),0,IF($O392&lt;=$J392,1,0)))</f>
        <v/>
      </c>
      <c r="S392" s="28" t="str">
        <f aca="false">IF($E392="","",IF(OR($N392&lt;&gt;"Concluída",$O392="",$Q392=""),0,IF($O392&lt;=$Q392,1,0)))</f>
        <v/>
      </c>
      <c r="T392" s="28" t="str">
        <f aca="false">IF(OR($J392="",$N392&lt;&gt;"Concluída",$O392=""),"",MAX(0,$O392-$J392))</f>
        <v/>
      </c>
      <c r="U392" s="33" t="str">
        <f aca="true">IF($E392="","",IF($N392="Cancelada","Cancelada",IF($N392="Concluída",IF($R392=1,"No prazo","Concluída com atraso"),IF($J392="","Na carteira",IF($J392&lt;TODAY(),"VENCIDA",IF($J392=TODAY(),"Hoje","Programada"))))))</f>
        <v/>
      </c>
    </row>
    <row r="393" customFormat="false" ht="15.75" hidden="false" customHeight="true" outlineLevel="0" collapsed="false">
      <c r="A393" s="28" t="str">
        <f aca="false">IF($E393="","",COUNTA($E$4:$E393))</f>
        <v/>
      </c>
      <c r="B393" s="34"/>
      <c r="C393" s="34"/>
      <c r="D393" s="34"/>
      <c r="E393" s="34"/>
      <c r="F393" s="35"/>
      <c r="G393" s="34"/>
      <c r="H393" s="35"/>
      <c r="I393" s="34"/>
      <c r="J393" s="36"/>
      <c r="K393" s="36"/>
      <c r="L393" s="35"/>
      <c r="M393" s="34"/>
      <c r="N393" s="35"/>
      <c r="O393" s="36"/>
      <c r="P393" s="32" t="str">
        <f aca="false">IF($J393="","",$J393-WEEKDAY($J393,3))</f>
        <v/>
      </c>
      <c r="Q393" s="32" t="str">
        <f aca="false">IF($J393="","",IF($K393="",$J393,$K393))</f>
        <v/>
      </c>
      <c r="R393" s="28" t="str">
        <f aca="false">IF($E393="","",IF(OR($N393&lt;&gt;"Concluída",$O393="",$J393=""),0,IF($O393&lt;=$J393,1,0)))</f>
        <v/>
      </c>
      <c r="S393" s="28" t="str">
        <f aca="false">IF($E393="","",IF(OR($N393&lt;&gt;"Concluída",$O393="",$Q393=""),0,IF($O393&lt;=$Q393,1,0)))</f>
        <v/>
      </c>
      <c r="T393" s="28" t="str">
        <f aca="false">IF(OR($J393="",$N393&lt;&gt;"Concluída",$O393=""),"",MAX(0,$O393-$J393))</f>
        <v/>
      </c>
      <c r="U393" s="33" t="str">
        <f aca="true">IF($E393="","",IF($N393="Cancelada","Cancelada",IF($N393="Concluída",IF($R393=1,"No prazo","Concluída com atraso"),IF($J393="","Na carteira",IF($J393&lt;TODAY(),"VENCIDA",IF($J393=TODAY(),"Hoje","Programada"))))))</f>
        <v/>
      </c>
    </row>
    <row r="394" customFormat="false" ht="15.75" hidden="false" customHeight="true" outlineLevel="0" collapsed="false">
      <c r="A394" s="28" t="str">
        <f aca="false">IF($E394="","",COUNTA($E$4:$E394))</f>
        <v/>
      </c>
      <c r="B394" s="29"/>
      <c r="C394" s="29"/>
      <c r="D394" s="29"/>
      <c r="E394" s="29"/>
      <c r="F394" s="30"/>
      <c r="G394" s="29"/>
      <c r="H394" s="30"/>
      <c r="I394" s="29"/>
      <c r="J394" s="31"/>
      <c r="K394" s="31"/>
      <c r="L394" s="30"/>
      <c r="M394" s="29"/>
      <c r="N394" s="30"/>
      <c r="O394" s="31"/>
      <c r="P394" s="32" t="str">
        <f aca="false">IF($J394="","",$J394-WEEKDAY($J394,3))</f>
        <v/>
      </c>
      <c r="Q394" s="32" t="str">
        <f aca="false">IF($J394="","",IF($K394="",$J394,$K394))</f>
        <v/>
      </c>
      <c r="R394" s="28" t="str">
        <f aca="false">IF($E394="","",IF(OR($N394&lt;&gt;"Concluída",$O394="",$J394=""),0,IF($O394&lt;=$J394,1,0)))</f>
        <v/>
      </c>
      <c r="S394" s="28" t="str">
        <f aca="false">IF($E394="","",IF(OR($N394&lt;&gt;"Concluída",$O394="",$Q394=""),0,IF($O394&lt;=$Q394,1,0)))</f>
        <v/>
      </c>
      <c r="T394" s="28" t="str">
        <f aca="false">IF(OR($J394="",$N394&lt;&gt;"Concluída",$O394=""),"",MAX(0,$O394-$J394))</f>
        <v/>
      </c>
      <c r="U394" s="33" t="str">
        <f aca="true">IF($E394="","",IF($N394="Cancelada","Cancelada",IF($N394="Concluída",IF($R394=1,"No prazo","Concluída com atraso"),IF($J394="","Na carteira",IF($J394&lt;TODAY(),"VENCIDA",IF($J394=TODAY(),"Hoje","Programada"))))))</f>
        <v/>
      </c>
    </row>
    <row r="395" customFormat="false" ht="15.75" hidden="false" customHeight="true" outlineLevel="0" collapsed="false">
      <c r="A395" s="28" t="str">
        <f aca="false">IF($E395="","",COUNTA($E$4:$E395))</f>
        <v/>
      </c>
      <c r="B395" s="34"/>
      <c r="C395" s="34"/>
      <c r="D395" s="34"/>
      <c r="E395" s="34"/>
      <c r="F395" s="35"/>
      <c r="G395" s="34"/>
      <c r="H395" s="35"/>
      <c r="I395" s="34"/>
      <c r="J395" s="36"/>
      <c r="K395" s="36"/>
      <c r="L395" s="35"/>
      <c r="M395" s="34"/>
      <c r="N395" s="35"/>
      <c r="O395" s="36"/>
      <c r="P395" s="32" t="str">
        <f aca="false">IF($J395="","",$J395-WEEKDAY($J395,3))</f>
        <v/>
      </c>
      <c r="Q395" s="32" t="str">
        <f aca="false">IF($J395="","",IF($K395="",$J395,$K395))</f>
        <v/>
      </c>
      <c r="R395" s="28" t="str">
        <f aca="false">IF($E395="","",IF(OR($N395&lt;&gt;"Concluída",$O395="",$J395=""),0,IF($O395&lt;=$J395,1,0)))</f>
        <v/>
      </c>
      <c r="S395" s="28" t="str">
        <f aca="false">IF($E395="","",IF(OR($N395&lt;&gt;"Concluída",$O395="",$Q395=""),0,IF($O395&lt;=$Q395,1,0)))</f>
        <v/>
      </c>
      <c r="T395" s="28" t="str">
        <f aca="false">IF(OR($J395="",$N395&lt;&gt;"Concluída",$O395=""),"",MAX(0,$O395-$J395))</f>
        <v/>
      </c>
      <c r="U395" s="33" t="str">
        <f aca="true">IF($E395="","",IF($N395="Cancelada","Cancelada",IF($N395="Concluída",IF($R395=1,"No prazo","Concluída com atraso"),IF($J395="","Na carteira",IF($J395&lt;TODAY(),"VENCIDA",IF($J395=TODAY(),"Hoje","Programada"))))))</f>
        <v/>
      </c>
    </row>
    <row r="396" customFormat="false" ht="15.75" hidden="false" customHeight="true" outlineLevel="0" collapsed="false">
      <c r="A396" s="28" t="str">
        <f aca="false">IF($E396="","",COUNTA($E$4:$E396))</f>
        <v/>
      </c>
      <c r="B396" s="29"/>
      <c r="C396" s="29"/>
      <c r="D396" s="29"/>
      <c r="E396" s="29"/>
      <c r="F396" s="30"/>
      <c r="G396" s="29"/>
      <c r="H396" s="30"/>
      <c r="I396" s="29"/>
      <c r="J396" s="31"/>
      <c r="K396" s="31"/>
      <c r="L396" s="30"/>
      <c r="M396" s="29"/>
      <c r="N396" s="30"/>
      <c r="O396" s="31"/>
      <c r="P396" s="32" t="str">
        <f aca="false">IF($J396="","",$J396-WEEKDAY($J396,3))</f>
        <v/>
      </c>
      <c r="Q396" s="32" t="str">
        <f aca="false">IF($J396="","",IF($K396="",$J396,$K396))</f>
        <v/>
      </c>
      <c r="R396" s="28" t="str">
        <f aca="false">IF($E396="","",IF(OR($N396&lt;&gt;"Concluída",$O396="",$J396=""),0,IF($O396&lt;=$J396,1,0)))</f>
        <v/>
      </c>
      <c r="S396" s="28" t="str">
        <f aca="false">IF($E396="","",IF(OR($N396&lt;&gt;"Concluída",$O396="",$Q396=""),0,IF($O396&lt;=$Q396,1,0)))</f>
        <v/>
      </c>
      <c r="T396" s="28" t="str">
        <f aca="false">IF(OR($J396="",$N396&lt;&gt;"Concluída",$O396=""),"",MAX(0,$O396-$J396))</f>
        <v/>
      </c>
      <c r="U396" s="33" t="str">
        <f aca="true">IF($E396="","",IF($N396="Cancelada","Cancelada",IF($N396="Concluída",IF($R396=1,"No prazo","Concluída com atraso"),IF($J396="","Na carteira",IF($J396&lt;TODAY(),"VENCIDA",IF($J396=TODAY(),"Hoje","Programada"))))))</f>
        <v/>
      </c>
    </row>
    <row r="397" customFormat="false" ht="15.75" hidden="false" customHeight="true" outlineLevel="0" collapsed="false">
      <c r="A397" s="28" t="str">
        <f aca="false">IF($E397="","",COUNTA($E$4:$E397))</f>
        <v/>
      </c>
      <c r="B397" s="34"/>
      <c r="C397" s="34"/>
      <c r="D397" s="34"/>
      <c r="E397" s="34"/>
      <c r="F397" s="35"/>
      <c r="G397" s="34"/>
      <c r="H397" s="35"/>
      <c r="I397" s="34"/>
      <c r="J397" s="36"/>
      <c r="K397" s="36"/>
      <c r="L397" s="35"/>
      <c r="M397" s="34"/>
      <c r="N397" s="35"/>
      <c r="O397" s="36"/>
      <c r="P397" s="32" t="str">
        <f aca="false">IF($J397="","",$J397-WEEKDAY($J397,3))</f>
        <v/>
      </c>
      <c r="Q397" s="32" t="str">
        <f aca="false">IF($J397="","",IF($K397="",$J397,$K397))</f>
        <v/>
      </c>
      <c r="R397" s="28" t="str">
        <f aca="false">IF($E397="","",IF(OR($N397&lt;&gt;"Concluída",$O397="",$J397=""),0,IF($O397&lt;=$J397,1,0)))</f>
        <v/>
      </c>
      <c r="S397" s="28" t="str">
        <f aca="false">IF($E397="","",IF(OR($N397&lt;&gt;"Concluída",$O397="",$Q397=""),0,IF($O397&lt;=$Q397,1,0)))</f>
        <v/>
      </c>
      <c r="T397" s="28" t="str">
        <f aca="false">IF(OR($J397="",$N397&lt;&gt;"Concluída",$O397=""),"",MAX(0,$O397-$J397))</f>
        <v/>
      </c>
      <c r="U397" s="33" t="str">
        <f aca="true">IF($E397="","",IF($N397="Cancelada","Cancelada",IF($N397="Concluída",IF($R397=1,"No prazo","Concluída com atraso"),IF($J397="","Na carteira",IF($J397&lt;TODAY(),"VENCIDA",IF($J397=TODAY(),"Hoje","Programada"))))))</f>
        <v/>
      </c>
    </row>
    <row r="398" customFormat="false" ht="15.75" hidden="false" customHeight="true" outlineLevel="0" collapsed="false">
      <c r="A398" s="28" t="str">
        <f aca="false">IF($E398="","",COUNTA($E$4:$E398))</f>
        <v/>
      </c>
      <c r="B398" s="29"/>
      <c r="C398" s="29"/>
      <c r="D398" s="29"/>
      <c r="E398" s="29"/>
      <c r="F398" s="30"/>
      <c r="G398" s="29"/>
      <c r="H398" s="30"/>
      <c r="I398" s="29"/>
      <c r="J398" s="31"/>
      <c r="K398" s="31"/>
      <c r="L398" s="30"/>
      <c r="M398" s="29"/>
      <c r="N398" s="30"/>
      <c r="O398" s="31"/>
      <c r="P398" s="32" t="str">
        <f aca="false">IF($J398="","",$J398-WEEKDAY($J398,3))</f>
        <v/>
      </c>
      <c r="Q398" s="32" t="str">
        <f aca="false">IF($J398="","",IF($K398="",$J398,$K398))</f>
        <v/>
      </c>
      <c r="R398" s="28" t="str">
        <f aca="false">IF($E398="","",IF(OR($N398&lt;&gt;"Concluída",$O398="",$J398=""),0,IF($O398&lt;=$J398,1,0)))</f>
        <v/>
      </c>
      <c r="S398" s="28" t="str">
        <f aca="false">IF($E398="","",IF(OR($N398&lt;&gt;"Concluída",$O398="",$Q398=""),0,IF($O398&lt;=$Q398,1,0)))</f>
        <v/>
      </c>
      <c r="T398" s="28" t="str">
        <f aca="false">IF(OR($J398="",$N398&lt;&gt;"Concluída",$O398=""),"",MAX(0,$O398-$J398))</f>
        <v/>
      </c>
      <c r="U398" s="33" t="str">
        <f aca="true">IF($E398="","",IF($N398="Cancelada","Cancelada",IF($N398="Concluída",IF($R398=1,"No prazo","Concluída com atraso"),IF($J398="","Na carteira",IF($J398&lt;TODAY(),"VENCIDA",IF($J398=TODAY(),"Hoje","Programada"))))))</f>
        <v/>
      </c>
    </row>
    <row r="399" customFormat="false" ht="15.75" hidden="false" customHeight="true" outlineLevel="0" collapsed="false">
      <c r="A399" s="28" t="str">
        <f aca="false">IF($E399="","",COUNTA($E$4:$E399))</f>
        <v/>
      </c>
      <c r="B399" s="34"/>
      <c r="C399" s="34"/>
      <c r="D399" s="34"/>
      <c r="E399" s="34"/>
      <c r="F399" s="35"/>
      <c r="G399" s="34"/>
      <c r="H399" s="35"/>
      <c r="I399" s="34"/>
      <c r="J399" s="36"/>
      <c r="K399" s="36"/>
      <c r="L399" s="35"/>
      <c r="M399" s="34"/>
      <c r="N399" s="35"/>
      <c r="O399" s="36"/>
      <c r="P399" s="32" t="str">
        <f aca="false">IF($J399="","",$J399-WEEKDAY($J399,3))</f>
        <v/>
      </c>
      <c r="Q399" s="32" t="str">
        <f aca="false">IF($J399="","",IF($K399="",$J399,$K399))</f>
        <v/>
      </c>
      <c r="R399" s="28" t="str">
        <f aca="false">IF($E399="","",IF(OR($N399&lt;&gt;"Concluída",$O399="",$J399=""),0,IF($O399&lt;=$J399,1,0)))</f>
        <v/>
      </c>
      <c r="S399" s="28" t="str">
        <f aca="false">IF($E399="","",IF(OR($N399&lt;&gt;"Concluída",$O399="",$Q399=""),0,IF($O399&lt;=$Q399,1,0)))</f>
        <v/>
      </c>
      <c r="T399" s="28" t="str">
        <f aca="false">IF(OR($J399="",$N399&lt;&gt;"Concluída",$O399=""),"",MAX(0,$O399-$J399))</f>
        <v/>
      </c>
      <c r="U399" s="33" t="str">
        <f aca="true">IF($E399="","",IF($N399="Cancelada","Cancelada",IF($N399="Concluída",IF($R399=1,"No prazo","Concluída com atraso"),IF($J399="","Na carteira",IF($J399&lt;TODAY(),"VENCIDA",IF($J399=TODAY(),"Hoje","Programada"))))))</f>
        <v/>
      </c>
    </row>
    <row r="400" customFormat="false" ht="15.75" hidden="false" customHeight="true" outlineLevel="0" collapsed="false">
      <c r="A400" s="28" t="str">
        <f aca="false">IF($E400="","",COUNTA($E$4:$E400))</f>
        <v/>
      </c>
      <c r="B400" s="29"/>
      <c r="C400" s="29"/>
      <c r="D400" s="29"/>
      <c r="E400" s="29"/>
      <c r="F400" s="30"/>
      <c r="G400" s="29"/>
      <c r="H400" s="30"/>
      <c r="I400" s="29"/>
      <c r="J400" s="31"/>
      <c r="K400" s="31"/>
      <c r="L400" s="30"/>
      <c r="M400" s="29"/>
      <c r="N400" s="30"/>
      <c r="O400" s="31"/>
      <c r="P400" s="32" t="str">
        <f aca="false">IF($J400="","",$J400-WEEKDAY($J400,3))</f>
        <v/>
      </c>
      <c r="Q400" s="32" t="str">
        <f aca="false">IF($J400="","",IF($K400="",$J400,$K400))</f>
        <v/>
      </c>
      <c r="R400" s="28" t="str">
        <f aca="false">IF($E400="","",IF(OR($N400&lt;&gt;"Concluída",$O400="",$J400=""),0,IF($O400&lt;=$J400,1,0)))</f>
        <v/>
      </c>
      <c r="S400" s="28" t="str">
        <f aca="false">IF($E400="","",IF(OR($N400&lt;&gt;"Concluída",$O400="",$Q400=""),0,IF($O400&lt;=$Q400,1,0)))</f>
        <v/>
      </c>
      <c r="T400" s="28" t="str">
        <f aca="false">IF(OR($J400="",$N400&lt;&gt;"Concluída",$O400=""),"",MAX(0,$O400-$J400))</f>
        <v/>
      </c>
      <c r="U400" s="33" t="str">
        <f aca="true">IF($E400="","",IF($N400="Cancelada","Cancelada",IF($N400="Concluída",IF($R400=1,"No prazo","Concluída com atraso"),IF($J400="","Na carteira",IF($J400&lt;TODAY(),"VENCIDA",IF($J400=TODAY(),"Hoje","Programada"))))))</f>
        <v/>
      </c>
    </row>
    <row r="401" customFormat="false" ht="15.75" hidden="false" customHeight="true" outlineLevel="0" collapsed="false">
      <c r="A401" s="28" t="str">
        <f aca="false">IF($E401="","",COUNTA($E$4:$E401))</f>
        <v/>
      </c>
      <c r="B401" s="34"/>
      <c r="C401" s="34"/>
      <c r="D401" s="34"/>
      <c r="E401" s="34"/>
      <c r="F401" s="35"/>
      <c r="G401" s="34"/>
      <c r="H401" s="35"/>
      <c r="I401" s="34"/>
      <c r="J401" s="36"/>
      <c r="K401" s="36"/>
      <c r="L401" s="35"/>
      <c r="M401" s="34"/>
      <c r="N401" s="35"/>
      <c r="O401" s="36"/>
      <c r="P401" s="32" t="str">
        <f aca="false">IF($J401="","",$J401-WEEKDAY($J401,3))</f>
        <v/>
      </c>
      <c r="Q401" s="32" t="str">
        <f aca="false">IF($J401="","",IF($K401="",$J401,$K401))</f>
        <v/>
      </c>
      <c r="R401" s="28" t="str">
        <f aca="false">IF($E401="","",IF(OR($N401&lt;&gt;"Concluída",$O401="",$J401=""),0,IF($O401&lt;=$J401,1,0)))</f>
        <v/>
      </c>
      <c r="S401" s="28" t="str">
        <f aca="false">IF($E401="","",IF(OR($N401&lt;&gt;"Concluída",$O401="",$Q401=""),0,IF($O401&lt;=$Q401,1,0)))</f>
        <v/>
      </c>
      <c r="T401" s="28" t="str">
        <f aca="false">IF(OR($J401="",$N401&lt;&gt;"Concluída",$O401=""),"",MAX(0,$O401-$J401))</f>
        <v/>
      </c>
      <c r="U401" s="33" t="str">
        <f aca="true">IF($E401="","",IF($N401="Cancelada","Cancelada",IF($N401="Concluída",IF($R401=1,"No prazo","Concluída com atraso"),IF($J401="","Na carteira",IF($J401&lt;TODAY(),"VENCIDA",IF($J401=TODAY(),"Hoje","Programada"))))))</f>
        <v/>
      </c>
    </row>
    <row r="402" customFormat="false" ht="15.75" hidden="false" customHeight="true" outlineLevel="0" collapsed="false">
      <c r="A402" s="28" t="str">
        <f aca="false">IF($E402="","",COUNTA($E$4:$E402))</f>
        <v/>
      </c>
      <c r="B402" s="29"/>
      <c r="C402" s="29"/>
      <c r="D402" s="29"/>
      <c r="E402" s="29"/>
      <c r="F402" s="30"/>
      <c r="G402" s="29"/>
      <c r="H402" s="30"/>
      <c r="I402" s="29"/>
      <c r="J402" s="31"/>
      <c r="K402" s="31"/>
      <c r="L402" s="30"/>
      <c r="M402" s="29"/>
      <c r="N402" s="30"/>
      <c r="O402" s="31"/>
      <c r="P402" s="32" t="str">
        <f aca="false">IF($J402="","",$J402-WEEKDAY($J402,3))</f>
        <v/>
      </c>
      <c r="Q402" s="32" t="str">
        <f aca="false">IF($J402="","",IF($K402="",$J402,$K402))</f>
        <v/>
      </c>
      <c r="R402" s="28" t="str">
        <f aca="false">IF($E402="","",IF(OR($N402&lt;&gt;"Concluída",$O402="",$J402=""),0,IF($O402&lt;=$J402,1,0)))</f>
        <v/>
      </c>
      <c r="S402" s="28" t="str">
        <f aca="false">IF($E402="","",IF(OR($N402&lt;&gt;"Concluída",$O402="",$Q402=""),0,IF($O402&lt;=$Q402,1,0)))</f>
        <v/>
      </c>
      <c r="T402" s="28" t="str">
        <f aca="false">IF(OR($J402="",$N402&lt;&gt;"Concluída",$O402=""),"",MAX(0,$O402-$J402))</f>
        <v/>
      </c>
      <c r="U402" s="33" t="str">
        <f aca="true">IF($E402="","",IF($N402="Cancelada","Cancelada",IF($N402="Concluída",IF($R402=1,"No prazo","Concluída com atraso"),IF($J402="","Na carteira",IF($J402&lt;TODAY(),"VENCIDA",IF($J402=TODAY(),"Hoje","Programada"))))))</f>
        <v/>
      </c>
    </row>
    <row r="403" customFormat="false" ht="15.75" hidden="false" customHeight="true" outlineLevel="0" collapsed="false">
      <c r="A403" s="28" t="str">
        <f aca="false">IF($E403="","",COUNTA($E$4:$E403))</f>
        <v/>
      </c>
      <c r="B403" s="34"/>
      <c r="C403" s="34"/>
      <c r="D403" s="34"/>
      <c r="E403" s="34"/>
      <c r="F403" s="35"/>
      <c r="G403" s="34"/>
      <c r="H403" s="35"/>
      <c r="I403" s="34"/>
      <c r="J403" s="36"/>
      <c r="K403" s="36"/>
      <c r="L403" s="35"/>
      <c r="M403" s="34"/>
      <c r="N403" s="35"/>
      <c r="O403" s="36"/>
      <c r="P403" s="32" t="str">
        <f aca="false">IF($J403="","",$J403-WEEKDAY($J403,3))</f>
        <v/>
      </c>
      <c r="Q403" s="32" t="str">
        <f aca="false">IF($J403="","",IF($K403="",$J403,$K403))</f>
        <v/>
      </c>
      <c r="R403" s="28" t="str">
        <f aca="false">IF($E403="","",IF(OR($N403&lt;&gt;"Concluída",$O403="",$J403=""),0,IF($O403&lt;=$J403,1,0)))</f>
        <v/>
      </c>
      <c r="S403" s="28" t="str">
        <f aca="false">IF($E403="","",IF(OR($N403&lt;&gt;"Concluída",$O403="",$Q403=""),0,IF($O403&lt;=$Q403,1,0)))</f>
        <v/>
      </c>
      <c r="T403" s="28" t="str">
        <f aca="false">IF(OR($J403="",$N403&lt;&gt;"Concluída",$O403=""),"",MAX(0,$O403-$J403))</f>
        <v/>
      </c>
      <c r="U403" s="33" t="str">
        <f aca="true">IF($E403="","",IF($N403="Cancelada","Cancelada",IF($N403="Concluída",IF($R403=1,"No prazo","Concluída com atraso"),IF($J403="","Na carteira",IF($J403&lt;TODAY(),"VENCIDA",IF($J403=TODAY(),"Hoje","Programada"))))))</f>
        <v/>
      </c>
    </row>
    <row r="404" customFormat="false" ht="15.75" hidden="false" customHeight="true" outlineLevel="0" collapsed="false">
      <c r="A404" s="28" t="str">
        <f aca="false">IF($E404="","",COUNTA($E$4:$E404))</f>
        <v/>
      </c>
      <c r="B404" s="29"/>
      <c r="C404" s="29"/>
      <c r="D404" s="29"/>
      <c r="E404" s="29"/>
      <c r="F404" s="30"/>
      <c r="G404" s="29"/>
      <c r="H404" s="30"/>
      <c r="I404" s="29"/>
      <c r="J404" s="31"/>
      <c r="K404" s="31"/>
      <c r="L404" s="30"/>
      <c r="M404" s="29"/>
      <c r="N404" s="30"/>
      <c r="O404" s="31"/>
      <c r="P404" s="32" t="str">
        <f aca="false">IF($J404="","",$J404-WEEKDAY($J404,3))</f>
        <v/>
      </c>
      <c r="Q404" s="32" t="str">
        <f aca="false">IF($J404="","",IF($K404="",$J404,$K404))</f>
        <v/>
      </c>
      <c r="R404" s="28" t="str">
        <f aca="false">IF($E404="","",IF(OR($N404&lt;&gt;"Concluída",$O404="",$J404=""),0,IF($O404&lt;=$J404,1,0)))</f>
        <v/>
      </c>
      <c r="S404" s="28" t="str">
        <f aca="false">IF($E404="","",IF(OR($N404&lt;&gt;"Concluída",$O404="",$Q404=""),0,IF($O404&lt;=$Q404,1,0)))</f>
        <v/>
      </c>
      <c r="T404" s="28" t="str">
        <f aca="false">IF(OR($J404="",$N404&lt;&gt;"Concluída",$O404=""),"",MAX(0,$O404-$J404))</f>
        <v/>
      </c>
      <c r="U404" s="33" t="str">
        <f aca="true">IF($E404="","",IF($N404="Cancelada","Cancelada",IF($N404="Concluída",IF($R404=1,"No prazo","Concluída com atraso"),IF($J404="","Na carteira",IF($J404&lt;TODAY(),"VENCIDA",IF($J404=TODAY(),"Hoje","Programada"))))))</f>
        <v/>
      </c>
    </row>
    <row r="405" customFormat="false" ht="15.75" hidden="false" customHeight="true" outlineLevel="0" collapsed="false">
      <c r="A405" s="28" t="str">
        <f aca="false">IF($E405="","",COUNTA($E$4:$E405))</f>
        <v/>
      </c>
      <c r="B405" s="34"/>
      <c r="C405" s="34"/>
      <c r="D405" s="34"/>
      <c r="E405" s="34"/>
      <c r="F405" s="35"/>
      <c r="G405" s="34"/>
      <c r="H405" s="35"/>
      <c r="I405" s="34"/>
      <c r="J405" s="36"/>
      <c r="K405" s="36"/>
      <c r="L405" s="35"/>
      <c r="M405" s="34"/>
      <c r="N405" s="35"/>
      <c r="O405" s="36"/>
      <c r="P405" s="32" t="str">
        <f aca="false">IF($J405="","",$J405-WEEKDAY($J405,3))</f>
        <v/>
      </c>
      <c r="Q405" s="32" t="str">
        <f aca="false">IF($J405="","",IF($K405="",$J405,$K405))</f>
        <v/>
      </c>
      <c r="R405" s="28" t="str">
        <f aca="false">IF($E405="","",IF(OR($N405&lt;&gt;"Concluída",$O405="",$J405=""),0,IF($O405&lt;=$J405,1,0)))</f>
        <v/>
      </c>
      <c r="S405" s="28" t="str">
        <f aca="false">IF($E405="","",IF(OR($N405&lt;&gt;"Concluída",$O405="",$Q405=""),0,IF($O405&lt;=$Q405,1,0)))</f>
        <v/>
      </c>
      <c r="T405" s="28" t="str">
        <f aca="false">IF(OR($J405="",$N405&lt;&gt;"Concluída",$O405=""),"",MAX(0,$O405-$J405))</f>
        <v/>
      </c>
      <c r="U405" s="33" t="str">
        <f aca="true">IF($E405="","",IF($N405="Cancelada","Cancelada",IF($N405="Concluída",IF($R405=1,"No prazo","Concluída com atraso"),IF($J405="","Na carteira",IF($J405&lt;TODAY(),"VENCIDA",IF($J405=TODAY(),"Hoje","Programada"))))))</f>
        <v/>
      </c>
    </row>
    <row r="406" customFormat="false" ht="15.75" hidden="false" customHeight="true" outlineLevel="0" collapsed="false">
      <c r="A406" s="28" t="str">
        <f aca="false">IF($E406="","",COUNTA($E$4:$E406))</f>
        <v/>
      </c>
      <c r="B406" s="29"/>
      <c r="C406" s="29"/>
      <c r="D406" s="29"/>
      <c r="E406" s="29"/>
      <c r="F406" s="30"/>
      <c r="G406" s="29"/>
      <c r="H406" s="30"/>
      <c r="I406" s="29"/>
      <c r="J406" s="31"/>
      <c r="K406" s="31"/>
      <c r="L406" s="30"/>
      <c r="M406" s="29"/>
      <c r="N406" s="30"/>
      <c r="O406" s="31"/>
      <c r="P406" s="32" t="str">
        <f aca="false">IF($J406="","",$J406-WEEKDAY($J406,3))</f>
        <v/>
      </c>
      <c r="Q406" s="32" t="str">
        <f aca="false">IF($J406="","",IF($K406="",$J406,$K406))</f>
        <v/>
      </c>
      <c r="R406" s="28" t="str">
        <f aca="false">IF($E406="","",IF(OR($N406&lt;&gt;"Concluída",$O406="",$J406=""),0,IF($O406&lt;=$J406,1,0)))</f>
        <v/>
      </c>
      <c r="S406" s="28" t="str">
        <f aca="false">IF($E406="","",IF(OR($N406&lt;&gt;"Concluída",$O406="",$Q406=""),0,IF($O406&lt;=$Q406,1,0)))</f>
        <v/>
      </c>
      <c r="T406" s="28" t="str">
        <f aca="false">IF(OR($J406="",$N406&lt;&gt;"Concluída",$O406=""),"",MAX(0,$O406-$J406))</f>
        <v/>
      </c>
      <c r="U406" s="33" t="str">
        <f aca="true">IF($E406="","",IF($N406="Cancelada","Cancelada",IF($N406="Concluída",IF($R406=1,"No prazo","Concluída com atraso"),IF($J406="","Na carteira",IF($J406&lt;TODAY(),"VENCIDA",IF($J406=TODAY(),"Hoje","Programada"))))))</f>
        <v/>
      </c>
    </row>
    <row r="407" customFormat="false" ht="15.75" hidden="false" customHeight="true" outlineLevel="0" collapsed="false">
      <c r="A407" s="28" t="str">
        <f aca="false">IF($E407="","",COUNTA($E$4:$E407))</f>
        <v/>
      </c>
      <c r="B407" s="34"/>
      <c r="C407" s="34"/>
      <c r="D407" s="34"/>
      <c r="E407" s="34"/>
      <c r="F407" s="35"/>
      <c r="G407" s="34"/>
      <c r="H407" s="35"/>
      <c r="I407" s="34"/>
      <c r="J407" s="36"/>
      <c r="K407" s="36"/>
      <c r="L407" s="35"/>
      <c r="M407" s="34"/>
      <c r="N407" s="35"/>
      <c r="O407" s="36"/>
      <c r="P407" s="32" t="str">
        <f aca="false">IF($J407="","",$J407-WEEKDAY($J407,3))</f>
        <v/>
      </c>
      <c r="Q407" s="32" t="str">
        <f aca="false">IF($J407="","",IF($K407="",$J407,$K407))</f>
        <v/>
      </c>
      <c r="R407" s="28" t="str">
        <f aca="false">IF($E407="","",IF(OR($N407&lt;&gt;"Concluída",$O407="",$J407=""),0,IF($O407&lt;=$J407,1,0)))</f>
        <v/>
      </c>
      <c r="S407" s="28" t="str">
        <f aca="false">IF($E407="","",IF(OR($N407&lt;&gt;"Concluída",$O407="",$Q407=""),0,IF($O407&lt;=$Q407,1,0)))</f>
        <v/>
      </c>
      <c r="T407" s="28" t="str">
        <f aca="false">IF(OR($J407="",$N407&lt;&gt;"Concluída",$O407=""),"",MAX(0,$O407-$J407))</f>
        <v/>
      </c>
      <c r="U407" s="33" t="str">
        <f aca="true">IF($E407="","",IF($N407="Cancelada","Cancelada",IF($N407="Concluída",IF($R407=1,"No prazo","Concluída com atraso"),IF($J407="","Na carteira",IF($J407&lt;TODAY(),"VENCIDA",IF($J407=TODAY(),"Hoje","Programada"))))))</f>
        <v/>
      </c>
    </row>
    <row r="408" customFormat="false" ht="15.75" hidden="false" customHeight="true" outlineLevel="0" collapsed="false">
      <c r="A408" s="28" t="str">
        <f aca="false">IF($E408="","",COUNTA($E$4:$E408))</f>
        <v/>
      </c>
      <c r="B408" s="29"/>
      <c r="C408" s="29"/>
      <c r="D408" s="29"/>
      <c r="E408" s="29"/>
      <c r="F408" s="30"/>
      <c r="G408" s="29"/>
      <c r="H408" s="30"/>
      <c r="I408" s="29"/>
      <c r="J408" s="31"/>
      <c r="K408" s="31"/>
      <c r="L408" s="30"/>
      <c r="M408" s="29"/>
      <c r="N408" s="30"/>
      <c r="O408" s="31"/>
      <c r="P408" s="32" t="str">
        <f aca="false">IF($J408="","",$J408-WEEKDAY($J408,3))</f>
        <v/>
      </c>
      <c r="Q408" s="32" t="str">
        <f aca="false">IF($J408="","",IF($K408="",$J408,$K408))</f>
        <v/>
      </c>
      <c r="R408" s="28" t="str">
        <f aca="false">IF($E408="","",IF(OR($N408&lt;&gt;"Concluída",$O408="",$J408=""),0,IF($O408&lt;=$J408,1,0)))</f>
        <v/>
      </c>
      <c r="S408" s="28" t="str">
        <f aca="false">IF($E408="","",IF(OR($N408&lt;&gt;"Concluída",$O408="",$Q408=""),0,IF($O408&lt;=$Q408,1,0)))</f>
        <v/>
      </c>
      <c r="T408" s="28" t="str">
        <f aca="false">IF(OR($J408="",$N408&lt;&gt;"Concluída",$O408=""),"",MAX(0,$O408-$J408))</f>
        <v/>
      </c>
      <c r="U408" s="33" t="str">
        <f aca="true">IF($E408="","",IF($N408="Cancelada","Cancelada",IF($N408="Concluída",IF($R408=1,"No prazo","Concluída com atraso"),IF($J408="","Na carteira",IF($J408&lt;TODAY(),"VENCIDA",IF($J408=TODAY(),"Hoje","Programada"))))))</f>
        <v/>
      </c>
    </row>
    <row r="409" customFormat="false" ht="15.75" hidden="false" customHeight="true" outlineLevel="0" collapsed="false">
      <c r="A409" s="28" t="str">
        <f aca="false">IF($E409="","",COUNTA($E$4:$E409))</f>
        <v/>
      </c>
      <c r="B409" s="34"/>
      <c r="C409" s="34"/>
      <c r="D409" s="34"/>
      <c r="E409" s="34"/>
      <c r="F409" s="35"/>
      <c r="G409" s="34"/>
      <c r="H409" s="35"/>
      <c r="I409" s="34"/>
      <c r="J409" s="36"/>
      <c r="K409" s="36"/>
      <c r="L409" s="35"/>
      <c r="M409" s="34"/>
      <c r="N409" s="35"/>
      <c r="O409" s="36"/>
      <c r="P409" s="32" t="str">
        <f aca="false">IF($J409="","",$J409-WEEKDAY($J409,3))</f>
        <v/>
      </c>
      <c r="Q409" s="32" t="str">
        <f aca="false">IF($J409="","",IF($K409="",$J409,$K409))</f>
        <v/>
      </c>
      <c r="R409" s="28" t="str">
        <f aca="false">IF($E409="","",IF(OR($N409&lt;&gt;"Concluída",$O409="",$J409=""),0,IF($O409&lt;=$J409,1,0)))</f>
        <v/>
      </c>
      <c r="S409" s="28" t="str">
        <f aca="false">IF($E409="","",IF(OR($N409&lt;&gt;"Concluída",$O409="",$Q409=""),0,IF($O409&lt;=$Q409,1,0)))</f>
        <v/>
      </c>
      <c r="T409" s="28" t="str">
        <f aca="false">IF(OR($J409="",$N409&lt;&gt;"Concluída",$O409=""),"",MAX(0,$O409-$J409))</f>
        <v/>
      </c>
      <c r="U409" s="33" t="str">
        <f aca="true">IF($E409="","",IF($N409="Cancelada","Cancelada",IF($N409="Concluída",IF($R409=1,"No prazo","Concluída com atraso"),IF($J409="","Na carteira",IF($J409&lt;TODAY(),"VENCIDA",IF($J409=TODAY(),"Hoje","Programada"))))))</f>
        <v/>
      </c>
    </row>
    <row r="410" customFormat="false" ht="15.75" hidden="false" customHeight="true" outlineLevel="0" collapsed="false">
      <c r="A410" s="28" t="str">
        <f aca="false">IF($E410="","",COUNTA($E$4:$E410))</f>
        <v/>
      </c>
      <c r="B410" s="29"/>
      <c r="C410" s="29"/>
      <c r="D410" s="29"/>
      <c r="E410" s="29"/>
      <c r="F410" s="30"/>
      <c r="G410" s="29"/>
      <c r="H410" s="30"/>
      <c r="I410" s="29"/>
      <c r="J410" s="31"/>
      <c r="K410" s="31"/>
      <c r="L410" s="30"/>
      <c r="M410" s="29"/>
      <c r="N410" s="30"/>
      <c r="O410" s="31"/>
      <c r="P410" s="32" t="str">
        <f aca="false">IF($J410="","",$J410-WEEKDAY($J410,3))</f>
        <v/>
      </c>
      <c r="Q410" s="32" t="str">
        <f aca="false">IF($J410="","",IF($K410="",$J410,$K410))</f>
        <v/>
      </c>
      <c r="R410" s="28" t="str">
        <f aca="false">IF($E410="","",IF(OR($N410&lt;&gt;"Concluída",$O410="",$J410=""),0,IF($O410&lt;=$J410,1,0)))</f>
        <v/>
      </c>
      <c r="S410" s="28" t="str">
        <f aca="false">IF($E410="","",IF(OR($N410&lt;&gt;"Concluída",$O410="",$Q410=""),0,IF($O410&lt;=$Q410,1,0)))</f>
        <v/>
      </c>
      <c r="T410" s="28" t="str">
        <f aca="false">IF(OR($J410="",$N410&lt;&gt;"Concluída",$O410=""),"",MAX(0,$O410-$J410))</f>
        <v/>
      </c>
      <c r="U410" s="33" t="str">
        <f aca="true">IF($E410="","",IF($N410="Cancelada","Cancelada",IF($N410="Concluída",IF($R410=1,"No prazo","Concluída com atraso"),IF($J410="","Na carteira",IF($J410&lt;TODAY(),"VENCIDA",IF($J410=TODAY(),"Hoje","Programada"))))))</f>
        <v/>
      </c>
    </row>
    <row r="411" customFormat="false" ht="15.75" hidden="false" customHeight="true" outlineLevel="0" collapsed="false">
      <c r="A411" s="28" t="str">
        <f aca="false">IF($E411="","",COUNTA($E$4:$E411))</f>
        <v/>
      </c>
      <c r="B411" s="34"/>
      <c r="C411" s="34"/>
      <c r="D411" s="34"/>
      <c r="E411" s="34"/>
      <c r="F411" s="35"/>
      <c r="G411" s="34"/>
      <c r="H411" s="35"/>
      <c r="I411" s="34"/>
      <c r="J411" s="36"/>
      <c r="K411" s="36"/>
      <c r="L411" s="35"/>
      <c r="M411" s="34"/>
      <c r="N411" s="35"/>
      <c r="O411" s="36"/>
      <c r="P411" s="32" t="str">
        <f aca="false">IF($J411="","",$J411-WEEKDAY($J411,3))</f>
        <v/>
      </c>
      <c r="Q411" s="32" t="str">
        <f aca="false">IF($J411="","",IF($K411="",$J411,$K411))</f>
        <v/>
      </c>
      <c r="R411" s="28" t="str">
        <f aca="false">IF($E411="","",IF(OR($N411&lt;&gt;"Concluída",$O411="",$J411=""),0,IF($O411&lt;=$J411,1,0)))</f>
        <v/>
      </c>
      <c r="S411" s="28" t="str">
        <f aca="false">IF($E411="","",IF(OR($N411&lt;&gt;"Concluída",$O411="",$Q411=""),0,IF($O411&lt;=$Q411,1,0)))</f>
        <v/>
      </c>
      <c r="T411" s="28" t="str">
        <f aca="false">IF(OR($J411="",$N411&lt;&gt;"Concluída",$O411=""),"",MAX(0,$O411-$J411))</f>
        <v/>
      </c>
      <c r="U411" s="33" t="str">
        <f aca="true">IF($E411="","",IF($N411="Cancelada","Cancelada",IF($N411="Concluída",IF($R411=1,"No prazo","Concluída com atraso"),IF($J411="","Na carteira",IF($J411&lt;TODAY(),"VENCIDA",IF($J411=TODAY(),"Hoje","Programada"))))))</f>
        <v/>
      </c>
    </row>
    <row r="412" customFormat="false" ht="15.75" hidden="false" customHeight="true" outlineLevel="0" collapsed="false">
      <c r="A412" s="28" t="str">
        <f aca="false">IF($E412="","",COUNTA($E$4:$E412))</f>
        <v/>
      </c>
      <c r="B412" s="29"/>
      <c r="C412" s="29"/>
      <c r="D412" s="29"/>
      <c r="E412" s="29"/>
      <c r="F412" s="30"/>
      <c r="G412" s="29"/>
      <c r="H412" s="30"/>
      <c r="I412" s="29"/>
      <c r="J412" s="31"/>
      <c r="K412" s="31"/>
      <c r="L412" s="30"/>
      <c r="M412" s="29"/>
      <c r="N412" s="30"/>
      <c r="O412" s="31"/>
      <c r="P412" s="32" t="str">
        <f aca="false">IF($J412="","",$J412-WEEKDAY($J412,3))</f>
        <v/>
      </c>
      <c r="Q412" s="32" t="str">
        <f aca="false">IF($J412="","",IF($K412="",$J412,$K412))</f>
        <v/>
      </c>
      <c r="R412" s="28" t="str">
        <f aca="false">IF($E412="","",IF(OR($N412&lt;&gt;"Concluída",$O412="",$J412=""),0,IF($O412&lt;=$J412,1,0)))</f>
        <v/>
      </c>
      <c r="S412" s="28" t="str">
        <f aca="false">IF($E412="","",IF(OR($N412&lt;&gt;"Concluída",$O412="",$Q412=""),0,IF($O412&lt;=$Q412,1,0)))</f>
        <v/>
      </c>
      <c r="T412" s="28" t="str">
        <f aca="false">IF(OR($J412="",$N412&lt;&gt;"Concluída",$O412=""),"",MAX(0,$O412-$J412))</f>
        <v/>
      </c>
      <c r="U412" s="33" t="str">
        <f aca="true">IF($E412="","",IF($N412="Cancelada","Cancelada",IF($N412="Concluída",IF($R412=1,"No prazo","Concluída com atraso"),IF($J412="","Na carteira",IF($J412&lt;TODAY(),"VENCIDA",IF($J412=TODAY(),"Hoje","Programada"))))))</f>
        <v/>
      </c>
    </row>
    <row r="413" customFormat="false" ht="15.75" hidden="false" customHeight="true" outlineLevel="0" collapsed="false">
      <c r="A413" s="28" t="str">
        <f aca="false">IF($E413="","",COUNTA($E$4:$E413))</f>
        <v/>
      </c>
      <c r="B413" s="34"/>
      <c r="C413" s="34"/>
      <c r="D413" s="34"/>
      <c r="E413" s="34"/>
      <c r="F413" s="35"/>
      <c r="G413" s="34"/>
      <c r="H413" s="35"/>
      <c r="I413" s="34"/>
      <c r="J413" s="36"/>
      <c r="K413" s="36"/>
      <c r="L413" s="35"/>
      <c r="M413" s="34"/>
      <c r="N413" s="35"/>
      <c r="O413" s="36"/>
      <c r="P413" s="32" t="str">
        <f aca="false">IF($J413="","",$J413-WEEKDAY($J413,3))</f>
        <v/>
      </c>
      <c r="Q413" s="32" t="str">
        <f aca="false">IF($J413="","",IF($K413="",$J413,$K413))</f>
        <v/>
      </c>
      <c r="R413" s="28" t="str">
        <f aca="false">IF($E413="","",IF(OR($N413&lt;&gt;"Concluída",$O413="",$J413=""),0,IF($O413&lt;=$J413,1,0)))</f>
        <v/>
      </c>
      <c r="S413" s="28" t="str">
        <f aca="false">IF($E413="","",IF(OR($N413&lt;&gt;"Concluída",$O413="",$Q413=""),0,IF($O413&lt;=$Q413,1,0)))</f>
        <v/>
      </c>
      <c r="T413" s="28" t="str">
        <f aca="false">IF(OR($J413="",$N413&lt;&gt;"Concluída",$O413=""),"",MAX(0,$O413-$J413))</f>
        <v/>
      </c>
      <c r="U413" s="33" t="str">
        <f aca="true">IF($E413="","",IF($N413="Cancelada","Cancelada",IF($N413="Concluída",IF($R413=1,"No prazo","Concluída com atraso"),IF($J413="","Na carteira",IF($J413&lt;TODAY(),"VENCIDA",IF($J413=TODAY(),"Hoje","Programada"))))))</f>
        <v/>
      </c>
    </row>
    <row r="414" customFormat="false" ht="15.75" hidden="false" customHeight="true" outlineLevel="0" collapsed="false">
      <c r="A414" s="28" t="str">
        <f aca="false">IF($E414="","",COUNTA($E$4:$E414))</f>
        <v/>
      </c>
      <c r="B414" s="29"/>
      <c r="C414" s="29"/>
      <c r="D414" s="29"/>
      <c r="E414" s="29"/>
      <c r="F414" s="30"/>
      <c r="G414" s="29"/>
      <c r="H414" s="30"/>
      <c r="I414" s="29"/>
      <c r="J414" s="31"/>
      <c r="K414" s="31"/>
      <c r="L414" s="30"/>
      <c r="M414" s="29"/>
      <c r="N414" s="30"/>
      <c r="O414" s="31"/>
      <c r="P414" s="32" t="str">
        <f aca="false">IF($J414="","",$J414-WEEKDAY($J414,3))</f>
        <v/>
      </c>
      <c r="Q414" s="32" t="str">
        <f aca="false">IF($J414="","",IF($K414="",$J414,$K414))</f>
        <v/>
      </c>
      <c r="R414" s="28" t="str">
        <f aca="false">IF($E414="","",IF(OR($N414&lt;&gt;"Concluída",$O414="",$J414=""),0,IF($O414&lt;=$J414,1,0)))</f>
        <v/>
      </c>
      <c r="S414" s="28" t="str">
        <f aca="false">IF($E414="","",IF(OR($N414&lt;&gt;"Concluída",$O414="",$Q414=""),0,IF($O414&lt;=$Q414,1,0)))</f>
        <v/>
      </c>
      <c r="T414" s="28" t="str">
        <f aca="false">IF(OR($J414="",$N414&lt;&gt;"Concluída",$O414=""),"",MAX(0,$O414-$J414))</f>
        <v/>
      </c>
      <c r="U414" s="33" t="str">
        <f aca="true">IF($E414="","",IF($N414="Cancelada","Cancelada",IF($N414="Concluída",IF($R414=1,"No prazo","Concluída com atraso"),IF($J414="","Na carteira",IF($J414&lt;TODAY(),"VENCIDA",IF($J414=TODAY(),"Hoje","Programada"))))))</f>
        <v/>
      </c>
    </row>
    <row r="415" customFormat="false" ht="15.75" hidden="false" customHeight="true" outlineLevel="0" collapsed="false">
      <c r="A415" s="28" t="str">
        <f aca="false">IF($E415="","",COUNTA($E$4:$E415))</f>
        <v/>
      </c>
      <c r="B415" s="34"/>
      <c r="C415" s="34"/>
      <c r="D415" s="34"/>
      <c r="E415" s="34"/>
      <c r="F415" s="35"/>
      <c r="G415" s="34"/>
      <c r="H415" s="35"/>
      <c r="I415" s="34"/>
      <c r="J415" s="36"/>
      <c r="K415" s="36"/>
      <c r="L415" s="35"/>
      <c r="M415" s="34"/>
      <c r="N415" s="35"/>
      <c r="O415" s="36"/>
      <c r="P415" s="32" t="str">
        <f aca="false">IF($J415="","",$J415-WEEKDAY($J415,3))</f>
        <v/>
      </c>
      <c r="Q415" s="32" t="str">
        <f aca="false">IF($J415="","",IF($K415="",$J415,$K415))</f>
        <v/>
      </c>
      <c r="R415" s="28" t="str">
        <f aca="false">IF($E415="","",IF(OR($N415&lt;&gt;"Concluída",$O415="",$J415=""),0,IF($O415&lt;=$J415,1,0)))</f>
        <v/>
      </c>
      <c r="S415" s="28" t="str">
        <f aca="false">IF($E415="","",IF(OR($N415&lt;&gt;"Concluída",$O415="",$Q415=""),0,IF($O415&lt;=$Q415,1,0)))</f>
        <v/>
      </c>
      <c r="T415" s="28" t="str">
        <f aca="false">IF(OR($J415="",$N415&lt;&gt;"Concluída",$O415=""),"",MAX(0,$O415-$J415))</f>
        <v/>
      </c>
      <c r="U415" s="33" t="str">
        <f aca="true">IF($E415="","",IF($N415="Cancelada","Cancelada",IF($N415="Concluída",IF($R415=1,"No prazo","Concluída com atraso"),IF($J415="","Na carteira",IF($J415&lt;TODAY(),"VENCIDA",IF($J415=TODAY(),"Hoje","Programada"))))))</f>
        <v/>
      </c>
    </row>
    <row r="416" customFormat="false" ht="15.75" hidden="false" customHeight="true" outlineLevel="0" collapsed="false">
      <c r="A416" s="28" t="str">
        <f aca="false">IF($E416="","",COUNTA($E$4:$E416))</f>
        <v/>
      </c>
      <c r="B416" s="29"/>
      <c r="C416" s="29"/>
      <c r="D416" s="29"/>
      <c r="E416" s="29"/>
      <c r="F416" s="30"/>
      <c r="G416" s="29"/>
      <c r="H416" s="30"/>
      <c r="I416" s="29"/>
      <c r="J416" s="31"/>
      <c r="K416" s="31"/>
      <c r="L416" s="30"/>
      <c r="M416" s="29"/>
      <c r="N416" s="30"/>
      <c r="O416" s="31"/>
      <c r="P416" s="32" t="str">
        <f aca="false">IF($J416="","",$J416-WEEKDAY($J416,3))</f>
        <v/>
      </c>
      <c r="Q416" s="32" t="str">
        <f aca="false">IF($J416="","",IF($K416="",$J416,$K416))</f>
        <v/>
      </c>
      <c r="R416" s="28" t="str">
        <f aca="false">IF($E416="","",IF(OR($N416&lt;&gt;"Concluída",$O416="",$J416=""),0,IF($O416&lt;=$J416,1,0)))</f>
        <v/>
      </c>
      <c r="S416" s="28" t="str">
        <f aca="false">IF($E416="","",IF(OR($N416&lt;&gt;"Concluída",$O416="",$Q416=""),0,IF($O416&lt;=$Q416,1,0)))</f>
        <v/>
      </c>
      <c r="T416" s="28" t="str">
        <f aca="false">IF(OR($J416="",$N416&lt;&gt;"Concluída",$O416=""),"",MAX(0,$O416-$J416))</f>
        <v/>
      </c>
      <c r="U416" s="33" t="str">
        <f aca="true">IF($E416="","",IF($N416="Cancelada","Cancelada",IF($N416="Concluída",IF($R416=1,"No prazo","Concluída com atraso"),IF($J416="","Na carteira",IF($J416&lt;TODAY(),"VENCIDA",IF($J416=TODAY(),"Hoje","Programada"))))))</f>
        <v/>
      </c>
    </row>
    <row r="417" customFormat="false" ht="15.75" hidden="false" customHeight="true" outlineLevel="0" collapsed="false">
      <c r="A417" s="28" t="str">
        <f aca="false">IF($E417="","",COUNTA($E$4:$E417))</f>
        <v/>
      </c>
      <c r="B417" s="34"/>
      <c r="C417" s="34"/>
      <c r="D417" s="34"/>
      <c r="E417" s="34"/>
      <c r="F417" s="35"/>
      <c r="G417" s="34"/>
      <c r="H417" s="35"/>
      <c r="I417" s="34"/>
      <c r="J417" s="36"/>
      <c r="K417" s="36"/>
      <c r="L417" s="35"/>
      <c r="M417" s="34"/>
      <c r="N417" s="35"/>
      <c r="O417" s="36"/>
      <c r="P417" s="32" t="str">
        <f aca="false">IF($J417="","",$J417-WEEKDAY($J417,3))</f>
        <v/>
      </c>
      <c r="Q417" s="32" t="str">
        <f aca="false">IF($J417="","",IF($K417="",$J417,$K417))</f>
        <v/>
      </c>
      <c r="R417" s="28" t="str">
        <f aca="false">IF($E417="","",IF(OR($N417&lt;&gt;"Concluída",$O417="",$J417=""),0,IF($O417&lt;=$J417,1,0)))</f>
        <v/>
      </c>
      <c r="S417" s="28" t="str">
        <f aca="false">IF($E417="","",IF(OR($N417&lt;&gt;"Concluída",$O417="",$Q417=""),0,IF($O417&lt;=$Q417,1,0)))</f>
        <v/>
      </c>
      <c r="T417" s="28" t="str">
        <f aca="false">IF(OR($J417="",$N417&lt;&gt;"Concluída",$O417=""),"",MAX(0,$O417-$J417))</f>
        <v/>
      </c>
      <c r="U417" s="33" t="str">
        <f aca="true">IF($E417="","",IF($N417="Cancelada","Cancelada",IF($N417="Concluída",IF($R417=1,"No prazo","Concluída com atraso"),IF($J417="","Na carteira",IF($J417&lt;TODAY(),"VENCIDA",IF($J417=TODAY(),"Hoje","Programada"))))))</f>
        <v/>
      </c>
    </row>
    <row r="418" customFormat="false" ht="15.75" hidden="false" customHeight="true" outlineLevel="0" collapsed="false">
      <c r="A418" s="28" t="str">
        <f aca="false">IF($E418="","",COUNTA($E$4:$E418))</f>
        <v/>
      </c>
      <c r="B418" s="29"/>
      <c r="C418" s="29"/>
      <c r="D418" s="29"/>
      <c r="E418" s="29"/>
      <c r="F418" s="30"/>
      <c r="G418" s="29"/>
      <c r="H418" s="30"/>
      <c r="I418" s="29"/>
      <c r="J418" s="31"/>
      <c r="K418" s="31"/>
      <c r="L418" s="30"/>
      <c r="M418" s="29"/>
      <c r="N418" s="30"/>
      <c r="O418" s="31"/>
      <c r="P418" s="32" t="str">
        <f aca="false">IF($J418="","",$J418-WEEKDAY($J418,3))</f>
        <v/>
      </c>
      <c r="Q418" s="32" t="str">
        <f aca="false">IF($J418="","",IF($K418="",$J418,$K418))</f>
        <v/>
      </c>
      <c r="R418" s="28" t="str">
        <f aca="false">IF($E418="","",IF(OR($N418&lt;&gt;"Concluída",$O418="",$J418=""),0,IF($O418&lt;=$J418,1,0)))</f>
        <v/>
      </c>
      <c r="S418" s="28" t="str">
        <f aca="false">IF($E418="","",IF(OR($N418&lt;&gt;"Concluída",$O418="",$Q418=""),0,IF($O418&lt;=$Q418,1,0)))</f>
        <v/>
      </c>
      <c r="T418" s="28" t="str">
        <f aca="false">IF(OR($J418="",$N418&lt;&gt;"Concluída",$O418=""),"",MAX(0,$O418-$J418))</f>
        <v/>
      </c>
      <c r="U418" s="33" t="str">
        <f aca="true">IF($E418="","",IF($N418="Cancelada","Cancelada",IF($N418="Concluída",IF($R418=1,"No prazo","Concluída com atraso"),IF($J418="","Na carteira",IF($J418&lt;TODAY(),"VENCIDA",IF($J418=TODAY(),"Hoje","Programada"))))))</f>
        <v/>
      </c>
    </row>
    <row r="419" customFormat="false" ht="15.75" hidden="false" customHeight="true" outlineLevel="0" collapsed="false">
      <c r="A419" s="28" t="str">
        <f aca="false">IF($E419="","",COUNTA($E$4:$E419))</f>
        <v/>
      </c>
      <c r="B419" s="34"/>
      <c r="C419" s="34"/>
      <c r="D419" s="34"/>
      <c r="E419" s="34"/>
      <c r="F419" s="35"/>
      <c r="G419" s="34"/>
      <c r="H419" s="35"/>
      <c r="I419" s="34"/>
      <c r="J419" s="36"/>
      <c r="K419" s="36"/>
      <c r="L419" s="35"/>
      <c r="M419" s="34"/>
      <c r="N419" s="35"/>
      <c r="O419" s="36"/>
      <c r="P419" s="32" t="str">
        <f aca="false">IF($J419="","",$J419-WEEKDAY($J419,3))</f>
        <v/>
      </c>
      <c r="Q419" s="32" t="str">
        <f aca="false">IF($J419="","",IF($K419="",$J419,$K419))</f>
        <v/>
      </c>
      <c r="R419" s="28" t="str">
        <f aca="false">IF($E419="","",IF(OR($N419&lt;&gt;"Concluída",$O419="",$J419=""),0,IF($O419&lt;=$J419,1,0)))</f>
        <v/>
      </c>
      <c r="S419" s="28" t="str">
        <f aca="false">IF($E419="","",IF(OR($N419&lt;&gt;"Concluída",$O419="",$Q419=""),0,IF($O419&lt;=$Q419,1,0)))</f>
        <v/>
      </c>
      <c r="T419" s="28" t="str">
        <f aca="false">IF(OR($J419="",$N419&lt;&gt;"Concluída",$O419=""),"",MAX(0,$O419-$J419))</f>
        <v/>
      </c>
      <c r="U419" s="33" t="str">
        <f aca="true">IF($E419="","",IF($N419="Cancelada","Cancelada",IF($N419="Concluída",IF($R419=1,"No prazo","Concluída com atraso"),IF($J419="","Na carteira",IF($J419&lt;TODAY(),"VENCIDA",IF($J419=TODAY(),"Hoje","Programada"))))))</f>
        <v/>
      </c>
    </row>
    <row r="420" customFormat="false" ht="15.75" hidden="false" customHeight="true" outlineLevel="0" collapsed="false">
      <c r="A420" s="28" t="str">
        <f aca="false">IF($E420="","",COUNTA($E$4:$E420))</f>
        <v/>
      </c>
      <c r="B420" s="29"/>
      <c r="C420" s="29"/>
      <c r="D420" s="29"/>
      <c r="E420" s="29"/>
      <c r="F420" s="30"/>
      <c r="G420" s="29"/>
      <c r="H420" s="30"/>
      <c r="I420" s="29"/>
      <c r="J420" s="31"/>
      <c r="K420" s="31"/>
      <c r="L420" s="30"/>
      <c r="M420" s="29"/>
      <c r="N420" s="30"/>
      <c r="O420" s="31"/>
      <c r="P420" s="32" t="str">
        <f aca="false">IF($J420="","",$J420-WEEKDAY($J420,3))</f>
        <v/>
      </c>
      <c r="Q420" s="32" t="str">
        <f aca="false">IF($J420="","",IF($K420="",$J420,$K420))</f>
        <v/>
      </c>
      <c r="R420" s="28" t="str">
        <f aca="false">IF($E420="","",IF(OR($N420&lt;&gt;"Concluída",$O420="",$J420=""),0,IF($O420&lt;=$J420,1,0)))</f>
        <v/>
      </c>
      <c r="S420" s="28" t="str">
        <f aca="false">IF($E420="","",IF(OR($N420&lt;&gt;"Concluída",$O420="",$Q420=""),0,IF($O420&lt;=$Q420,1,0)))</f>
        <v/>
      </c>
      <c r="T420" s="28" t="str">
        <f aca="false">IF(OR($J420="",$N420&lt;&gt;"Concluída",$O420=""),"",MAX(0,$O420-$J420))</f>
        <v/>
      </c>
      <c r="U420" s="33" t="str">
        <f aca="true">IF($E420="","",IF($N420="Cancelada","Cancelada",IF($N420="Concluída",IF($R420=1,"No prazo","Concluída com atraso"),IF($J420="","Na carteira",IF($J420&lt;TODAY(),"VENCIDA",IF($J420=TODAY(),"Hoje","Programada"))))))</f>
        <v/>
      </c>
    </row>
    <row r="421" customFormat="false" ht="15.75" hidden="false" customHeight="true" outlineLevel="0" collapsed="false">
      <c r="A421" s="28" t="str">
        <f aca="false">IF($E421="","",COUNTA($E$4:$E421))</f>
        <v/>
      </c>
      <c r="B421" s="34"/>
      <c r="C421" s="34"/>
      <c r="D421" s="34"/>
      <c r="E421" s="34"/>
      <c r="F421" s="35"/>
      <c r="G421" s="34"/>
      <c r="H421" s="35"/>
      <c r="I421" s="34"/>
      <c r="J421" s="36"/>
      <c r="K421" s="36"/>
      <c r="L421" s="35"/>
      <c r="M421" s="34"/>
      <c r="N421" s="35"/>
      <c r="O421" s="36"/>
      <c r="P421" s="32" t="str">
        <f aca="false">IF($J421="","",$J421-WEEKDAY($J421,3))</f>
        <v/>
      </c>
      <c r="Q421" s="32" t="str">
        <f aca="false">IF($J421="","",IF($K421="",$J421,$K421))</f>
        <v/>
      </c>
      <c r="R421" s="28" t="str">
        <f aca="false">IF($E421="","",IF(OR($N421&lt;&gt;"Concluída",$O421="",$J421=""),0,IF($O421&lt;=$J421,1,0)))</f>
        <v/>
      </c>
      <c r="S421" s="28" t="str">
        <f aca="false">IF($E421="","",IF(OR($N421&lt;&gt;"Concluída",$O421="",$Q421=""),0,IF($O421&lt;=$Q421,1,0)))</f>
        <v/>
      </c>
      <c r="T421" s="28" t="str">
        <f aca="false">IF(OR($J421="",$N421&lt;&gt;"Concluída",$O421=""),"",MAX(0,$O421-$J421))</f>
        <v/>
      </c>
      <c r="U421" s="33" t="str">
        <f aca="true">IF($E421="","",IF($N421="Cancelada","Cancelada",IF($N421="Concluída",IF($R421=1,"No prazo","Concluída com atraso"),IF($J421="","Na carteira",IF($J421&lt;TODAY(),"VENCIDA",IF($J421=TODAY(),"Hoje","Programada"))))))</f>
        <v/>
      </c>
    </row>
    <row r="422" customFormat="false" ht="15.75" hidden="false" customHeight="true" outlineLevel="0" collapsed="false">
      <c r="A422" s="28" t="str">
        <f aca="false">IF($E422="","",COUNTA($E$4:$E422))</f>
        <v/>
      </c>
      <c r="B422" s="29"/>
      <c r="C422" s="29"/>
      <c r="D422" s="29"/>
      <c r="E422" s="29"/>
      <c r="F422" s="30"/>
      <c r="G422" s="29"/>
      <c r="H422" s="30"/>
      <c r="I422" s="29"/>
      <c r="J422" s="31"/>
      <c r="K422" s="31"/>
      <c r="L422" s="30"/>
      <c r="M422" s="29"/>
      <c r="N422" s="30"/>
      <c r="O422" s="31"/>
      <c r="P422" s="32" t="str">
        <f aca="false">IF($J422="","",$J422-WEEKDAY($J422,3))</f>
        <v/>
      </c>
      <c r="Q422" s="32" t="str">
        <f aca="false">IF($J422="","",IF($K422="",$J422,$K422))</f>
        <v/>
      </c>
      <c r="R422" s="28" t="str">
        <f aca="false">IF($E422="","",IF(OR($N422&lt;&gt;"Concluída",$O422="",$J422=""),0,IF($O422&lt;=$J422,1,0)))</f>
        <v/>
      </c>
      <c r="S422" s="28" t="str">
        <f aca="false">IF($E422="","",IF(OR($N422&lt;&gt;"Concluída",$O422="",$Q422=""),0,IF($O422&lt;=$Q422,1,0)))</f>
        <v/>
      </c>
      <c r="T422" s="28" t="str">
        <f aca="false">IF(OR($J422="",$N422&lt;&gt;"Concluída",$O422=""),"",MAX(0,$O422-$J422))</f>
        <v/>
      </c>
      <c r="U422" s="33" t="str">
        <f aca="true">IF($E422="","",IF($N422="Cancelada","Cancelada",IF($N422="Concluída",IF($R422=1,"No prazo","Concluída com atraso"),IF($J422="","Na carteira",IF($J422&lt;TODAY(),"VENCIDA",IF($J422=TODAY(),"Hoje","Programada"))))))</f>
        <v/>
      </c>
    </row>
    <row r="423" customFormat="false" ht="15.75" hidden="false" customHeight="true" outlineLevel="0" collapsed="false">
      <c r="A423" s="28" t="str">
        <f aca="false">IF($E423="","",COUNTA($E$4:$E423))</f>
        <v/>
      </c>
      <c r="B423" s="34"/>
      <c r="C423" s="34"/>
      <c r="D423" s="34"/>
      <c r="E423" s="34"/>
      <c r="F423" s="35"/>
      <c r="G423" s="34"/>
      <c r="H423" s="35"/>
      <c r="I423" s="34"/>
      <c r="J423" s="36"/>
      <c r="K423" s="36"/>
      <c r="L423" s="35"/>
      <c r="M423" s="34"/>
      <c r="N423" s="35"/>
      <c r="O423" s="36"/>
      <c r="P423" s="32" t="str">
        <f aca="false">IF($J423="","",$J423-WEEKDAY($J423,3))</f>
        <v/>
      </c>
      <c r="Q423" s="32" t="str">
        <f aca="false">IF($J423="","",IF($K423="",$J423,$K423))</f>
        <v/>
      </c>
      <c r="R423" s="28" t="str">
        <f aca="false">IF($E423="","",IF(OR($N423&lt;&gt;"Concluída",$O423="",$J423=""),0,IF($O423&lt;=$J423,1,0)))</f>
        <v/>
      </c>
      <c r="S423" s="28" t="str">
        <f aca="false">IF($E423="","",IF(OR($N423&lt;&gt;"Concluída",$O423="",$Q423=""),0,IF($O423&lt;=$Q423,1,0)))</f>
        <v/>
      </c>
      <c r="T423" s="28" t="str">
        <f aca="false">IF(OR($J423="",$N423&lt;&gt;"Concluída",$O423=""),"",MAX(0,$O423-$J423))</f>
        <v/>
      </c>
      <c r="U423" s="33" t="str">
        <f aca="true">IF($E423="","",IF($N423="Cancelada","Cancelada",IF($N423="Concluída",IF($R423=1,"No prazo","Concluída com atraso"),IF($J423="","Na carteira",IF($J423&lt;TODAY(),"VENCIDA",IF($J423=TODAY(),"Hoje","Programada"))))))</f>
        <v/>
      </c>
    </row>
    <row r="424" customFormat="false" ht="15.75" hidden="false" customHeight="true" outlineLevel="0" collapsed="false">
      <c r="A424" s="28" t="str">
        <f aca="false">IF($E424="","",COUNTA($E$4:$E424))</f>
        <v/>
      </c>
      <c r="B424" s="29"/>
      <c r="C424" s="29"/>
      <c r="D424" s="29"/>
      <c r="E424" s="29"/>
      <c r="F424" s="30"/>
      <c r="G424" s="29"/>
      <c r="H424" s="30"/>
      <c r="I424" s="29"/>
      <c r="J424" s="31"/>
      <c r="K424" s="31"/>
      <c r="L424" s="30"/>
      <c r="M424" s="29"/>
      <c r="N424" s="30"/>
      <c r="O424" s="31"/>
      <c r="P424" s="32" t="str">
        <f aca="false">IF($J424="","",$J424-WEEKDAY($J424,3))</f>
        <v/>
      </c>
      <c r="Q424" s="32" t="str">
        <f aca="false">IF($J424="","",IF($K424="",$J424,$K424))</f>
        <v/>
      </c>
      <c r="R424" s="28" t="str">
        <f aca="false">IF($E424="","",IF(OR($N424&lt;&gt;"Concluída",$O424="",$J424=""),0,IF($O424&lt;=$J424,1,0)))</f>
        <v/>
      </c>
      <c r="S424" s="28" t="str">
        <f aca="false">IF($E424="","",IF(OR($N424&lt;&gt;"Concluída",$O424="",$Q424=""),0,IF($O424&lt;=$Q424,1,0)))</f>
        <v/>
      </c>
      <c r="T424" s="28" t="str">
        <f aca="false">IF(OR($J424="",$N424&lt;&gt;"Concluída",$O424=""),"",MAX(0,$O424-$J424))</f>
        <v/>
      </c>
      <c r="U424" s="33" t="str">
        <f aca="true">IF($E424="","",IF($N424="Cancelada","Cancelada",IF($N424="Concluída",IF($R424=1,"No prazo","Concluída com atraso"),IF($J424="","Na carteira",IF($J424&lt;TODAY(),"VENCIDA",IF($J424=TODAY(),"Hoje","Programada"))))))</f>
        <v/>
      </c>
    </row>
    <row r="425" customFormat="false" ht="15.75" hidden="false" customHeight="true" outlineLevel="0" collapsed="false">
      <c r="A425" s="28" t="str">
        <f aca="false">IF($E425="","",COUNTA($E$4:$E425))</f>
        <v/>
      </c>
      <c r="B425" s="34"/>
      <c r="C425" s="34"/>
      <c r="D425" s="34"/>
      <c r="E425" s="34"/>
      <c r="F425" s="35"/>
      <c r="G425" s="34"/>
      <c r="H425" s="35"/>
      <c r="I425" s="34"/>
      <c r="J425" s="36"/>
      <c r="K425" s="36"/>
      <c r="L425" s="35"/>
      <c r="M425" s="34"/>
      <c r="N425" s="35"/>
      <c r="O425" s="36"/>
      <c r="P425" s="32" t="str">
        <f aca="false">IF($J425="","",$J425-WEEKDAY($J425,3))</f>
        <v/>
      </c>
      <c r="Q425" s="32" t="str">
        <f aca="false">IF($J425="","",IF($K425="",$J425,$K425))</f>
        <v/>
      </c>
      <c r="R425" s="28" t="str">
        <f aca="false">IF($E425="","",IF(OR($N425&lt;&gt;"Concluída",$O425="",$J425=""),0,IF($O425&lt;=$J425,1,0)))</f>
        <v/>
      </c>
      <c r="S425" s="28" t="str">
        <f aca="false">IF($E425="","",IF(OR($N425&lt;&gt;"Concluída",$O425="",$Q425=""),0,IF($O425&lt;=$Q425,1,0)))</f>
        <v/>
      </c>
      <c r="T425" s="28" t="str">
        <f aca="false">IF(OR($J425="",$N425&lt;&gt;"Concluída",$O425=""),"",MAX(0,$O425-$J425))</f>
        <v/>
      </c>
      <c r="U425" s="33" t="str">
        <f aca="true">IF($E425="","",IF($N425="Cancelada","Cancelada",IF($N425="Concluída",IF($R425=1,"No prazo","Concluída com atraso"),IF($J425="","Na carteira",IF($J425&lt;TODAY(),"VENCIDA",IF($J425=TODAY(),"Hoje","Programada"))))))</f>
        <v/>
      </c>
    </row>
    <row r="426" customFormat="false" ht="15.75" hidden="false" customHeight="true" outlineLevel="0" collapsed="false">
      <c r="A426" s="28" t="str">
        <f aca="false">IF($E426="","",COUNTA($E$4:$E426))</f>
        <v/>
      </c>
      <c r="B426" s="29"/>
      <c r="C426" s="29"/>
      <c r="D426" s="29"/>
      <c r="E426" s="29"/>
      <c r="F426" s="30"/>
      <c r="G426" s="29"/>
      <c r="H426" s="30"/>
      <c r="I426" s="29"/>
      <c r="J426" s="31"/>
      <c r="K426" s="31"/>
      <c r="L426" s="30"/>
      <c r="M426" s="29"/>
      <c r="N426" s="30"/>
      <c r="O426" s="31"/>
      <c r="P426" s="32" t="str">
        <f aca="false">IF($J426="","",$J426-WEEKDAY($J426,3))</f>
        <v/>
      </c>
      <c r="Q426" s="32" t="str">
        <f aca="false">IF($J426="","",IF($K426="",$J426,$K426))</f>
        <v/>
      </c>
      <c r="R426" s="28" t="str">
        <f aca="false">IF($E426="","",IF(OR($N426&lt;&gt;"Concluída",$O426="",$J426=""),0,IF($O426&lt;=$J426,1,0)))</f>
        <v/>
      </c>
      <c r="S426" s="28" t="str">
        <f aca="false">IF($E426="","",IF(OR($N426&lt;&gt;"Concluída",$O426="",$Q426=""),0,IF($O426&lt;=$Q426,1,0)))</f>
        <v/>
      </c>
      <c r="T426" s="28" t="str">
        <f aca="false">IF(OR($J426="",$N426&lt;&gt;"Concluída",$O426=""),"",MAX(0,$O426-$J426))</f>
        <v/>
      </c>
      <c r="U426" s="33" t="str">
        <f aca="true">IF($E426="","",IF($N426="Cancelada","Cancelada",IF($N426="Concluída",IF($R426=1,"No prazo","Concluída com atraso"),IF($J426="","Na carteira",IF($J426&lt;TODAY(),"VENCIDA",IF($J426=TODAY(),"Hoje","Programada"))))))</f>
        <v/>
      </c>
    </row>
    <row r="427" customFormat="false" ht="15.75" hidden="false" customHeight="true" outlineLevel="0" collapsed="false">
      <c r="A427" s="28" t="str">
        <f aca="false">IF($E427="","",COUNTA($E$4:$E427))</f>
        <v/>
      </c>
      <c r="B427" s="34"/>
      <c r="C427" s="34"/>
      <c r="D427" s="34"/>
      <c r="E427" s="34"/>
      <c r="F427" s="35"/>
      <c r="G427" s="34"/>
      <c r="H427" s="35"/>
      <c r="I427" s="34"/>
      <c r="J427" s="36"/>
      <c r="K427" s="36"/>
      <c r="L427" s="35"/>
      <c r="M427" s="34"/>
      <c r="N427" s="35"/>
      <c r="O427" s="36"/>
      <c r="P427" s="32" t="str">
        <f aca="false">IF($J427="","",$J427-WEEKDAY($J427,3))</f>
        <v/>
      </c>
      <c r="Q427" s="32" t="str">
        <f aca="false">IF($J427="","",IF($K427="",$J427,$K427))</f>
        <v/>
      </c>
      <c r="R427" s="28" t="str">
        <f aca="false">IF($E427="","",IF(OR($N427&lt;&gt;"Concluída",$O427="",$J427=""),0,IF($O427&lt;=$J427,1,0)))</f>
        <v/>
      </c>
      <c r="S427" s="28" t="str">
        <f aca="false">IF($E427="","",IF(OR($N427&lt;&gt;"Concluída",$O427="",$Q427=""),0,IF($O427&lt;=$Q427,1,0)))</f>
        <v/>
      </c>
      <c r="T427" s="28" t="str">
        <f aca="false">IF(OR($J427="",$N427&lt;&gt;"Concluída",$O427=""),"",MAX(0,$O427-$J427))</f>
        <v/>
      </c>
      <c r="U427" s="33" t="str">
        <f aca="true">IF($E427="","",IF($N427="Cancelada","Cancelada",IF($N427="Concluída",IF($R427=1,"No prazo","Concluída com atraso"),IF($J427="","Na carteira",IF($J427&lt;TODAY(),"VENCIDA",IF($J427=TODAY(),"Hoje","Programada"))))))</f>
        <v/>
      </c>
    </row>
    <row r="428" customFormat="false" ht="15.75" hidden="false" customHeight="true" outlineLevel="0" collapsed="false">
      <c r="A428" s="28" t="str">
        <f aca="false">IF($E428="","",COUNTA($E$4:$E428))</f>
        <v/>
      </c>
      <c r="B428" s="29"/>
      <c r="C428" s="29"/>
      <c r="D428" s="29"/>
      <c r="E428" s="29"/>
      <c r="F428" s="30"/>
      <c r="G428" s="29"/>
      <c r="H428" s="30"/>
      <c r="I428" s="29"/>
      <c r="J428" s="31"/>
      <c r="K428" s="31"/>
      <c r="L428" s="30"/>
      <c r="M428" s="29"/>
      <c r="N428" s="30"/>
      <c r="O428" s="31"/>
      <c r="P428" s="32" t="str">
        <f aca="false">IF($J428="","",$J428-WEEKDAY($J428,3))</f>
        <v/>
      </c>
      <c r="Q428" s="32" t="str">
        <f aca="false">IF($J428="","",IF($K428="",$J428,$K428))</f>
        <v/>
      </c>
      <c r="R428" s="28" t="str">
        <f aca="false">IF($E428="","",IF(OR($N428&lt;&gt;"Concluída",$O428="",$J428=""),0,IF($O428&lt;=$J428,1,0)))</f>
        <v/>
      </c>
      <c r="S428" s="28" t="str">
        <f aca="false">IF($E428="","",IF(OR($N428&lt;&gt;"Concluída",$O428="",$Q428=""),0,IF($O428&lt;=$Q428,1,0)))</f>
        <v/>
      </c>
      <c r="T428" s="28" t="str">
        <f aca="false">IF(OR($J428="",$N428&lt;&gt;"Concluída",$O428=""),"",MAX(0,$O428-$J428))</f>
        <v/>
      </c>
      <c r="U428" s="33" t="str">
        <f aca="true">IF($E428="","",IF($N428="Cancelada","Cancelada",IF($N428="Concluída",IF($R428=1,"No prazo","Concluída com atraso"),IF($J428="","Na carteira",IF($J428&lt;TODAY(),"VENCIDA",IF($J428=TODAY(),"Hoje","Programada"))))))</f>
        <v/>
      </c>
    </row>
    <row r="429" customFormat="false" ht="15.75" hidden="false" customHeight="true" outlineLevel="0" collapsed="false">
      <c r="A429" s="28" t="str">
        <f aca="false">IF($E429="","",COUNTA($E$4:$E429))</f>
        <v/>
      </c>
      <c r="B429" s="34"/>
      <c r="C429" s="34"/>
      <c r="D429" s="34"/>
      <c r="E429" s="34"/>
      <c r="F429" s="35"/>
      <c r="G429" s="34"/>
      <c r="H429" s="35"/>
      <c r="I429" s="34"/>
      <c r="J429" s="36"/>
      <c r="K429" s="36"/>
      <c r="L429" s="35"/>
      <c r="M429" s="34"/>
      <c r="N429" s="35"/>
      <c r="O429" s="36"/>
      <c r="P429" s="32" t="str">
        <f aca="false">IF($J429="","",$J429-WEEKDAY($J429,3))</f>
        <v/>
      </c>
      <c r="Q429" s="32" t="str">
        <f aca="false">IF($J429="","",IF($K429="",$J429,$K429))</f>
        <v/>
      </c>
      <c r="R429" s="28" t="str">
        <f aca="false">IF($E429="","",IF(OR($N429&lt;&gt;"Concluída",$O429="",$J429=""),0,IF($O429&lt;=$J429,1,0)))</f>
        <v/>
      </c>
      <c r="S429" s="28" t="str">
        <f aca="false">IF($E429="","",IF(OR($N429&lt;&gt;"Concluída",$O429="",$Q429=""),0,IF($O429&lt;=$Q429,1,0)))</f>
        <v/>
      </c>
      <c r="T429" s="28" t="str">
        <f aca="false">IF(OR($J429="",$N429&lt;&gt;"Concluída",$O429=""),"",MAX(0,$O429-$J429))</f>
        <v/>
      </c>
      <c r="U429" s="33" t="str">
        <f aca="true">IF($E429="","",IF($N429="Cancelada","Cancelada",IF($N429="Concluída",IF($R429=1,"No prazo","Concluída com atraso"),IF($J429="","Na carteira",IF($J429&lt;TODAY(),"VENCIDA",IF($J429=TODAY(),"Hoje","Programada"))))))</f>
        <v/>
      </c>
    </row>
    <row r="430" customFormat="false" ht="15.75" hidden="false" customHeight="true" outlineLevel="0" collapsed="false">
      <c r="A430" s="28" t="str">
        <f aca="false">IF($E430="","",COUNTA($E$4:$E430))</f>
        <v/>
      </c>
      <c r="B430" s="29"/>
      <c r="C430" s="29"/>
      <c r="D430" s="29"/>
      <c r="E430" s="29"/>
      <c r="F430" s="30"/>
      <c r="G430" s="29"/>
      <c r="H430" s="30"/>
      <c r="I430" s="29"/>
      <c r="J430" s="31"/>
      <c r="K430" s="31"/>
      <c r="L430" s="30"/>
      <c r="M430" s="29"/>
      <c r="N430" s="30"/>
      <c r="O430" s="31"/>
      <c r="P430" s="32" t="str">
        <f aca="false">IF($J430="","",$J430-WEEKDAY($J430,3))</f>
        <v/>
      </c>
      <c r="Q430" s="32" t="str">
        <f aca="false">IF($J430="","",IF($K430="",$J430,$K430))</f>
        <v/>
      </c>
      <c r="R430" s="28" t="str">
        <f aca="false">IF($E430="","",IF(OR($N430&lt;&gt;"Concluída",$O430="",$J430=""),0,IF($O430&lt;=$J430,1,0)))</f>
        <v/>
      </c>
      <c r="S430" s="28" t="str">
        <f aca="false">IF($E430="","",IF(OR($N430&lt;&gt;"Concluída",$O430="",$Q430=""),0,IF($O430&lt;=$Q430,1,0)))</f>
        <v/>
      </c>
      <c r="T430" s="28" t="str">
        <f aca="false">IF(OR($J430="",$N430&lt;&gt;"Concluída",$O430=""),"",MAX(0,$O430-$J430))</f>
        <v/>
      </c>
      <c r="U430" s="33" t="str">
        <f aca="true">IF($E430="","",IF($N430="Cancelada","Cancelada",IF($N430="Concluída",IF($R430=1,"No prazo","Concluída com atraso"),IF($J430="","Na carteira",IF($J430&lt;TODAY(),"VENCIDA",IF($J430=TODAY(),"Hoje","Programada"))))))</f>
        <v/>
      </c>
    </row>
    <row r="431" customFormat="false" ht="15.75" hidden="false" customHeight="true" outlineLevel="0" collapsed="false">
      <c r="A431" s="28" t="str">
        <f aca="false">IF($E431="","",COUNTA($E$4:$E431))</f>
        <v/>
      </c>
      <c r="B431" s="34"/>
      <c r="C431" s="34"/>
      <c r="D431" s="34"/>
      <c r="E431" s="34"/>
      <c r="F431" s="35"/>
      <c r="G431" s="34"/>
      <c r="H431" s="35"/>
      <c r="I431" s="34"/>
      <c r="J431" s="36"/>
      <c r="K431" s="36"/>
      <c r="L431" s="35"/>
      <c r="M431" s="34"/>
      <c r="N431" s="35"/>
      <c r="O431" s="36"/>
      <c r="P431" s="32" t="str">
        <f aca="false">IF($J431="","",$J431-WEEKDAY($J431,3))</f>
        <v/>
      </c>
      <c r="Q431" s="32" t="str">
        <f aca="false">IF($J431="","",IF($K431="",$J431,$K431))</f>
        <v/>
      </c>
      <c r="R431" s="28" t="str">
        <f aca="false">IF($E431="","",IF(OR($N431&lt;&gt;"Concluída",$O431="",$J431=""),0,IF($O431&lt;=$J431,1,0)))</f>
        <v/>
      </c>
      <c r="S431" s="28" t="str">
        <f aca="false">IF($E431="","",IF(OR($N431&lt;&gt;"Concluída",$O431="",$Q431=""),0,IF($O431&lt;=$Q431,1,0)))</f>
        <v/>
      </c>
      <c r="T431" s="28" t="str">
        <f aca="false">IF(OR($J431="",$N431&lt;&gt;"Concluída",$O431=""),"",MAX(0,$O431-$J431))</f>
        <v/>
      </c>
      <c r="U431" s="33" t="str">
        <f aca="true">IF($E431="","",IF($N431="Cancelada","Cancelada",IF($N431="Concluída",IF($R431=1,"No prazo","Concluída com atraso"),IF($J431="","Na carteira",IF($J431&lt;TODAY(),"VENCIDA",IF($J431=TODAY(),"Hoje","Programada"))))))</f>
        <v/>
      </c>
    </row>
    <row r="432" customFormat="false" ht="15.75" hidden="false" customHeight="true" outlineLevel="0" collapsed="false">
      <c r="A432" s="28" t="str">
        <f aca="false">IF($E432="","",COUNTA($E$4:$E432))</f>
        <v/>
      </c>
      <c r="B432" s="29"/>
      <c r="C432" s="29"/>
      <c r="D432" s="29"/>
      <c r="E432" s="29"/>
      <c r="F432" s="30"/>
      <c r="G432" s="29"/>
      <c r="H432" s="30"/>
      <c r="I432" s="29"/>
      <c r="J432" s="31"/>
      <c r="K432" s="31"/>
      <c r="L432" s="30"/>
      <c r="M432" s="29"/>
      <c r="N432" s="30"/>
      <c r="O432" s="31"/>
      <c r="P432" s="32" t="str">
        <f aca="false">IF($J432="","",$J432-WEEKDAY($J432,3))</f>
        <v/>
      </c>
      <c r="Q432" s="32" t="str">
        <f aca="false">IF($J432="","",IF($K432="",$J432,$K432))</f>
        <v/>
      </c>
      <c r="R432" s="28" t="str">
        <f aca="false">IF($E432="","",IF(OR($N432&lt;&gt;"Concluída",$O432="",$J432=""),0,IF($O432&lt;=$J432,1,0)))</f>
        <v/>
      </c>
      <c r="S432" s="28" t="str">
        <f aca="false">IF($E432="","",IF(OR($N432&lt;&gt;"Concluída",$O432="",$Q432=""),0,IF($O432&lt;=$Q432,1,0)))</f>
        <v/>
      </c>
      <c r="T432" s="28" t="str">
        <f aca="false">IF(OR($J432="",$N432&lt;&gt;"Concluída",$O432=""),"",MAX(0,$O432-$J432))</f>
        <v/>
      </c>
      <c r="U432" s="33" t="str">
        <f aca="true">IF($E432="","",IF($N432="Cancelada","Cancelada",IF($N432="Concluída",IF($R432=1,"No prazo","Concluída com atraso"),IF($J432="","Na carteira",IF($J432&lt;TODAY(),"VENCIDA",IF($J432=TODAY(),"Hoje","Programada"))))))</f>
        <v/>
      </c>
    </row>
    <row r="433" customFormat="false" ht="15.75" hidden="false" customHeight="true" outlineLevel="0" collapsed="false">
      <c r="A433" s="28" t="str">
        <f aca="false">IF($E433="","",COUNTA($E$4:$E433))</f>
        <v/>
      </c>
      <c r="B433" s="34"/>
      <c r="C433" s="34"/>
      <c r="D433" s="34"/>
      <c r="E433" s="34"/>
      <c r="F433" s="35"/>
      <c r="G433" s="34"/>
      <c r="H433" s="35"/>
      <c r="I433" s="34"/>
      <c r="J433" s="36"/>
      <c r="K433" s="36"/>
      <c r="L433" s="35"/>
      <c r="M433" s="34"/>
      <c r="N433" s="35"/>
      <c r="O433" s="36"/>
      <c r="P433" s="32" t="str">
        <f aca="false">IF($J433="","",$J433-WEEKDAY($J433,3))</f>
        <v/>
      </c>
      <c r="Q433" s="32" t="str">
        <f aca="false">IF($J433="","",IF($K433="",$J433,$K433))</f>
        <v/>
      </c>
      <c r="R433" s="28" t="str">
        <f aca="false">IF($E433="","",IF(OR($N433&lt;&gt;"Concluída",$O433="",$J433=""),0,IF($O433&lt;=$J433,1,0)))</f>
        <v/>
      </c>
      <c r="S433" s="28" t="str">
        <f aca="false">IF($E433="","",IF(OR($N433&lt;&gt;"Concluída",$O433="",$Q433=""),0,IF($O433&lt;=$Q433,1,0)))</f>
        <v/>
      </c>
      <c r="T433" s="28" t="str">
        <f aca="false">IF(OR($J433="",$N433&lt;&gt;"Concluída",$O433=""),"",MAX(0,$O433-$J433))</f>
        <v/>
      </c>
      <c r="U433" s="33" t="str">
        <f aca="true">IF($E433="","",IF($N433="Cancelada","Cancelada",IF($N433="Concluída",IF($R433=1,"No prazo","Concluída com atraso"),IF($J433="","Na carteira",IF($J433&lt;TODAY(),"VENCIDA",IF($J433=TODAY(),"Hoje","Programada"))))))</f>
        <v/>
      </c>
    </row>
    <row r="434" customFormat="false" ht="15.75" hidden="false" customHeight="true" outlineLevel="0" collapsed="false">
      <c r="A434" s="28" t="str">
        <f aca="false">IF($E434="","",COUNTA($E$4:$E434))</f>
        <v/>
      </c>
      <c r="B434" s="29"/>
      <c r="C434" s="29"/>
      <c r="D434" s="29"/>
      <c r="E434" s="29"/>
      <c r="F434" s="30"/>
      <c r="G434" s="29"/>
      <c r="H434" s="30"/>
      <c r="I434" s="29"/>
      <c r="J434" s="31"/>
      <c r="K434" s="31"/>
      <c r="L434" s="30"/>
      <c r="M434" s="29"/>
      <c r="N434" s="30"/>
      <c r="O434" s="31"/>
      <c r="P434" s="32" t="str">
        <f aca="false">IF($J434="","",$J434-WEEKDAY($J434,3))</f>
        <v/>
      </c>
      <c r="Q434" s="32" t="str">
        <f aca="false">IF($J434="","",IF($K434="",$J434,$K434))</f>
        <v/>
      </c>
      <c r="R434" s="28" t="str">
        <f aca="false">IF($E434="","",IF(OR($N434&lt;&gt;"Concluída",$O434="",$J434=""),0,IF($O434&lt;=$J434,1,0)))</f>
        <v/>
      </c>
      <c r="S434" s="28" t="str">
        <f aca="false">IF($E434="","",IF(OR($N434&lt;&gt;"Concluída",$O434="",$Q434=""),0,IF($O434&lt;=$Q434,1,0)))</f>
        <v/>
      </c>
      <c r="T434" s="28" t="str">
        <f aca="false">IF(OR($J434="",$N434&lt;&gt;"Concluída",$O434=""),"",MAX(0,$O434-$J434))</f>
        <v/>
      </c>
      <c r="U434" s="33" t="str">
        <f aca="true">IF($E434="","",IF($N434="Cancelada","Cancelada",IF($N434="Concluída",IF($R434=1,"No prazo","Concluída com atraso"),IF($J434="","Na carteira",IF($J434&lt;TODAY(),"VENCIDA",IF($J434=TODAY(),"Hoje","Programada"))))))</f>
        <v/>
      </c>
    </row>
    <row r="435" customFormat="false" ht="15.75" hidden="false" customHeight="true" outlineLevel="0" collapsed="false">
      <c r="A435" s="28" t="str">
        <f aca="false">IF($E435="","",COUNTA($E$4:$E435))</f>
        <v/>
      </c>
      <c r="B435" s="34"/>
      <c r="C435" s="34"/>
      <c r="D435" s="34"/>
      <c r="E435" s="34"/>
      <c r="F435" s="35"/>
      <c r="G435" s="34"/>
      <c r="H435" s="35"/>
      <c r="I435" s="34"/>
      <c r="J435" s="36"/>
      <c r="K435" s="36"/>
      <c r="L435" s="35"/>
      <c r="M435" s="34"/>
      <c r="N435" s="35"/>
      <c r="O435" s="36"/>
      <c r="P435" s="32" t="str">
        <f aca="false">IF($J435="","",$J435-WEEKDAY($J435,3))</f>
        <v/>
      </c>
      <c r="Q435" s="32" t="str">
        <f aca="false">IF($J435="","",IF($K435="",$J435,$K435))</f>
        <v/>
      </c>
      <c r="R435" s="28" t="str">
        <f aca="false">IF($E435="","",IF(OR($N435&lt;&gt;"Concluída",$O435="",$J435=""),0,IF($O435&lt;=$J435,1,0)))</f>
        <v/>
      </c>
      <c r="S435" s="28" t="str">
        <f aca="false">IF($E435="","",IF(OR($N435&lt;&gt;"Concluída",$O435="",$Q435=""),0,IF($O435&lt;=$Q435,1,0)))</f>
        <v/>
      </c>
      <c r="T435" s="28" t="str">
        <f aca="false">IF(OR($J435="",$N435&lt;&gt;"Concluída",$O435=""),"",MAX(0,$O435-$J435))</f>
        <v/>
      </c>
      <c r="U435" s="33" t="str">
        <f aca="true">IF($E435="","",IF($N435="Cancelada","Cancelada",IF($N435="Concluída",IF($R435=1,"No prazo","Concluída com atraso"),IF($J435="","Na carteira",IF($J435&lt;TODAY(),"VENCIDA",IF($J435=TODAY(),"Hoje","Programada"))))))</f>
        <v/>
      </c>
    </row>
    <row r="436" customFormat="false" ht="15.75" hidden="false" customHeight="true" outlineLevel="0" collapsed="false">
      <c r="A436" s="28" t="str">
        <f aca="false">IF($E436="","",COUNTA($E$4:$E436))</f>
        <v/>
      </c>
      <c r="B436" s="29"/>
      <c r="C436" s="29"/>
      <c r="D436" s="29"/>
      <c r="E436" s="29"/>
      <c r="F436" s="30"/>
      <c r="G436" s="29"/>
      <c r="H436" s="30"/>
      <c r="I436" s="29"/>
      <c r="J436" s="31"/>
      <c r="K436" s="31"/>
      <c r="L436" s="30"/>
      <c r="M436" s="29"/>
      <c r="N436" s="30"/>
      <c r="O436" s="31"/>
      <c r="P436" s="32" t="str">
        <f aca="false">IF($J436="","",$J436-WEEKDAY($J436,3))</f>
        <v/>
      </c>
      <c r="Q436" s="32" t="str">
        <f aca="false">IF($J436="","",IF($K436="",$J436,$K436))</f>
        <v/>
      </c>
      <c r="R436" s="28" t="str">
        <f aca="false">IF($E436="","",IF(OR($N436&lt;&gt;"Concluída",$O436="",$J436=""),0,IF($O436&lt;=$J436,1,0)))</f>
        <v/>
      </c>
      <c r="S436" s="28" t="str">
        <f aca="false">IF($E436="","",IF(OR($N436&lt;&gt;"Concluída",$O436="",$Q436=""),0,IF($O436&lt;=$Q436,1,0)))</f>
        <v/>
      </c>
      <c r="T436" s="28" t="str">
        <f aca="false">IF(OR($J436="",$N436&lt;&gt;"Concluída",$O436=""),"",MAX(0,$O436-$J436))</f>
        <v/>
      </c>
      <c r="U436" s="33" t="str">
        <f aca="true">IF($E436="","",IF($N436="Cancelada","Cancelada",IF($N436="Concluída",IF($R436=1,"No prazo","Concluída com atraso"),IF($J436="","Na carteira",IF($J436&lt;TODAY(),"VENCIDA",IF($J436=TODAY(),"Hoje","Programada"))))))</f>
        <v/>
      </c>
    </row>
    <row r="437" customFormat="false" ht="15.75" hidden="false" customHeight="true" outlineLevel="0" collapsed="false">
      <c r="A437" s="28" t="str">
        <f aca="false">IF($E437="","",COUNTA($E$4:$E437))</f>
        <v/>
      </c>
      <c r="B437" s="34"/>
      <c r="C437" s="34"/>
      <c r="D437" s="34"/>
      <c r="E437" s="34"/>
      <c r="F437" s="35"/>
      <c r="G437" s="34"/>
      <c r="H437" s="35"/>
      <c r="I437" s="34"/>
      <c r="J437" s="36"/>
      <c r="K437" s="36"/>
      <c r="L437" s="35"/>
      <c r="M437" s="34"/>
      <c r="N437" s="35"/>
      <c r="O437" s="36"/>
      <c r="P437" s="32" t="str">
        <f aca="false">IF($J437="","",$J437-WEEKDAY($J437,3))</f>
        <v/>
      </c>
      <c r="Q437" s="32" t="str">
        <f aca="false">IF($J437="","",IF($K437="",$J437,$K437))</f>
        <v/>
      </c>
      <c r="R437" s="28" t="str">
        <f aca="false">IF($E437="","",IF(OR($N437&lt;&gt;"Concluída",$O437="",$J437=""),0,IF($O437&lt;=$J437,1,0)))</f>
        <v/>
      </c>
      <c r="S437" s="28" t="str">
        <f aca="false">IF($E437="","",IF(OR($N437&lt;&gt;"Concluída",$O437="",$Q437=""),0,IF($O437&lt;=$Q437,1,0)))</f>
        <v/>
      </c>
      <c r="T437" s="28" t="str">
        <f aca="false">IF(OR($J437="",$N437&lt;&gt;"Concluída",$O437=""),"",MAX(0,$O437-$J437))</f>
        <v/>
      </c>
      <c r="U437" s="33" t="str">
        <f aca="true">IF($E437="","",IF($N437="Cancelada","Cancelada",IF($N437="Concluída",IF($R437=1,"No prazo","Concluída com atraso"),IF($J437="","Na carteira",IF($J437&lt;TODAY(),"VENCIDA",IF($J437=TODAY(),"Hoje","Programada"))))))</f>
        <v/>
      </c>
    </row>
    <row r="438" customFormat="false" ht="15.75" hidden="false" customHeight="true" outlineLevel="0" collapsed="false">
      <c r="A438" s="28" t="str">
        <f aca="false">IF($E438="","",COUNTA($E$4:$E438))</f>
        <v/>
      </c>
      <c r="B438" s="29"/>
      <c r="C438" s="29"/>
      <c r="D438" s="29"/>
      <c r="E438" s="29"/>
      <c r="F438" s="30"/>
      <c r="G438" s="29"/>
      <c r="H438" s="30"/>
      <c r="I438" s="29"/>
      <c r="J438" s="31"/>
      <c r="K438" s="31"/>
      <c r="L438" s="30"/>
      <c r="M438" s="29"/>
      <c r="N438" s="30"/>
      <c r="O438" s="31"/>
      <c r="P438" s="32" t="str">
        <f aca="false">IF($J438="","",$J438-WEEKDAY($J438,3))</f>
        <v/>
      </c>
      <c r="Q438" s="32" t="str">
        <f aca="false">IF($J438="","",IF($K438="",$J438,$K438))</f>
        <v/>
      </c>
      <c r="R438" s="28" t="str">
        <f aca="false">IF($E438="","",IF(OR($N438&lt;&gt;"Concluída",$O438="",$J438=""),0,IF($O438&lt;=$J438,1,0)))</f>
        <v/>
      </c>
      <c r="S438" s="28" t="str">
        <f aca="false">IF($E438="","",IF(OR($N438&lt;&gt;"Concluída",$O438="",$Q438=""),0,IF($O438&lt;=$Q438,1,0)))</f>
        <v/>
      </c>
      <c r="T438" s="28" t="str">
        <f aca="false">IF(OR($J438="",$N438&lt;&gt;"Concluída",$O438=""),"",MAX(0,$O438-$J438))</f>
        <v/>
      </c>
      <c r="U438" s="33" t="str">
        <f aca="true">IF($E438="","",IF($N438="Cancelada","Cancelada",IF($N438="Concluída",IF($R438=1,"No prazo","Concluída com atraso"),IF($J438="","Na carteira",IF($J438&lt;TODAY(),"VENCIDA",IF($J438=TODAY(),"Hoje","Programada"))))))</f>
        <v/>
      </c>
    </row>
    <row r="439" customFormat="false" ht="15.75" hidden="false" customHeight="true" outlineLevel="0" collapsed="false">
      <c r="A439" s="28" t="str">
        <f aca="false">IF($E439="","",COUNTA($E$4:$E439))</f>
        <v/>
      </c>
      <c r="B439" s="34"/>
      <c r="C439" s="34"/>
      <c r="D439" s="34"/>
      <c r="E439" s="34"/>
      <c r="F439" s="35"/>
      <c r="G439" s="34"/>
      <c r="H439" s="35"/>
      <c r="I439" s="34"/>
      <c r="J439" s="36"/>
      <c r="K439" s="36"/>
      <c r="L439" s="35"/>
      <c r="M439" s="34"/>
      <c r="N439" s="35"/>
      <c r="O439" s="36"/>
      <c r="P439" s="32" t="str">
        <f aca="false">IF($J439="","",$J439-WEEKDAY($J439,3))</f>
        <v/>
      </c>
      <c r="Q439" s="32" t="str">
        <f aca="false">IF($J439="","",IF($K439="",$J439,$K439))</f>
        <v/>
      </c>
      <c r="R439" s="28" t="str">
        <f aca="false">IF($E439="","",IF(OR($N439&lt;&gt;"Concluída",$O439="",$J439=""),0,IF($O439&lt;=$J439,1,0)))</f>
        <v/>
      </c>
      <c r="S439" s="28" t="str">
        <f aca="false">IF($E439="","",IF(OR($N439&lt;&gt;"Concluída",$O439="",$Q439=""),0,IF($O439&lt;=$Q439,1,0)))</f>
        <v/>
      </c>
      <c r="T439" s="28" t="str">
        <f aca="false">IF(OR($J439="",$N439&lt;&gt;"Concluída",$O439=""),"",MAX(0,$O439-$J439))</f>
        <v/>
      </c>
      <c r="U439" s="33" t="str">
        <f aca="true">IF($E439="","",IF($N439="Cancelada","Cancelada",IF($N439="Concluída",IF($R439=1,"No prazo","Concluída com atraso"),IF($J439="","Na carteira",IF($J439&lt;TODAY(),"VENCIDA",IF($J439=TODAY(),"Hoje","Programada"))))))</f>
        <v/>
      </c>
    </row>
    <row r="440" customFormat="false" ht="15.75" hidden="false" customHeight="true" outlineLevel="0" collapsed="false">
      <c r="A440" s="28" t="str">
        <f aca="false">IF($E440="","",COUNTA($E$4:$E440))</f>
        <v/>
      </c>
      <c r="B440" s="29"/>
      <c r="C440" s="29"/>
      <c r="D440" s="29"/>
      <c r="E440" s="29"/>
      <c r="F440" s="30"/>
      <c r="G440" s="29"/>
      <c r="H440" s="30"/>
      <c r="I440" s="29"/>
      <c r="J440" s="31"/>
      <c r="K440" s="31"/>
      <c r="L440" s="30"/>
      <c r="M440" s="29"/>
      <c r="N440" s="30"/>
      <c r="O440" s="31"/>
      <c r="P440" s="32" t="str">
        <f aca="false">IF($J440="","",$J440-WEEKDAY($J440,3))</f>
        <v/>
      </c>
      <c r="Q440" s="32" t="str">
        <f aca="false">IF($J440="","",IF($K440="",$J440,$K440))</f>
        <v/>
      </c>
      <c r="R440" s="28" t="str">
        <f aca="false">IF($E440="","",IF(OR($N440&lt;&gt;"Concluída",$O440="",$J440=""),0,IF($O440&lt;=$J440,1,0)))</f>
        <v/>
      </c>
      <c r="S440" s="28" t="str">
        <f aca="false">IF($E440="","",IF(OR($N440&lt;&gt;"Concluída",$O440="",$Q440=""),0,IF($O440&lt;=$Q440,1,0)))</f>
        <v/>
      </c>
      <c r="T440" s="28" t="str">
        <f aca="false">IF(OR($J440="",$N440&lt;&gt;"Concluída",$O440=""),"",MAX(0,$O440-$J440))</f>
        <v/>
      </c>
      <c r="U440" s="33" t="str">
        <f aca="true">IF($E440="","",IF($N440="Cancelada","Cancelada",IF($N440="Concluída",IF($R440=1,"No prazo","Concluída com atraso"),IF($J440="","Na carteira",IF($J440&lt;TODAY(),"VENCIDA",IF($J440=TODAY(),"Hoje","Programada"))))))</f>
        <v/>
      </c>
    </row>
    <row r="441" customFormat="false" ht="15.75" hidden="false" customHeight="true" outlineLevel="0" collapsed="false">
      <c r="A441" s="28" t="str">
        <f aca="false">IF($E441="","",COUNTA($E$4:$E441))</f>
        <v/>
      </c>
      <c r="B441" s="34"/>
      <c r="C441" s="34"/>
      <c r="D441" s="34"/>
      <c r="E441" s="34"/>
      <c r="F441" s="35"/>
      <c r="G441" s="34"/>
      <c r="H441" s="35"/>
      <c r="I441" s="34"/>
      <c r="J441" s="36"/>
      <c r="K441" s="36"/>
      <c r="L441" s="35"/>
      <c r="M441" s="34"/>
      <c r="N441" s="35"/>
      <c r="O441" s="36"/>
      <c r="P441" s="32" t="str">
        <f aca="false">IF($J441="","",$J441-WEEKDAY($J441,3))</f>
        <v/>
      </c>
      <c r="Q441" s="32" t="str">
        <f aca="false">IF($J441="","",IF($K441="",$J441,$K441))</f>
        <v/>
      </c>
      <c r="R441" s="28" t="str">
        <f aca="false">IF($E441="","",IF(OR($N441&lt;&gt;"Concluída",$O441="",$J441=""),0,IF($O441&lt;=$J441,1,0)))</f>
        <v/>
      </c>
      <c r="S441" s="28" t="str">
        <f aca="false">IF($E441="","",IF(OR($N441&lt;&gt;"Concluída",$O441="",$Q441=""),0,IF($O441&lt;=$Q441,1,0)))</f>
        <v/>
      </c>
      <c r="T441" s="28" t="str">
        <f aca="false">IF(OR($J441="",$N441&lt;&gt;"Concluída",$O441=""),"",MAX(0,$O441-$J441))</f>
        <v/>
      </c>
      <c r="U441" s="33" t="str">
        <f aca="true">IF($E441="","",IF($N441="Cancelada","Cancelada",IF($N441="Concluída",IF($R441=1,"No prazo","Concluída com atraso"),IF($J441="","Na carteira",IF($J441&lt;TODAY(),"VENCIDA",IF($J441=TODAY(),"Hoje","Programada"))))))</f>
        <v/>
      </c>
    </row>
    <row r="442" customFormat="false" ht="15.75" hidden="false" customHeight="true" outlineLevel="0" collapsed="false">
      <c r="A442" s="28" t="str">
        <f aca="false">IF($E442="","",COUNTA($E$4:$E442))</f>
        <v/>
      </c>
      <c r="B442" s="29"/>
      <c r="C442" s="29"/>
      <c r="D442" s="29"/>
      <c r="E442" s="29"/>
      <c r="F442" s="30"/>
      <c r="G442" s="29"/>
      <c r="H442" s="30"/>
      <c r="I442" s="29"/>
      <c r="J442" s="31"/>
      <c r="K442" s="31"/>
      <c r="L442" s="30"/>
      <c r="M442" s="29"/>
      <c r="N442" s="30"/>
      <c r="O442" s="31"/>
      <c r="P442" s="32" t="str">
        <f aca="false">IF($J442="","",$J442-WEEKDAY($J442,3))</f>
        <v/>
      </c>
      <c r="Q442" s="32" t="str">
        <f aca="false">IF($J442="","",IF($K442="",$J442,$K442))</f>
        <v/>
      </c>
      <c r="R442" s="28" t="str">
        <f aca="false">IF($E442="","",IF(OR($N442&lt;&gt;"Concluída",$O442="",$J442=""),0,IF($O442&lt;=$J442,1,0)))</f>
        <v/>
      </c>
      <c r="S442" s="28" t="str">
        <f aca="false">IF($E442="","",IF(OR($N442&lt;&gt;"Concluída",$O442="",$Q442=""),0,IF($O442&lt;=$Q442,1,0)))</f>
        <v/>
      </c>
      <c r="T442" s="28" t="str">
        <f aca="false">IF(OR($J442="",$N442&lt;&gt;"Concluída",$O442=""),"",MAX(0,$O442-$J442))</f>
        <v/>
      </c>
      <c r="U442" s="33" t="str">
        <f aca="true">IF($E442="","",IF($N442="Cancelada","Cancelada",IF($N442="Concluída",IF($R442=1,"No prazo","Concluída com atraso"),IF($J442="","Na carteira",IF($J442&lt;TODAY(),"VENCIDA",IF($J442=TODAY(),"Hoje","Programada"))))))</f>
        <v/>
      </c>
    </row>
    <row r="443" customFormat="false" ht="15.75" hidden="false" customHeight="true" outlineLevel="0" collapsed="false">
      <c r="A443" s="28" t="str">
        <f aca="false">IF($E443="","",COUNTA($E$4:$E443))</f>
        <v/>
      </c>
      <c r="B443" s="34"/>
      <c r="C443" s="34"/>
      <c r="D443" s="34"/>
      <c r="E443" s="34"/>
      <c r="F443" s="35"/>
      <c r="G443" s="34"/>
      <c r="H443" s="35"/>
      <c r="I443" s="34"/>
      <c r="J443" s="36"/>
      <c r="K443" s="36"/>
      <c r="L443" s="35"/>
      <c r="M443" s="34"/>
      <c r="N443" s="35"/>
      <c r="O443" s="36"/>
      <c r="P443" s="32" t="str">
        <f aca="false">IF($J443="","",$J443-WEEKDAY($J443,3))</f>
        <v/>
      </c>
      <c r="Q443" s="32" t="str">
        <f aca="false">IF($J443="","",IF($K443="",$J443,$K443))</f>
        <v/>
      </c>
      <c r="R443" s="28" t="str">
        <f aca="false">IF($E443="","",IF(OR($N443&lt;&gt;"Concluída",$O443="",$J443=""),0,IF($O443&lt;=$J443,1,0)))</f>
        <v/>
      </c>
      <c r="S443" s="28" t="str">
        <f aca="false">IF($E443="","",IF(OR($N443&lt;&gt;"Concluída",$O443="",$Q443=""),0,IF($O443&lt;=$Q443,1,0)))</f>
        <v/>
      </c>
      <c r="T443" s="28" t="str">
        <f aca="false">IF(OR($J443="",$N443&lt;&gt;"Concluída",$O443=""),"",MAX(0,$O443-$J443))</f>
        <v/>
      </c>
      <c r="U443" s="33" t="str">
        <f aca="true">IF($E443="","",IF($N443="Cancelada","Cancelada",IF($N443="Concluída",IF($R443=1,"No prazo","Concluída com atraso"),IF($J443="","Na carteira",IF($J443&lt;TODAY(),"VENCIDA",IF($J443=TODAY(),"Hoje","Programada"))))))</f>
        <v/>
      </c>
    </row>
    <row r="444" customFormat="false" ht="15.75" hidden="false" customHeight="true" outlineLevel="0" collapsed="false">
      <c r="A444" s="28" t="str">
        <f aca="false">IF($E444="","",COUNTA($E$4:$E444))</f>
        <v/>
      </c>
      <c r="B444" s="29"/>
      <c r="C444" s="29"/>
      <c r="D444" s="29"/>
      <c r="E444" s="29"/>
      <c r="F444" s="30"/>
      <c r="G444" s="29"/>
      <c r="H444" s="30"/>
      <c r="I444" s="29"/>
      <c r="J444" s="31"/>
      <c r="K444" s="31"/>
      <c r="L444" s="30"/>
      <c r="M444" s="29"/>
      <c r="N444" s="30"/>
      <c r="O444" s="31"/>
      <c r="P444" s="32" t="str">
        <f aca="false">IF($J444="","",$J444-WEEKDAY($J444,3))</f>
        <v/>
      </c>
      <c r="Q444" s="32" t="str">
        <f aca="false">IF($J444="","",IF($K444="",$J444,$K444))</f>
        <v/>
      </c>
      <c r="R444" s="28" t="str">
        <f aca="false">IF($E444="","",IF(OR($N444&lt;&gt;"Concluída",$O444="",$J444=""),0,IF($O444&lt;=$J444,1,0)))</f>
        <v/>
      </c>
      <c r="S444" s="28" t="str">
        <f aca="false">IF($E444="","",IF(OR($N444&lt;&gt;"Concluída",$O444="",$Q444=""),0,IF($O444&lt;=$Q444,1,0)))</f>
        <v/>
      </c>
      <c r="T444" s="28" t="str">
        <f aca="false">IF(OR($J444="",$N444&lt;&gt;"Concluída",$O444=""),"",MAX(0,$O444-$J444))</f>
        <v/>
      </c>
      <c r="U444" s="33" t="str">
        <f aca="true">IF($E444="","",IF($N444="Cancelada","Cancelada",IF($N444="Concluída",IF($R444=1,"No prazo","Concluída com atraso"),IF($J444="","Na carteira",IF($J444&lt;TODAY(),"VENCIDA",IF($J444=TODAY(),"Hoje","Programada"))))))</f>
        <v/>
      </c>
    </row>
    <row r="445" customFormat="false" ht="15.75" hidden="false" customHeight="true" outlineLevel="0" collapsed="false">
      <c r="A445" s="28" t="str">
        <f aca="false">IF($E445="","",COUNTA($E$4:$E445))</f>
        <v/>
      </c>
      <c r="B445" s="34"/>
      <c r="C445" s="34"/>
      <c r="D445" s="34"/>
      <c r="E445" s="34"/>
      <c r="F445" s="35"/>
      <c r="G445" s="34"/>
      <c r="H445" s="35"/>
      <c r="I445" s="34"/>
      <c r="J445" s="36"/>
      <c r="K445" s="36"/>
      <c r="L445" s="35"/>
      <c r="M445" s="34"/>
      <c r="N445" s="35"/>
      <c r="O445" s="36"/>
      <c r="P445" s="32" t="str">
        <f aca="false">IF($J445="","",$J445-WEEKDAY($J445,3))</f>
        <v/>
      </c>
      <c r="Q445" s="32" t="str">
        <f aca="false">IF($J445="","",IF($K445="",$J445,$K445))</f>
        <v/>
      </c>
      <c r="R445" s="28" t="str">
        <f aca="false">IF($E445="","",IF(OR($N445&lt;&gt;"Concluída",$O445="",$J445=""),0,IF($O445&lt;=$J445,1,0)))</f>
        <v/>
      </c>
      <c r="S445" s="28" t="str">
        <f aca="false">IF($E445="","",IF(OR($N445&lt;&gt;"Concluída",$O445="",$Q445=""),0,IF($O445&lt;=$Q445,1,0)))</f>
        <v/>
      </c>
      <c r="T445" s="28" t="str">
        <f aca="false">IF(OR($J445="",$N445&lt;&gt;"Concluída",$O445=""),"",MAX(0,$O445-$J445))</f>
        <v/>
      </c>
      <c r="U445" s="33" t="str">
        <f aca="true">IF($E445="","",IF($N445="Cancelada","Cancelada",IF($N445="Concluída",IF($R445=1,"No prazo","Concluída com atraso"),IF($J445="","Na carteira",IF($J445&lt;TODAY(),"VENCIDA",IF($J445=TODAY(),"Hoje","Programada"))))))</f>
        <v/>
      </c>
    </row>
    <row r="446" customFormat="false" ht="15.75" hidden="false" customHeight="true" outlineLevel="0" collapsed="false">
      <c r="A446" s="28" t="str">
        <f aca="false">IF($E446="","",COUNTA($E$4:$E446))</f>
        <v/>
      </c>
      <c r="B446" s="29"/>
      <c r="C446" s="29"/>
      <c r="D446" s="29"/>
      <c r="E446" s="29"/>
      <c r="F446" s="30"/>
      <c r="G446" s="29"/>
      <c r="H446" s="30"/>
      <c r="I446" s="29"/>
      <c r="J446" s="31"/>
      <c r="K446" s="31"/>
      <c r="L446" s="30"/>
      <c r="M446" s="29"/>
      <c r="N446" s="30"/>
      <c r="O446" s="31"/>
      <c r="P446" s="32" t="str">
        <f aca="false">IF($J446="","",$J446-WEEKDAY($J446,3))</f>
        <v/>
      </c>
      <c r="Q446" s="32" t="str">
        <f aca="false">IF($J446="","",IF($K446="",$J446,$K446))</f>
        <v/>
      </c>
      <c r="R446" s="28" t="str">
        <f aca="false">IF($E446="","",IF(OR($N446&lt;&gt;"Concluída",$O446="",$J446=""),0,IF($O446&lt;=$J446,1,0)))</f>
        <v/>
      </c>
      <c r="S446" s="28" t="str">
        <f aca="false">IF($E446="","",IF(OR($N446&lt;&gt;"Concluída",$O446="",$Q446=""),0,IF($O446&lt;=$Q446,1,0)))</f>
        <v/>
      </c>
      <c r="T446" s="28" t="str">
        <f aca="false">IF(OR($J446="",$N446&lt;&gt;"Concluída",$O446=""),"",MAX(0,$O446-$J446))</f>
        <v/>
      </c>
      <c r="U446" s="33" t="str">
        <f aca="true">IF($E446="","",IF($N446="Cancelada","Cancelada",IF($N446="Concluída",IF($R446=1,"No prazo","Concluída com atraso"),IF($J446="","Na carteira",IF($J446&lt;TODAY(),"VENCIDA",IF($J446=TODAY(),"Hoje","Programada"))))))</f>
        <v/>
      </c>
    </row>
    <row r="447" customFormat="false" ht="15.75" hidden="false" customHeight="true" outlineLevel="0" collapsed="false">
      <c r="A447" s="28" t="str">
        <f aca="false">IF($E447="","",COUNTA($E$4:$E447))</f>
        <v/>
      </c>
      <c r="B447" s="34"/>
      <c r="C447" s="34"/>
      <c r="D447" s="34"/>
      <c r="E447" s="34"/>
      <c r="F447" s="35"/>
      <c r="G447" s="34"/>
      <c r="H447" s="35"/>
      <c r="I447" s="34"/>
      <c r="J447" s="36"/>
      <c r="K447" s="36"/>
      <c r="L447" s="35"/>
      <c r="M447" s="34"/>
      <c r="N447" s="35"/>
      <c r="O447" s="36"/>
      <c r="P447" s="32" t="str">
        <f aca="false">IF($J447="","",$J447-WEEKDAY($J447,3))</f>
        <v/>
      </c>
      <c r="Q447" s="32" t="str">
        <f aca="false">IF($J447="","",IF($K447="",$J447,$K447))</f>
        <v/>
      </c>
      <c r="R447" s="28" t="str">
        <f aca="false">IF($E447="","",IF(OR($N447&lt;&gt;"Concluída",$O447="",$J447=""),0,IF($O447&lt;=$J447,1,0)))</f>
        <v/>
      </c>
      <c r="S447" s="28" t="str">
        <f aca="false">IF($E447="","",IF(OR($N447&lt;&gt;"Concluída",$O447="",$Q447=""),0,IF($O447&lt;=$Q447,1,0)))</f>
        <v/>
      </c>
      <c r="T447" s="28" t="str">
        <f aca="false">IF(OR($J447="",$N447&lt;&gt;"Concluída",$O447=""),"",MAX(0,$O447-$J447))</f>
        <v/>
      </c>
      <c r="U447" s="33" t="str">
        <f aca="true">IF($E447="","",IF($N447="Cancelada","Cancelada",IF($N447="Concluída",IF($R447=1,"No prazo","Concluída com atraso"),IF($J447="","Na carteira",IF($J447&lt;TODAY(),"VENCIDA",IF($J447=TODAY(),"Hoje","Programada"))))))</f>
        <v/>
      </c>
    </row>
    <row r="448" customFormat="false" ht="15.75" hidden="false" customHeight="true" outlineLevel="0" collapsed="false">
      <c r="A448" s="28" t="str">
        <f aca="false">IF($E448="","",COUNTA($E$4:$E448))</f>
        <v/>
      </c>
      <c r="B448" s="29"/>
      <c r="C448" s="29"/>
      <c r="D448" s="29"/>
      <c r="E448" s="29"/>
      <c r="F448" s="30"/>
      <c r="G448" s="29"/>
      <c r="H448" s="30"/>
      <c r="I448" s="29"/>
      <c r="J448" s="31"/>
      <c r="K448" s="31"/>
      <c r="L448" s="30"/>
      <c r="M448" s="29"/>
      <c r="N448" s="30"/>
      <c r="O448" s="31"/>
      <c r="P448" s="32" t="str">
        <f aca="false">IF($J448="","",$J448-WEEKDAY($J448,3))</f>
        <v/>
      </c>
      <c r="Q448" s="32" t="str">
        <f aca="false">IF($J448="","",IF($K448="",$J448,$K448))</f>
        <v/>
      </c>
      <c r="R448" s="28" t="str">
        <f aca="false">IF($E448="","",IF(OR($N448&lt;&gt;"Concluída",$O448="",$J448=""),0,IF($O448&lt;=$J448,1,0)))</f>
        <v/>
      </c>
      <c r="S448" s="28" t="str">
        <f aca="false">IF($E448="","",IF(OR($N448&lt;&gt;"Concluída",$O448="",$Q448=""),0,IF($O448&lt;=$Q448,1,0)))</f>
        <v/>
      </c>
      <c r="T448" s="28" t="str">
        <f aca="false">IF(OR($J448="",$N448&lt;&gt;"Concluída",$O448=""),"",MAX(0,$O448-$J448))</f>
        <v/>
      </c>
      <c r="U448" s="33" t="str">
        <f aca="true">IF($E448="","",IF($N448="Cancelada","Cancelada",IF($N448="Concluída",IF($R448=1,"No prazo","Concluída com atraso"),IF($J448="","Na carteira",IF($J448&lt;TODAY(),"VENCIDA",IF($J448=TODAY(),"Hoje","Programada"))))))</f>
        <v/>
      </c>
    </row>
    <row r="449" customFormat="false" ht="15.75" hidden="false" customHeight="true" outlineLevel="0" collapsed="false">
      <c r="A449" s="28" t="str">
        <f aca="false">IF($E449="","",COUNTA($E$4:$E449))</f>
        <v/>
      </c>
      <c r="B449" s="34"/>
      <c r="C449" s="34"/>
      <c r="D449" s="34"/>
      <c r="E449" s="34"/>
      <c r="F449" s="35"/>
      <c r="G449" s="34"/>
      <c r="H449" s="35"/>
      <c r="I449" s="34"/>
      <c r="J449" s="36"/>
      <c r="K449" s="36"/>
      <c r="L449" s="35"/>
      <c r="M449" s="34"/>
      <c r="N449" s="35"/>
      <c r="O449" s="36"/>
      <c r="P449" s="32" t="str">
        <f aca="false">IF($J449="","",$J449-WEEKDAY($J449,3))</f>
        <v/>
      </c>
      <c r="Q449" s="32" t="str">
        <f aca="false">IF($J449="","",IF($K449="",$J449,$K449))</f>
        <v/>
      </c>
      <c r="R449" s="28" t="str">
        <f aca="false">IF($E449="","",IF(OR($N449&lt;&gt;"Concluída",$O449="",$J449=""),0,IF($O449&lt;=$J449,1,0)))</f>
        <v/>
      </c>
      <c r="S449" s="28" t="str">
        <f aca="false">IF($E449="","",IF(OR($N449&lt;&gt;"Concluída",$O449="",$Q449=""),0,IF($O449&lt;=$Q449,1,0)))</f>
        <v/>
      </c>
      <c r="T449" s="28" t="str">
        <f aca="false">IF(OR($J449="",$N449&lt;&gt;"Concluída",$O449=""),"",MAX(0,$O449-$J449))</f>
        <v/>
      </c>
      <c r="U449" s="33" t="str">
        <f aca="true">IF($E449="","",IF($N449="Cancelada","Cancelada",IF($N449="Concluída",IF($R449=1,"No prazo","Concluída com atraso"),IF($J449="","Na carteira",IF($J449&lt;TODAY(),"VENCIDA",IF($J449=TODAY(),"Hoje","Programada"))))))</f>
        <v/>
      </c>
    </row>
    <row r="450" customFormat="false" ht="15.75" hidden="false" customHeight="true" outlineLevel="0" collapsed="false">
      <c r="A450" s="28" t="str">
        <f aca="false">IF($E450="","",COUNTA($E$4:$E450))</f>
        <v/>
      </c>
      <c r="B450" s="29"/>
      <c r="C450" s="29"/>
      <c r="D450" s="29"/>
      <c r="E450" s="29"/>
      <c r="F450" s="30"/>
      <c r="G450" s="29"/>
      <c r="H450" s="30"/>
      <c r="I450" s="29"/>
      <c r="J450" s="31"/>
      <c r="K450" s="31"/>
      <c r="L450" s="30"/>
      <c r="M450" s="29"/>
      <c r="N450" s="30"/>
      <c r="O450" s="31"/>
      <c r="P450" s="32" t="str">
        <f aca="false">IF($J450="","",$J450-WEEKDAY($J450,3))</f>
        <v/>
      </c>
      <c r="Q450" s="32" t="str">
        <f aca="false">IF($J450="","",IF($K450="",$J450,$K450))</f>
        <v/>
      </c>
      <c r="R450" s="28" t="str">
        <f aca="false">IF($E450="","",IF(OR($N450&lt;&gt;"Concluída",$O450="",$J450=""),0,IF($O450&lt;=$J450,1,0)))</f>
        <v/>
      </c>
      <c r="S450" s="28" t="str">
        <f aca="false">IF($E450="","",IF(OR($N450&lt;&gt;"Concluída",$O450="",$Q450=""),0,IF($O450&lt;=$Q450,1,0)))</f>
        <v/>
      </c>
      <c r="T450" s="28" t="str">
        <f aca="false">IF(OR($J450="",$N450&lt;&gt;"Concluída",$O450=""),"",MAX(0,$O450-$J450))</f>
        <v/>
      </c>
      <c r="U450" s="33" t="str">
        <f aca="true">IF($E450="","",IF($N450="Cancelada","Cancelada",IF($N450="Concluída",IF($R450=1,"No prazo","Concluída com atraso"),IF($J450="","Na carteira",IF($J450&lt;TODAY(),"VENCIDA",IF($J450=TODAY(),"Hoje","Programada"))))))</f>
        <v/>
      </c>
    </row>
    <row r="451" customFormat="false" ht="15.75" hidden="false" customHeight="true" outlineLevel="0" collapsed="false">
      <c r="A451" s="28" t="str">
        <f aca="false">IF($E451="","",COUNTA($E$4:$E451))</f>
        <v/>
      </c>
      <c r="B451" s="34"/>
      <c r="C451" s="34"/>
      <c r="D451" s="34"/>
      <c r="E451" s="34"/>
      <c r="F451" s="35"/>
      <c r="G451" s="34"/>
      <c r="H451" s="35"/>
      <c r="I451" s="34"/>
      <c r="J451" s="36"/>
      <c r="K451" s="36"/>
      <c r="L451" s="35"/>
      <c r="M451" s="34"/>
      <c r="N451" s="35"/>
      <c r="O451" s="36"/>
      <c r="P451" s="32" t="str">
        <f aca="false">IF($J451="","",$J451-WEEKDAY($J451,3))</f>
        <v/>
      </c>
      <c r="Q451" s="32" t="str">
        <f aca="false">IF($J451="","",IF($K451="",$J451,$K451))</f>
        <v/>
      </c>
      <c r="R451" s="28" t="str">
        <f aca="false">IF($E451="","",IF(OR($N451&lt;&gt;"Concluída",$O451="",$J451=""),0,IF($O451&lt;=$J451,1,0)))</f>
        <v/>
      </c>
      <c r="S451" s="28" t="str">
        <f aca="false">IF($E451="","",IF(OR($N451&lt;&gt;"Concluída",$O451="",$Q451=""),0,IF($O451&lt;=$Q451,1,0)))</f>
        <v/>
      </c>
      <c r="T451" s="28" t="str">
        <f aca="false">IF(OR($J451="",$N451&lt;&gt;"Concluída",$O451=""),"",MAX(0,$O451-$J451))</f>
        <v/>
      </c>
      <c r="U451" s="33" t="str">
        <f aca="true">IF($E451="","",IF($N451="Cancelada","Cancelada",IF($N451="Concluída",IF($R451=1,"No prazo","Concluída com atraso"),IF($J451="","Na carteira",IF($J451&lt;TODAY(),"VENCIDA",IF($J451=TODAY(),"Hoje","Programada"))))))</f>
        <v/>
      </c>
    </row>
    <row r="452" customFormat="false" ht="15.75" hidden="false" customHeight="true" outlineLevel="0" collapsed="false">
      <c r="A452" s="28" t="str">
        <f aca="false">IF($E452="","",COUNTA($E$4:$E452))</f>
        <v/>
      </c>
      <c r="B452" s="29"/>
      <c r="C452" s="29"/>
      <c r="D452" s="29"/>
      <c r="E452" s="29"/>
      <c r="F452" s="30"/>
      <c r="G452" s="29"/>
      <c r="H452" s="30"/>
      <c r="I452" s="29"/>
      <c r="J452" s="31"/>
      <c r="K452" s="31"/>
      <c r="L452" s="30"/>
      <c r="M452" s="29"/>
      <c r="N452" s="30"/>
      <c r="O452" s="31"/>
      <c r="P452" s="32" t="str">
        <f aca="false">IF($J452="","",$J452-WEEKDAY($J452,3))</f>
        <v/>
      </c>
      <c r="Q452" s="32" t="str">
        <f aca="false">IF($J452="","",IF($K452="",$J452,$K452))</f>
        <v/>
      </c>
      <c r="R452" s="28" t="str">
        <f aca="false">IF($E452="","",IF(OR($N452&lt;&gt;"Concluída",$O452="",$J452=""),0,IF($O452&lt;=$J452,1,0)))</f>
        <v/>
      </c>
      <c r="S452" s="28" t="str">
        <f aca="false">IF($E452="","",IF(OR($N452&lt;&gt;"Concluída",$O452="",$Q452=""),0,IF($O452&lt;=$Q452,1,0)))</f>
        <v/>
      </c>
      <c r="T452" s="28" t="str">
        <f aca="false">IF(OR($J452="",$N452&lt;&gt;"Concluída",$O452=""),"",MAX(0,$O452-$J452))</f>
        <v/>
      </c>
      <c r="U452" s="33" t="str">
        <f aca="true">IF($E452="","",IF($N452="Cancelada","Cancelada",IF($N452="Concluída",IF($R452=1,"No prazo","Concluída com atraso"),IF($J452="","Na carteira",IF($J452&lt;TODAY(),"VENCIDA",IF($J452=TODAY(),"Hoje","Programada"))))))</f>
        <v/>
      </c>
    </row>
    <row r="453" customFormat="false" ht="15.75" hidden="false" customHeight="true" outlineLevel="0" collapsed="false">
      <c r="A453" s="28" t="str">
        <f aca="false">IF($E453="","",COUNTA($E$4:$E453))</f>
        <v/>
      </c>
      <c r="B453" s="34"/>
      <c r="C453" s="34"/>
      <c r="D453" s="34"/>
      <c r="E453" s="34"/>
      <c r="F453" s="35"/>
      <c r="G453" s="34"/>
      <c r="H453" s="35"/>
      <c r="I453" s="34"/>
      <c r="J453" s="36"/>
      <c r="K453" s="36"/>
      <c r="L453" s="35"/>
      <c r="M453" s="34"/>
      <c r="N453" s="35"/>
      <c r="O453" s="36"/>
      <c r="P453" s="32" t="str">
        <f aca="false">IF($J453="","",$J453-WEEKDAY($J453,3))</f>
        <v/>
      </c>
      <c r="Q453" s="32" t="str">
        <f aca="false">IF($J453="","",IF($K453="",$J453,$K453))</f>
        <v/>
      </c>
      <c r="R453" s="28" t="str">
        <f aca="false">IF($E453="","",IF(OR($N453&lt;&gt;"Concluída",$O453="",$J453=""),0,IF($O453&lt;=$J453,1,0)))</f>
        <v/>
      </c>
      <c r="S453" s="28" t="str">
        <f aca="false">IF($E453="","",IF(OR($N453&lt;&gt;"Concluída",$O453="",$Q453=""),0,IF($O453&lt;=$Q453,1,0)))</f>
        <v/>
      </c>
      <c r="T453" s="28" t="str">
        <f aca="false">IF(OR($J453="",$N453&lt;&gt;"Concluída",$O453=""),"",MAX(0,$O453-$J453))</f>
        <v/>
      </c>
      <c r="U453" s="33" t="str">
        <f aca="true">IF($E453="","",IF($N453="Cancelada","Cancelada",IF($N453="Concluída",IF($R453=1,"No prazo","Concluída com atraso"),IF($J453="","Na carteira",IF($J453&lt;TODAY(),"VENCIDA",IF($J453=TODAY(),"Hoje","Programada"))))))</f>
        <v/>
      </c>
    </row>
    <row r="454" customFormat="false" ht="15.75" hidden="false" customHeight="true" outlineLevel="0" collapsed="false">
      <c r="A454" s="28" t="str">
        <f aca="false">IF($E454="","",COUNTA($E$4:$E454))</f>
        <v/>
      </c>
      <c r="B454" s="29"/>
      <c r="C454" s="29"/>
      <c r="D454" s="29"/>
      <c r="E454" s="29"/>
      <c r="F454" s="30"/>
      <c r="G454" s="29"/>
      <c r="H454" s="30"/>
      <c r="I454" s="29"/>
      <c r="J454" s="31"/>
      <c r="K454" s="31"/>
      <c r="L454" s="30"/>
      <c r="M454" s="29"/>
      <c r="N454" s="30"/>
      <c r="O454" s="31"/>
      <c r="P454" s="32" t="str">
        <f aca="false">IF($J454="","",$J454-WEEKDAY($J454,3))</f>
        <v/>
      </c>
      <c r="Q454" s="32" t="str">
        <f aca="false">IF($J454="","",IF($K454="",$J454,$K454))</f>
        <v/>
      </c>
      <c r="R454" s="28" t="str">
        <f aca="false">IF($E454="","",IF(OR($N454&lt;&gt;"Concluída",$O454="",$J454=""),0,IF($O454&lt;=$J454,1,0)))</f>
        <v/>
      </c>
      <c r="S454" s="28" t="str">
        <f aca="false">IF($E454="","",IF(OR($N454&lt;&gt;"Concluída",$O454="",$Q454=""),0,IF($O454&lt;=$Q454,1,0)))</f>
        <v/>
      </c>
      <c r="T454" s="28" t="str">
        <f aca="false">IF(OR($J454="",$N454&lt;&gt;"Concluída",$O454=""),"",MAX(0,$O454-$J454))</f>
        <v/>
      </c>
      <c r="U454" s="33" t="str">
        <f aca="true">IF($E454="","",IF($N454="Cancelada","Cancelada",IF($N454="Concluída",IF($R454=1,"No prazo","Concluída com atraso"),IF($J454="","Na carteira",IF($J454&lt;TODAY(),"VENCIDA",IF($J454=TODAY(),"Hoje","Programada"))))))</f>
        <v/>
      </c>
    </row>
    <row r="455" customFormat="false" ht="15.75" hidden="false" customHeight="true" outlineLevel="0" collapsed="false">
      <c r="A455" s="28" t="str">
        <f aca="false">IF($E455="","",COUNTA($E$4:$E455))</f>
        <v/>
      </c>
      <c r="B455" s="34"/>
      <c r="C455" s="34"/>
      <c r="D455" s="34"/>
      <c r="E455" s="34"/>
      <c r="F455" s="35"/>
      <c r="G455" s="34"/>
      <c r="H455" s="35"/>
      <c r="I455" s="34"/>
      <c r="J455" s="36"/>
      <c r="K455" s="36"/>
      <c r="L455" s="35"/>
      <c r="M455" s="34"/>
      <c r="N455" s="35"/>
      <c r="O455" s="36"/>
      <c r="P455" s="32" t="str">
        <f aca="false">IF($J455="","",$J455-WEEKDAY($J455,3))</f>
        <v/>
      </c>
      <c r="Q455" s="32" t="str">
        <f aca="false">IF($J455="","",IF($K455="",$J455,$K455))</f>
        <v/>
      </c>
      <c r="R455" s="28" t="str">
        <f aca="false">IF($E455="","",IF(OR($N455&lt;&gt;"Concluída",$O455="",$J455=""),0,IF($O455&lt;=$J455,1,0)))</f>
        <v/>
      </c>
      <c r="S455" s="28" t="str">
        <f aca="false">IF($E455="","",IF(OR($N455&lt;&gt;"Concluída",$O455="",$Q455=""),0,IF($O455&lt;=$Q455,1,0)))</f>
        <v/>
      </c>
      <c r="T455" s="28" t="str">
        <f aca="false">IF(OR($J455="",$N455&lt;&gt;"Concluída",$O455=""),"",MAX(0,$O455-$J455))</f>
        <v/>
      </c>
      <c r="U455" s="33" t="str">
        <f aca="true">IF($E455="","",IF($N455="Cancelada","Cancelada",IF($N455="Concluída",IF($R455=1,"No prazo","Concluída com atraso"),IF($J455="","Na carteira",IF($J455&lt;TODAY(),"VENCIDA",IF($J455=TODAY(),"Hoje","Programada"))))))</f>
        <v/>
      </c>
    </row>
    <row r="456" customFormat="false" ht="15.75" hidden="false" customHeight="true" outlineLevel="0" collapsed="false">
      <c r="A456" s="28" t="str">
        <f aca="false">IF($E456="","",COUNTA($E$4:$E456))</f>
        <v/>
      </c>
      <c r="B456" s="29"/>
      <c r="C456" s="29"/>
      <c r="D456" s="29"/>
      <c r="E456" s="29"/>
      <c r="F456" s="30"/>
      <c r="G456" s="29"/>
      <c r="H456" s="30"/>
      <c r="I456" s="29"/>
      <c r="J456" s="31"/>
      <c r="K456" s="31"/>
      <c r="L456" s="30"/>
      <c r="M456" s="29"/>
      <c r="N456" s="30"/>
      <c r="O456" s="31"/>
      <c r="P456" s="32" t="str">
        <f aca="false">IF($J456="","",$J456-WEEKDAY($J456,3))</f>
        <v/>
      </c>
      <c r="Q456" s="32" t="str">
        <f aca="false">IF($J456="","",IF($K456="",$J456,$K456))</f>
        <v/>
      </c>
      <c r="R456" s="28" t="str">
        <f aca="false">IF($E456="","",IF(OR($N456&lt;&gt;"Concluída",$O456="",$J456=""),0,IF($O456&lt;=$J456,1,0)))</f>
        <v/>
      </c>
      <c r="S456" s="28" t="str">
        <f aca="false">IF($E456="","",IF(OR($N456&lt;&gt;"Concluída",$O456="",$Q456=""),0,IF($O456&lt;=$Q456,1,0)))</f>
        <v/>
      </c>
      <c r="T456" s="28" t="str">
        <f aca="false">IF(OR($J456="",$N456&lt;&gt;"Concluída",$O456=""),"",MAX(0,$O456-$J456))</f>
        <v/>
      </c>
      <c r="U456" s="33" t="str">
        <f aca="true">IF($E456="","",IF($N456="Cancelada","Cancelada",IF($N456="Concluída",IF($R456=1,"No prazo","Concluída com atraso"),IF($J456="","Na carteira",IF($J456&lt;TODAY(),"VENCIDA",IF($J456=TODAY(),"Hoje","Programada"))))))</f>
        <v/>
      </c>
    </row>
    <row r="457" customFormat="false" ht="15.75" hidden="false" customHeight="true" outlineLevel="0" collapsed="false">
      <c r="A457" s="28" t="str">
        <f aca="false">IF($E457="","",COUNTA($E$4:$E457))</f>
        <v/>
      </c>
      <c r="B457" s="34"/>
      <c r="C457" s="34"/>
      <c r="D457" s="34"/>
      <c r="E457" s="34"/>
      <c r="F457" s="35"/>
      <c r="G457" s="34"/>
      <c r="H457" s="35"/>
      <c r="I457" s="34"/>
      <c r="J457" s="36"/>
      <c r="K457" s="36"/>
      <c r="L457" s="35"/>
      <c r="M457" s="34"/>
      <c r="N457" s="35"/>
      <c r="O457" s="36"/>
      <c r="P457" s="32" t="str">
        <f aca="false">IF($J457="","",$J457-WEEKDAY($J457,3))</f>
        <v/>
      </c>
      <c r="Q457" s="32" t="str">
        <f aca="false">IF($J457="","",IF($K457="",$J457,$K457))</f>
        <v/>
      </c>
      <c r="R457" s="28" t="str">
        <f aca="false">IF($E457="","",IF(OR($N457&lt;&gt;"Concluída",$O457="",$J457=""),0,IF($O457&lt;=$J457,1,0)))</f>
        <v/>
      </c>
      <c r="S457" s="28" t="str">
        <f aca="false">IF($E457="","",IF(OR($N457&lt;&gt;"Concluída",$O457="",$Q457=""),0,IF($O457&lt;=$Q457,1,0)))</f>
        <v/>
      </c>
      <c r="T457" s="28" t="str">
        <f aca="false">IF(OR($J457="",$N457&lt;&gt;"Concluída",$O457=""),"",MAX(0,$O457-$J457))</f>
        <v/>
      </c>
      <c r="U457" s="33" t="str">
        <f aca="true">IF($E457="","",IF($N457="Cancelada","Cancelada",IF($N457="Concluída",IF($R457=1,"No prazo","Concluída com atraso"),IF($J457="","Na carteira",IF($J457&lt;TODAY(),"VENCIDA",IF($J457=TODAY(),"Hoje","Programada"))))))</f>
        <v/>
      </c>
    </row>
    <row r="458" customFormat="false" ht="15.75" hidden="false" customHeight="true" outlineLevel="0" collapsed="false">
      <c r="A458" s="28" t="str">
        <f aca="false">IF($E458="","",COUNTA($E$4:$E458))</f>
        <v/>
      </c>
      <c r="B458" s="29"/>
      <c r="C458" s="29"/>
      <c r="D458" s="29"/>
      <c r="E458" s="29"/>
      <c r="F458" s="30"/>
      <c r="G458" s="29"/>
      <c r="H458" s="30"/>
      <c r="I458" s="29"/>
      <c r="J458" s="31"/>
      <c r="K458" s="31"/>
      <c r="L458" s="30"/>
      <c r="M458" s="29"/>
      <c r="N458" s="30"/>
      <c r="O458" s="31"/>
      <c r="P458" s="32" t="str">
        <f aca="false">IF($J458="","",$J458-WEEKDAY($J458,3))</f>
        <v/>
      </c>
      <c r="Q458" s="32" t="str">
        <f aca="false">IF($J458="","",IF($K458="",$J458,$K458))</f>
        <v/>
      </c>
      <c r="R458" s="28" t="str">
        <f aca="false">IF($E458="","",IF(OR($N458&lt;&gt;"Concluída",$O458="",$J458=""),0,IF($O458&lt;=$J458,1,0)))</f>
        <v/>
      </c>
      <c r="S458" s="28" t="str">
        <f aca="false">IF($E458="","",IF(OR($N458&lt;&gt;"Concluída",$O458="",$Q458=""),0,IF($O458&lt;=$Q458,1,0)))</f>
        <v/>
      </c>
      <c r="T458" s="28" t="str">
        <f aca="false">IF(OR($J458="",$N458&lt;&gt;"Concluída",$O458=""),"",MAX(0,$O458-$J458))</f>
        <v/>
      </c>
      <c r="U458" s="33" t="str">
        <f aca="true">IF($E458="","",IF($N458="Cancelada","Cancelada",IF($N458="Concluída",IF($R458=1,"No prazo","Concluída com atraso"),IF($J458="","Na carteira",IF($J458&lt;TODAY(),"VENCIDA",IF($J458=TODAY(),"Hoje","Programada"))))))</f>
        <v/>
      </c>
    </row>
    <row r="459" customFormat="false" ht="15.75" hidden="false" customHeight="true" outlineLevel="0" collapsed="false">
      <c r="A459" s="28" t="str">
        <f aca="false">IF($E459="","",COUNTA($E$4:$E459))</f>
        <v/>
      </c>
      <c r="B459" s="34"/>
      <c r="C459" s="34"/>
      <c r="D459" s="34"/>
      <c r="E459" s="34"/>
      <c r="F459" s="35"/>
      <c r="G459" s="34"/>
      <c r="H459" s="35"/>
      <c r="I459" s="34"/>
      <c r="J459" s="36"/>
      <c r="K459" s="36"/>
      <c r="L459" s="35"/>
      <c r="M459" s="34"/>
      <c r="N459" s="35"/>
      <c r="O459" s="36"/>
      <c r="P459" s="32" t="str">
        <f aca="false">IF($J459="","",$J459-WEEKDAY($J459,3))</f>
        <v/>
      </c>
      <c r="Q459" s="32" t="str">
        <f aca="false">IF($J459="","",IF($K459="",$J459,$K459))</f>
        <v/>
      </c>
      <c r="R459" s="28" t="str">
        <f aca="false">IF($E459="","",IF(OR($N459&lt;&gt;"Concluída",$O459="",$J459=""),0,IF($O459&lt;=$J459,1,0)))</f>
        <v/>
      </c>
      <c r="S459" s="28" t="str">
        <f aca="false">IF($E459="","",IF(OR($N459&lt;&gt;"Concluída",$O459="",$Q459=""),0,IF($O459&lt;=$Q459,1,0)))</f>
        <v/>
      </c>
      <c r="T459" s="28" t="str">
        <f aca="false">IF(OR($J459="",$N459&lt;&gt;"Concluída",$O459=""),"",MAX(0,$O459-$J459))</f>
        <v/>
      </c>
      <c r="U459" s="33" t="str">
        <f aca="true">IF($E459="","",IF($N459="Cancelada","Cancelada",IF($N459="Concluída",IF($R459=1,"No prazo","Concluída com atraso"),IF($J459="","Na carteira",IF($J459&lt;TODAY(),"VENCIDA",IF($J459=TODAY(),"Hoje","Programada"))))))</f>
        <v/>
      </c>
    </row>
    <row r="460" customFormat="false" ht="15.75" hidden="false" customHeight="true" outlineLevel="0" collapsed="false">
      <c r="A460" s="28" t="str">
        <f aca="false">IF($E460="","",COUNTA($E$4:$E460))</f>
        <v/>
      </c>
      <c r="B460" s="29"/>
      <c r="C460" s="29"/>
      <c r="D460" s="29"/>
      <c r="E460" s="29"/>
      <c r="F460" s="30"/>
      <c r="G460" s="29"/>
      <c r="H460" s="30"/>
      <c r="I460" s="29"/>
      <c r="J460" s="31"/>
      <c r="K460" s="31"/>
      <c r="L460" s="30"/>
      <c r="M460" s="29"/>
      <c r="N460" s="30"/>
      <c r="O460" s="31"/>
      <c r="P460" s="32" t="str">
        <f aca="false">IF($J460="","",$J460-WEEKDAY($J460,3))</f>
        <v/>
      </c>
      <c r="Q460" s="32" t="str">
        <f aca="false">IF($J460="","",IF($K460="",$J460,$K460))</f>
        <v/>
      </c>
      <c r="R460" s="28" t="str">
        <f aca="false">IF($E460="","",IF(OR($N460&lt;&gt;"Concluída",$O460="",$J460=""),0,IF($O460&lt;=$J460,1,0)))</f>
        <v/>
      </c>
      <c r="S460" s="28" t="str">
        <f aca="false">IF($E460="","",IF(OR($N460&lt;&gt;"Concluída",$O460="",$Q460=""),0,IF($O460&lt;=$Q460,1,0)))</f>
        <v/>
      </c>
      <c r="T460" s="28" t="str">
        <f aca="false">IF(OR($J460="",$N460&lt;&gt;"Concluída",$O460=""),"",MAX(0,$O460-$J460))</f>
        <v/>
      </c>
      <c r="U460" s="33" t="str">
        <f aca="true">IF($E460="","",IF($N460="Cancelada","Cancelada",IF($N460="Concluída",IF($R460=1,"No prazo","Concluída com atraso"),IF($J460="","Na carteira",IF($J460&lt;TODAY(),"VENCIDA",IF($J460=TODAY(),"Hoje","Programada"))))))</f>
        <v/>
      </c>
    </row>
    <row r="461" customFormat="false" ht="15.75" hidden="false" customHeight="true" outlineLevel="0" collapsed="false">
      <c r="A461" s="28" t="str">
        <f aca="false">IF($E461="","",COUNTA($E$4:$E461))</f>
        <v/>
      </c>
      <c r="B461" s="34"/>
      <c r="C461" s="34"/>
      <c r="D461" s="34"/>
      <c r="E461" s="34"/>
      <c r="F461" s="35"/>
      <c r="G461" s="34"/>
      <c r="H461" s="35"/>
      <c r="I461" s="34"/>
      <c r="J461" s="36"/>
      <c r="K461" s="36"/>
      <c r="L461" s="35"/>
      <c r="M461" s="34"/>
      <c r="N461" s="35"/>
      <c r="O461" s="36"/>
      <c r="P461" s="32" t="str">
        <f aca="false">IF($J461="","",$J461-WEEKDAY($J461,3))</f>
        <v/>
      </c>
      <c r="Q461" s="32" t="str">
        <f aca="false">IF($J461="","",IF($K461="",$J461,$K461))</f>
        <v/>
      </c>
      <c r="R461" s="28" t="str">
        <f aca="false">IF($E461="","",IF(OR($N461&lt;&gt;"Concluída",$O461="",$J461=""),0,IF($O461&lt;=$J461,1,0)))</f>
        <v/>
      </c>
      <c r="S461" s="28" t="str">
        <f aca="false">IF($E461="","",IF(OR($N461&lt;&gt;"Concluída",$O461="",$Q461=""),0,IF($O461&lt;=$Q461,1,0)))</f>
        <v/>
      </c>
      <c r="T461" s="28" t="str">
        <f aca="false">IF(OR($J461="",$N461&lt;&gt;"Concluída",$O461=""),"",MAX(0,$O461-$J461))</f>
        <v/>
      </c>
      <c r="U461" s="33" t="str">
        <f aca="true">IF($E461="","",IF($N461="Cancelada","Cancelada",IF($N461="Concluída",IF($R461=1,"No prazo","Concluída com atraso"),IF($J461="","Na carteira",IF($J461&lt;TODAY(),"VENCIDA",IF($J461=TODAY(),"Hoje","Programada"))))))</f>
        <v/>
      </c>
    </row>
    <row r="462" customFormat="false" ht="15.75" hidden="false" customHeight="true" outlineLevel="0" collapsed="false">
      <c r="A462" s="28" t="str">
        <f aca="false">IF($E462="","",COUNTA($E$4:$E462))</f>
        <v/>
      </c>
      <c r="B462" s="29"/>
      <c r="C462" s="29"/>
      <c r="D462" s="29"/>
      <c r="E462" s="29"/>
      <c r="F462" s="30"/>
      <c r="G462" s="29"/>
      <c r="H462" s="30"/>
      <c r="I462" s="29"/>
      <c r="J462" s="31"/>
      <c r="K462" s="31"/>
      <c r="L462" s="30"/>
      <c r="M462" s="29"/>
      <c r="N462" s="30"/>
      <c r="O462" s="31"/>
      <c r="P462" s="32" t="str">
        <f aca="false">IF($J462="","",$J462-WEEKDAY($J462,3))</f>
        <v/>
      </c>
      <c r="Q462" s="32" t="str">
        <f aca="false">IF($J462="","",IF($K462="",$J462,$K462))</f>
        <v/>
      </c>
      <c r="R462" s="28" t="str">
        <f aca="false">IF($E462="","",IF(OR($N462&lt;&gt;"Concluída",$O462="",$J462=""),0,IF($O462&lt;=$J462,1,0)))</f>
        <v/>
      </c>
      <c r="S462" s="28" t="str">
        <f aca="false">IF($E462="","",IF(OR($N462&lt;&gt;"Concluída",$O462="",$Q462=""),0,IF($O462&lt;=$Q462,1,0)))</f>
        <v/>
      </c>
      <c r="T462" s="28" t="str">
        <f aca="false">IF(OR($J462="",$N462&lt;&gt;"Concluída",$O462=""),"",MAX(0,$O462-$J462))</f>
        <v/>
      </c>
      <c r="U462" s="33" t="str">
        <f aca="true">IF($E462="","",IF($N462="Cancelada","Cancelada",IF($N462="Concluída",IF($R462=1,"No prazo","Concluída com atraso"),IF($J462="","Na carteira",IF($J462&lt;TODAY(),"VENCIDA",IF($J462=TODAY(),"Hoje","Programada"))))))</f>
        <v/>
      </c>
    </row>
    <row r="463" customFormat="false" ht="15.75" hidden="false" customHeight="true" outlineLevel="0" collapsed="false">
      <c r="A463" s="28" t="str">
        <f aca="false">IF($E463="","",COUNTA($E$4:$E463))</f>
        <v/>
      </c>
      <c r="B463" s="34"/>
      <c r="C463" s="34"/>
      <c r="D463" s="34"/>
      <c r="E463" s="34"/>
      <c r="F463" s="35"/>
      <c r="G463" s="34"/>
      <c r="H463" s="35"/>
      <c r="I463" s="34"/>
      <c r="J463" s="36"/>
      <c r="K463" s="36"/>
      <c r="L463" s="35"/>
      <c r="M463" s="34"/>
      <c r="N463" s="35"/>
      <c r="O463" s="36"/>
      <c r="P463" s="32" t="str">
        <f aca="false">IF($J463="","",$J463-WEEKDAY($J463,3))</f>
        <v/>
      </c>
      <c r="Q463" s="32" t="str">
        <f aca="false">IF($J463="","",IF($K463="",$J463,$K463))</f>
        <v/>
      </c>
      <c r="R463" s="28" t="str">
        <f aca="false">IF($E463="","",IF(OR($N463&lt;&gt;"Concluída",$O463="",$J463=""),0,IF($O463&lt;=$J463,1,0)))</f>
        <v/>
      </c>
      <c r="S463" s="28" t="str">
        <f aca="false">IF($E463="","",IF(OR($N463&lt;&gt;"Concluída",$O463="",$Q463=""),0,IF($O463&lt;=$Q463,1,0)))</f>
        <v/>
      </c>
      <c r="T463" s="28" t="str">
        <f aca="false">IF(OR($J463="",$N463&lt;&gt;"Concluída",$O463=""),"",MAX(0,$O463-$J463))</f>
        <v/>
      </c>
      <c r="U463" s="33" t="str">
        <f aca="true">IF($E463="","",IF($N463="Cancelada","Cancelada",IF($N463="Concluída",IF($R463=1,"No prazo","Concluída com atraso"),IF($J463="","Na carteira",IF($J463&lt;TODAY(),"VENCIDA",IF($J463=TODAY(),"Hoje","Programada"))))))</f>
        <v/>
      </c>
    </row>
    <row r="464" customFormat="false" ht="15.75" hidden="false" customHeight="true" outlineLevel="0" collapsed="false">
      <c r="A464" s="28" t="str">
        <f aca="false">IF($E464="","",COUNTA($E$4:$E464))</f>
        <v/>
      </c>
      <c r="B464" s="29"/>
      <c r="C464" s="29"/>
      <c r="D464" s="29"/>
      <c r="E464" s="29"/>
      <c r="F464" s="30"/>
      <c r="G464" s="29"/>
      <c r="H464" s="30"/>
      <c r="I464" s="29"/>
      <c r="J464" s="31"/>
      <c r="K464" s="31"/>
      <c r="L464" s="30"/>
      <c r="M464" s="29"/>
      <c r="N464" s="30"/>
      <c r="O464" s="31"/>
      <c r="P464" s="32" t="str">
        <f aca="false">IF($J464="","",$J464-WEEKDAY($J464,3))</f>
        <v/>
      </c>
      <c r="Q464" s="32" t="str">
        <f aca="false">IF($J464="","",IF($K464="",$J464,$K464))</f>
        <v/>
      </c>
      <c r="R464" s="28" t="str">
        <f aca="false">IF($E464="","",IF(OR($N464&lt;&gt;"Concluída",$O464="",$J464=""),0,IF($O464&lt;=$J464,1,0)))</f>
        <v/>
      </c>
      <c r="S464" s="28" t="str">
        <f aca="false">IF($E464="","",IF(OR($N464&lt;&gt;"Concluída",$O464="",$Q464=""),0,IF($O464&lt;=$Q464,1,0)))</f>
        <v/>
      </c>
      <c r="T464" s="28" t="str">
        <f aca="false">IF(OR($J464="",$N464&lt;&gt;"Concluída",$O464=""),"",MAX(0,$O464-$J464))</f>
        <v/>
      </c>
      <c r="U464" s="33" t="str">
        <f aca="true">IF($E464="","",IF($N464="Cancelada","Cancelada",IF($N464="Concluída",IF($R464=1,"No prazo","Concluída com atraso"),IF($J464="","Na carteira",IF($J464&lt;TODAY(),"VENCIDA",IF($J464=TODAY(),"Hoje","Programada"))))))</f>
        <v/>
      </c>
    </row>
    <row r="465" customFormat="false" ht="15.75" hidden="false" customHeight="true" outlineLevel="0" collapsed="false">
      <c r="A465" s="28" t="str">
        <f aca="false">IF($E465="","",COUNTA($E$4:$E465))</f>
        <v/>
      </c>
      <c r="B465" s="34"/>
      <c r="C465" s="34"/>
      <c r="D465" s="34"/>
      <c r="E465" s="34"/>
      <c r="F465" s="35"/>
      <c r="G465" s="34"/>
      <c r="H465" s="35"/>
      <c r="I465" s="34"/>
      <c r="J465" s="36"/>
      <c r="K465" s="36"/>
      <c r="L465" s="35"/>
      <c r="M465" s="34"/>
      <c r="N465" s="35"/>
      <c r="O465" s="36"/>
      <c r="P465" s="32" t="str">
        <f aca="false">IF($J465="","",$J465-WEEKDAY($J465,3))</f>
        <v/>
      </c>
      <c r="Q465" s="32" t="str">
        <f aca="false">IF($J465="","",IF($K465="",$J465,$K465))</f>
        <v/>
      </c>
      <c r="R465" s="28" t="str">
        <f aca="false">IF($E465="","",IF(OR($N465&lt;&gt;"Concluída",$O465="",$J465=""),0,IF($O465&lt;=$J465,1,0)))</f>
        <v/>
      </c>
      <c r="S465" s="28" t="str">
        <f aca="false">IF($E465="","",IF(OR($N465&lt;&gt;"Concluída",$O465="",$Q465=""),0,IF($O465&lt;=$Q465,1,0)))</f>
        <v/>
      </c>
      <c r="T465" s="28" t="str">
        <f aca="false">IF(OR($J465="",$N465&lt;&gt;"Concluída",$O465=""),"",MAX(0,$O465-$J465))</f>
        <v/>
      </c>
      <c r="U465" s="33" t="str">
        <f aca="true">IF($E465="","",IF($N465="Cancelada","Cancelada",IF($N465="Concluída",IF($R465=1,"No prazo","Concluída com atraso"),IF($J465="","Na carteira",IF($J465&lt;TODAY(),"VENCIDA",IF($J465=TODAY(),"Hoje","Programada"))))))</f>
        <v/>
      </c>
    </row>
    <row r="466" customFormat="false" ht="15.75" hidden="false" customHeight="true" outlineLevel="0" collapsed="false">
      <c r="A466" s="28" t="str">
        <f aca="false">IF($E466="","",COUNTA($E$4:$E466))</f>
        <v/>
      </c>
      <c r="B466" s="29"/>
      <c r="C466" s="29"/>
      <c r="D466" s="29"/>
      <c r="E466" s="29"/>
      <c r="F466" s="30"/>
      <c r="G466" s="29"/>
      <c r="H466" s="30"/>
      <c r="I466" s="29"/>
      <c r="J466" s="31"/>
      <c r="K466" s="31"/>
      <c r="L466" s="30"/>
      <c r="M466" s="29"/>
      <c r="N466" s="30"/>
      <c r="O466" s="31"/>
      <c r="P466" s="32" t="str">
        <f aca="false">IF($J466="","",$J466-WEEKDAY($J466,3))</f>
        <v/>
      </c>
      <c r="Q466" s="32" t="str">
        <f aca="false">IF($J466="","",IF($K466="",$J466,$K466))</f>
        <v/>
      </c>
      <c r="R466" s="28" t="str">
        <f aca="false">IF($E466="","",IF(OR($N466&lt;&gt;"Concluída",$O466="",$J466=""),0,IF($O466&lt;=$J466,1,0)))</f>
        <v/>
      </c>
      <c r="S466" s="28" t="str">
        <f aca="false">IF($E466="","",IF(OR($N466&lt;&gt;"Concluída",$O466="",$Q466=""),0,IF($O466&lt;=$Q466,1,0)))</f>
        <v/>
      </c>
      <c r="T466" s="28" t="str">
        <f aca="false">IF(OR($J466="",$N466&lt;&gt;"Concluída",$O466=""),"",MAX(0,$O466-$J466))</f>
        <v/>
      </c>
      <c r="U466" s="33" t="str">
        <f aca="true">IF($E466="","",IF($N466="Cancelada","Cancelada",IF($N466="Concluída",IF($R466=1,"No prazo","Concluída com atraso"),IF($J466="","Na carteira",IF($J466&lt;TODAY(),"VENCIDA",IF($J466=TODAY(),"Hoje","Programada"))))))</f>
        <v/>
      </c>
    </row>
    <row r="467" customFormat="false" ht="15.75" hidden="false" customHeight="true" outlineLevel="0" collapsed="false">
      <c r="A467" s="28" t="str">
        <f aca="false">IF($E467="","",COUNTA($E$4:$E467))</f>
        <v/>
      </c>
      <c r="B467" s="34"/>
      <c r="C467" s="34"/>
      <c r="D467" s="34"/>
      <c r="E467" s="34"/>
      <c r="F467" s="35"/>
      <c r="G467" s="34"/>
      <c r="H467" s="35"/>
      <c r="I467" s="34"/>
      <c r="J467" s="36"/>
      <c r="K467" s="36"/>
      <c r="L467" s="35"/>
      <c r="M467" s="34"/>
      <c r="N467" s="35"/>
      <c r="O467" s="36"/>
      <c r="P467" s="32" t="str">
        <f aca="false">IF($J467="","",$J467-WEEKDAY($J467,3))</f>
        <v/>
      </c>
      <c r="Q467" s="32" t="str">
        <f aca="false">IF($J467="","",IF($K467="",$J467,$K467))</f>
        <v/>
      </c>
      <c r="R467" s="28" t="str">
        <f aca="false">IF($E467="","",IF(OR($N467&lt;&gt;"Concluída",$O467="",$J467=""),0,IF($O467&lt;=$J467,1,0)))</f>
        <v/>
      </c>
      <c r="S467" s="28" t="str">
        <f aca="false">IF($E467="","",IF(OR($N467&lt;&gt;"Concluída",$O467="",$Q467=""),0,IF($O467&lt;=$Q467,1,0)))</f>
        <v/>
      </c>
      <c r="T467" s="28" t="str">
        <f aca="false">IF(OR($J467="",$N467&lt;&gt;"Concluída",$O467=""),"",MAX(0,$O467-$J467))</f>
        <v/>
      </c>
      <c r="U467" s="33" t="str">
        <f aca="true">IF($E467="","",IF($N467="Cancelada","Cancelada",IF($N467="Concluída",IF($R467=1,"No prazo","Concluída com atraso"),IF($J467="","Na carteira",IF($J467&lt;TODAY(),"VENCIDA",IF($J467=TODAY(),"Hoje","Programada"))))))</f>
        <v/>
      </c>
    </row>
    <row r="468" customFormat="false" ht="15.75" hidden="false" customHeight="true" outlineLevel="0" collapsed="false">
      <c r="A468" s="28" t="str">
        <f aca="false">IF($E468="","",COUNTA($E$4:$E468))</f>
        <v/>
      </c>
      <c r="B468" s="29"/>
      <c r="C468" s="29"/>
      <c r="D468" s="29"/>
      <c r="E468" s="29"/>
      <c r="F468" s="30"/>
      <c r="G468" s="29"/>
      <c r="H468" s="30"/>
      <c r="I468" s="29"/>
      <c r="J468" s="31"/>
      <c r="K468" s="31"/>
      <c r="L468" s="30"/>
      <c r="M468" s="29"/>
      <c r="N468" s="30"/>
      <c r="O468" s="31"/>
      <c r="P468" s="32" t="str">
        <f aca="false">IF($J468="","",$J468-WEEKDAY($J468,3))</f>
        <v/>
      </c>
      <c r="Q468" s="32" t="str">
        <f aca="false">IF($J468="","",IF($K468="",$J468,$K468))</f>
        <v/>
      </c>
      <c r="R468" s="28" t="str">
        <f aca="false">IF($E468="","",IF(OR($N468&lt;&gt;"Concluída",$O468="",$J468=""),0,IF($O468&lt;=$J468,1,0)))</f>
        <v/>
      </c>
      <c r="S468" s="28" t="str">
        <f aca="false">IF($E468="","",IF(OR($N468&lt;&gt;"Concluída",$O468="",$Q468=""),0,IF($O468&lt;=$Q468,1,0)))</f>
        <v/>
      </c>
      <c r="T468" s="28" t="str">
        <f aca="false">IF(OR($J468="",$N468&lt;&gt;"Concluída",$O468=""),"",MAX(0,$O468-$J468))</f>
        <v/>
      </c>
      <c r="U468" s="33" t="str">
        <f aca="true">IF($E468="","",IF($N468="Cancelada","Cancelada",IF($N468="Concluída",IF($R468=1,"No prazo","Concluída com atraso"),IF($J468="","Na carteira",IF($J468&lt;TODAY(),"VENCIDA",IF($J468=TODAY(),"Hoje","Programada"))))))</f>
        <v/>
      </c>
    </row>
    <row r="469" customFormat="false" ht="15.75" hidden="false" customHeight="true" outlineLevel="0" collapsed="false">
      <c r="A469" s="28" t="str">
        <f aca="false">IF($E469="","",COUNTA($E$4:$E469))</f>
        <v/>
      </c>
      <c r="B469" s="34"/>
      <c r="C469" s="34"/>
      <c r="D469" s="34"/>
      <c r="E469" s="34"/>
      <c r="F469" s="35"/>
      <c r="G469" s="34"/>
      <c r="H469" s="35"/>
      <c r="I469" s="34"/>
      <c r="J469" s="36"/>
      <c r="K469" s="36"/>
      <c r="L469" s="35"/>
      <c r="M469" s="34"/>
      <c r="N469" s="35"/>
      <c r="O469" s="36"/>
      <c r="P469" s="32" t="str">
        <f aca="false">IF($J469="","",$J469-WEEKDAY($J469,3))</f>
        <v/>
      </c>
      <c r="Q469" s="32" t="str">
        <f aca="false">IF($J469="","",IF($K469="",$J469,$K469))</f>
        <v/>
      </c>
      <c r="R469" s="28" t="str">
        <f aca="false">IF($E469="","",IF(OR($N469&lt;&gt;"Concluída",$O469="",$J469=""),0,IF($O469&lt;=$J469,1,0)))</f>
        <v/>
      </c>
      <c r="S469" s="28" t="str">
        <f aca="false">IF($E469="","",IF(OR($N469&lt;&gt;"Concluída",$O469="",$Q469=""),0,IF($O469&lt;=$Q469,1,0)))</f>
        <v/>
      </c>
      <c r="T469" s="28" t="str">
        <f aca="false">IF(OR($J469="",$N469&lt;&gt;"Concluída",$O469=""),"",MAX(0,$O469-$J469))</f>
        <v/>
      </c>
      <c r="U469" s="33" t="str">
        <f aca="true">IF($E469="","",IF($N469="Cancelada","Cancelada",IF($N469="Concluída",IF($R469=1,"No prazo","Concluída com atraso"),IF($J469="","Na carteira",IF($J469&lt;TODAY(),"VENCIDA",IF($J469=TODAY(),"Hoje","Programada"))))))</f>
        <v/>
      </c>
    </row>
    <row r="470" customFormat="false" ht="15.75" hidden="false" customHeight="true" outlineLevel="0" collapsed="false">
      <c r="A470" s="28" t="str">
        <f aca="false">IF($E470="","",COUNTA($E$4:$E470))</f>
        <v/>
      </c>
      <c r="B470" s="29"/>
      <c r="C470" s="29"/>
      <c r="D470" s="29"/>
      <c r="E470" s="29"/>
      <c r="F470" s="30"/>
      <c r="G470" s="29"/>
      <c r="H470" s="30"/>
      <c r="I470" s="29"/>
      <c r="J470" s="31"/>
      <c r="K470" s="31"/>
      <c r="L470" s="30"/>
      <c r="M470" s="29"/>
      <c r="N470" s="30"/>
      <c r="O470" s="31"/>
      <c r="P470" s="32" t="str">
        <f aca="false">IF($J470="","",$J470-WEEKDAY($J470,3))</f>
        <v/>
      </c>
      <c r="Q470" s="32" t="str">
        <f aca="false">IF($J470="","",IF($K470="",$J470,$K470))</f>
        <v/>
      </c>
      <c r="R470" s="28" t="str">
        <f aca="false">IF($E470="","",IF(OR($N470&lt;&gt;"Concluída",$O470="",$J470=""),0,IF($O470&lt;=$J470,1,0)))</f>
        <v/>
      </c>
      <c r="S470" s="28" t="str">
        <f aca="false">IF($E470="","",IF(OR($N470&lt;&gt;"Concluída",$O470="",$Q470=""),0,IF($O470&lt;=$Q470,1,0)))</f>
        <v/>
      </c>
      <c r="T470" s="28" t="str">
        <f aca="false">IF(OR($J470="",$N470&lt;&gt;"Concluída",$O470=""),"",MAX(0,$O470-$J470))</f>
        <v/>
      </c>
      <c r="U470" s="33" t="str">
        <f aca="true">IF($E470="","",IF($N470="Cancelada","Cancelada",IF($N470="Concluída",IF($R470=1,"No prazo","Concluída com atraso"),IF($J470="","Na carteira",IF($J470&lt;TODAY(),"VENCIDA",IF($J470=TODAY(),"Hoje","Programada"))))))</f>
        <v/>
      </c>
    </row>
    <row r="471" customFormat="false" ht="15.75" hidden="false" customHeight="true" outlineLevel="0" collapsed="false">
      <c r="A471" s="28" t="str">
        <f aca="false">IF($E471="","",COUNTA($E$4:$E471))</f>
        <v/>
      </c>
      <c r="B471" s="34"/>
      <c r="C471" s="34"/>
      <c r="D471" s="34"/>
      <c r="E471" s="34"/>
      <c r="F471" s="35"/>
      <c r="G471" s="34"/>
      <c r="H471" s="35"/>
      <c r="I471" s="34"/>
      <c r="J471" s="36"/>
      <c r="K471" s="36"/>
      <c r="L471" s="35"/>
      <c r="M471" s="34"/>
      <c r="N471" s="35"/>
      <c r="O471" s="36"/>
      <c r="P471" s="32" t="str">
        <f aca="false">IF($J471="","",$J471-WEEKDAY($J471,3))</f>
        <v/>
      </c>
      <c r="Q471" s="32" t="str">
        <f aca="false">IF($J471="","",IF($K471="",$J471,$K471))</f>
        <v/>
      </c>
      <c r="R471" s="28" t="str">
        <f aca="false">IF($E471="","",IF(OR($N471&lt;&gt;"Concluída",$O471="",$J471=""),0,IF($O471&lt;=$J471,1,0)))</f>
        <v/>
      </c>
      <c r="S471" s="28" t="str">
        <f aca="false">IF($E471="","",IF(OR($N471&lt;&gt;"Concluída",$O471="",$Q471=""),0,IF($O471&lt;=$Q471,1,0)))</f>
        <v/>
      </c>
      <c r="T471" s="28" t="str">
        <f aca="false">IF(OR($J471="",$N471&lt;&gt;"Concluída",$O471=""),"",MAX(0,$O471-$J471))</f>
        <v/>
      </c>
      <c r="U471" s="33" t="str">
        <f aca="true">IF($E471="","",IF($N471="Cancelada","Cancelada",IF($N471="Concluída",IF($R471=1,"No prazo","Concluída com atraso"),IF($J471="","Na carteira",IF($J471&lt;TODAY(),"VENCIDA",IF($J471=TODAY(),"Hoje","Programada"))))))</f>
        <v/>
      </c>
    </row>
    <row r="472" customFormat="false" ht="15.75" hidden="false" customHeight="true" outlineLevel="0" collapsed="false">
      <c r="A472" s="28" t="str">
        <f aca="false">IF($E472="","",COUNTA($E$4:$E472))</f>
        <v/>
      </c>
      <c r="B472" s="29"/>
      <c r="C472" s="29"/>
      <c r="D472" s="29"/>
      <c r="E472" s="29"/>
      <c r="F472" s="30"/>
      <c r="G472" s="29"/>
      <c r="H472" s="30"/>
      <c r="I472" s="29"/>
      <c r="J472" s="31"/>
      <c r="K472" s="31"/>
      <c r="L472" s="30"/>
      <c r="M472" s="29"/>
      <c r="N472" s="30"/>
      <c r="O472" s="31"/>
      <c r="P472" s="32" t="str">
        <f aca="false">IF($J472="","",$J472-WEEKDAY($J472,3))</f>
        <v/>
      </c>
      <c r="Q472" s="32" t="str">
        <f aca="false">IF($J472="","",IF($K472="",$J472,$K472))</f>
        <v/>
      </c>
      <c r="R472" s="28" t="str">
        <f aca="false">IF($E472="","",IF(OR($N472&lt;&gt;"Concluída",$O472="",$J472=""),0,IF($O472&lt;=$J472,1,0)))</f>
        <v/>
      </c>
      <c r="S472" s="28" t="str">
        <f aca="false">IF($E472="","",IF(OR($N472&lt;&gt;"Concluída",$O472="",$Q472=""),0,IF($O472&lt;=$Q472,1,0)))</f>
        <v/>
      </c>
      <c r="T472" s="28" t="str">
        <f aca="false">IF(OR($J472="",$N472&lt;&gt;"Concluída",$O472=""),"",MAX(0,$O472-$J472))</f>
        <v/>
      </c>
      <c r="U472" s="33" t="str">
        <f aca="true">IF($E472="","",IF($N472="Cancelada","Cancelada",IF($N472="Concluída",IF($R472=1,"No prazo","Concluída com atraso"),IF($J472="","Na carteira",IF($J472&lt;TODAY(),"VENCIDA",IF($J472=TODAY(),"Hoje","Programada"))))))</f>
        <v/>
      </c>
    </row>
    <row r="473" customFormat="false" ht="15.75" hidden="false" customHeight="true" outlineLevel="0" collapsed="false">
      <c r="A473" s="28" t="str">
        <f aca="false">IF($E473="","",COUNTA($E$4:$E473))</f>
        <v/>
      </c>
      <c r="B473" s="34"/>
      <c r="C473" s="34"/>
      <c r="D473" s="34"/>
      <c r="E473" s="34"/>
      <c r="F473" s="35"/>
      <c r="G473" s="34"/>
      <c r="H473" s="35"/>
      <c r="I473" s="34"/>
      <c r="J473" s="36"/>
      <c r="K473" s="36"/>
      <c r="L473" s="35"/>
      <c r="M473" s="34"/>
      <c r="N473" s="35"/>
      <c r="O473" s="36"/>
      <c r="P473" s="32" t="str">
        <f aca="false">IF($J473="","",$J473-WEEKDAY($J473,3))</f>
        <v/>
      </c>
      <c r="Q473" s="32" t="str">
        <f aca="false">IF($J473="","",IF($K473="",$J473,$K473))</f>
        <v/>
      </c>
      <c r="R473" s="28" t="str">
        <f aca="false">IF($E473="","",IF(OR($N473&lt;&gt;"Concluída",$O473="",$J473=""),0,IF($O473&lt;=$J473,1,0)))</f>
        <v/>
      </c>
      <c r="S473" s="28" t="str">
        <f aca="false">IF($E473="","",IF(OR($N473&lt;&gt;"Concluída",$O473="",$Q473=""),0,IF($O473&lt;=$Q473,1,0)))</f>
        <v/>
      </c>
      <c r="T473" s="28" t="str">
        <f aca="false">IF(OR($J473="",$N473&lt;&gt;"Concluída",$O473=""),"",MAX(0,$O473-$J473))</f>
        <v/>
      </c>
      <c r="U473" s="33" t="str">
        <f aca="true">IF($E473="","",IF($N473="Cancelada","Cancelada",IF($N473="Concluída",IF($R473=1,"No prazo","Concluída com atraso"),IF($J473="","Na carteira",IF($J473&lt;TODAY(),"VENCIDA",IF($J473=TODAY(),"Hoje","Programada"))))))</f>
        <v/>
      </c>
    </row>
    <row r="474" customFormat="false" ht="15.75" hidden="false" customHeight="true" outlineLevel="0" collapsed="false">
      <c r="A474" s="28" t="str">
        <f aca="false">IF($E474="","",COUNTA($E$4:$E474))</f>
        <v/>
      </c>
      <c r="B474" s="29"/>
      <c r="C474" s="29"/>
      <c r="D474" s="29"/>
      <c r="E474" s="29"/>
      <c r="F474" s="30"/>
      <c r="G474" s="29"/>
      <c r="H474" s="30"/>
      <c r="I474" s="29"/>
      <c r="J474" s="31"/>
      <c r="K474" s="31"/>
      <c r="L474" s="30"/>
      <c r="M474" s="29"/>
      <c r="N474" s="30"/>
      <c r="O474" s="31"/>
      <c r="P474" s="32" t="str">
        <f aca="false">IF($J474="","",$J474-WEEKDAY($J474,3))</f>
        <v/>
      </c>
      <c r="Q474" s="32" t="str">
        <f aca="false">IF($J474="","",IF($K474="",$J474,$K474))</f>
        <v/>
      </c>
      <c r="R474" s="28" t="str">
        <f aca="false">IF($E474="","",IF(OR($N474&lt;&gt;"Concluída",$O474="",$J474=""),0,IF($O474&lt;=$J474,1,0)))</f>
        <v/>
      </c>
      <c r="S474" s="28" t="str">
        <f aca="false">IF($E474="","",IF(OR($N474&lt;&gt;"Concluída",$O474="",$Q474=""),0,IF($O474&lt;=$Q474,1,0)))</f>
        <v/>
      </c>
      <c r="T474" s="28" t="str">
        <f aca="false">IF(OR($J474="",$N474&lt;&gt;"Concluída",$O474=""),"",MAX(0,$O474-$J474))</f>
        <v/>
      </c>
      <c r="U474" s="33" t="str">
        <f aca="true">IF($E474="","",IF($N474="Cancelada","Cancelada",IF($N474="Concluída",IF($R474=1,"No prazo","Concluída com atraso"),IF($J474="","Na carteira",IF($J474&lt;TODAY(),"VENCIDA",IF($J474=TODAY(),"Hoje","Programada"))))))</f>
        <v/>
      </c>
    </row>
    <row r="475" customFormat="false" ht="15.75" hidden="false" customHeight="true" outlineLevel="0" collapsed="false">
      <c r="A475" s="28" t="str">
        <f aca="false">IF($E475="","",COUNTA($E$4:$E475))</f>
        <v/>
      </c>
      <c r="B475" s="34"/>
      <c r="C475" s="34"/>
      <c r="D475" s="34"/>
      <c r="E475" s="34"/>
      <c r="F475" s="35"/>
      <c r="G475" s="34"/>
      <c r="H475" s="35"/>
      <c r="I475" s="34"/>
      <c r="J475" s="36"/>
      <c r="K475" s="36"/>
      <c r="L475" s="35"/>
      <c r="M475" s="34"/>
      <c r="N475" s="35"/>
      <c r="O475" s="36"/>
      <c r="P475" s="32" t="str">
        <f aca="false">IF($J475="","",$J475-WEEKDAY($J475,3))</f>
        <v/>
      </c>
      <c r="Q475" s="32" t="str">
        <f aca="false">IF($J475="","",IF($K475="",$J475,$K475))</f>
        <v/>
      </c>
      <c r="R475" s="28" t="str">
        <f aca="false">IF($E475="","",IF(OR($N475&lt;&gt;"Concluída",$O475="",$J475=""),0,IF($O475&lt;=$J475,1,0)))</f>
        <v/>
      </c>
      <c r="S475" s="28" t="str">
        <f aca="false">IF($E475="","",IF(OR($N475&lt;&gt;"Concluída",$O475="",$Q475=""),0,IF($O475&lt;=$Q475,1,0)))</f>
        <v/>
      </c>
      <c r="T475" s="28" t="str">
        <f aca="false">IF(OR($J475="",$N475&lt;&gt;"Concluída",$O475=""),"",MAX(0,$O475-$J475))</f>
        <v/>
      </c>
      <c r="U475" s="33" t="str">
        <f aca="true">IF($E475="","",IF($N475="Cancelada","Cancelada",IF($N475="Concluída",IF($R475=1,"No prazo","Concluída com atraso"),IF($J475="","Na carteira",IF($J475&lt;TODAY(),"VENCIDA",IF($J475=TODAY(),"Hoje","Programada"))))))</f>
        <v/>
      </c>
    </row>
    <row r="476" customFormat="false" ht="15.75" hidden="false" customHeight="true" outlineLevel="0" collapsed="false">
      <c r="A476" s="28" t="str">
        <f aca="false">IF($E476="","",COUNTA($E$4:$E476))</f>
        <v/>
      </c>
      <c r="B476" s="29"/>
      <c r="C476" s="29"/>
      <c r="D476" s="29"/>
      <c r="E476" s="29"/>
      <c r="F476" s="30"/>
      <c r="G476" s="29"/>
      <c r="H476" s="30"/>
      <c r="I476" s="29"/>
      <c r="J476" s="31"/>
      <c r="K476" s="31"/>
      <c r="L476" s="30"/>
      <c r="M476" s="29"/>
      <c r="N476" s="30"/>
      <c r="O476" s="31"/>
      <c r="P476" s="32" t="str">
        <f aca="false">IF($J476="","",$J476-WEEKDAY($J476,3))</f>
        <v/>
      </c>
      <c r="Q476" s="32" t="str">
        <f aca="false">IF($J476="","",IF($K476="",$J476,$K476))</f>
        <v/>
      </c>
      <c r="R476" s="28" t="str">
        <f aca="false">IF($E476="","",IF(OR($N476&lt;&gt;"Concluída",$O476="",$J476=""),0,IF($O476&lt;=$J476,1,0)))</f>
        <v/>
      </c>
      <c r="S476" s="28" t="str">
        <f aca="false">IF($E476="","",IF(OR($N476&lt;&gt;"Concluída",$O476="",$Q476=""),0,IF($O476&lt;=$Q476,1,0)))</f>
        <v/>
      </c>
      <c r="T476" s="28" t="str">
        <f aca="false">IF(OR($J476="",$N476&lt;&gt;"Concluída",$O476=""),"",MAX(0,$O476-$J476))</f>
        <v/>
      </c>
      <c r="U476" s="33" t="str">
        <f aca="true">IF($E476="","",IF($N476="Cancelada","Cancelada",IF($N476="Concluída",IF($R476=1,"No prazo","Concluída com atraso"),IF($J476="","Na carteira",IF($J476&lt;TODAY(),"VENCIDA",IF($J476=TODAY(),"Hoje","Programada"))))))</f>
        <v/>
      </c>
    </row>
    <row r="477" customFormat="false" ht="15.75" hidden="false" customHeight="true" outlineLevel="0" collapsed="false">
      <c r="A477" s="28" t="str">
        <f aca="false">IF($E477="","",COUNTA($E$4:$E477))</f>
        <v/>
      </c>
      <c r="B477" s="34"/>
      <c r="C477" s="34"/>
      <c r="D477" s="34"/>
      <c r="E477" s="34"/>
      <c r="F477" s="35"/>
      <c r="G477" s="34"/>
      <c r="H477" s="35"/>
      <c r="I477" s="34"/>
      <c r="J477" s="36"/>
      <c r="K477" s="36"/>
      <c r="L477" s="35"/>
      <c r="M477" s="34"/>
      <c r="N477" s="35"/>
      <c r="O477" s="36"/>
      <c r="P477" s="32" t="str">
        <f aca="false">IF($J477="","",$J477-WEEKDAY($J477,3))</f>
        <v/>
      </c>
      <c r="Q477" s="32" t="str">
        <f aca="false">IF($J477="","",IF($K477="",$J477,$K477))</f>
        <v/>
      </c>
      <c r="R477" s="28" t="str">
        <f aca="false">IF($E477="","",IF(OR($N477&lt;&gt;"Concluída",$O477="",$J477=""),0,IF($O477&lt;=$J477,1,0)))</f>
        <v/>
      </c>
      <c r="S477" s="28" t="str">
        <f aca="false">IF($E477="","",IF(OR($N477&lt;&gt;"Concluída",$O477="",$Q477=""),0,IF($O477&lt;=$Q477,1,0)))</f>
        <v/>
      </c>
      <c r="T477" s="28" t="str">
        <f aca="false">IF(OR($J477="",$N477&lt;&gt;"Concluída",$O477=""),"",MAX(0,$O477-$J477))</f>
        <v/>
      </c>
      <c r="U477" s="33" t="str">
        <f aca="true">IF($E477="","",IF($N477="Cancelada","Cancelada",IF($N477="Concluída",IF($R477=1,"No prazo","Concluída com atraso"),IF($J477="","Na carteira",IF($J477&lt;TODAY(),"VENCIDA",IF($J477=TODAY(),"Hoje","Programada"))))))</f>
        <v/>
      </c>
    </row>
    <row r="478" customFormat="false" ht="15.75" hidden="false" customHeight="true" outlineLevel="0" collapsed="false">
      <c r="A478" s="28" t="str">
        <f aca="false">IF($E478="","",COUNTA($E$4:$E478))</f>
        <v/>
      </c>
      <c r="B478" s="29"/>
      <c r="C478" s="29"/>
      <c r="D478" s="29"/>
      <c r="E478" s="29"/>
      <c r="F478" s="30"/>
      <c r="G478" s="29"/>
      <c r="H478" s="30"/>
      <c r="I478" s="29"/>
      <c r="J478" s="31"/>
      <c r="K478" s="31"/>
      <c r="L478" s="30"/>
      <c r="M478" s="29"/>
      <c r="N478" s="30"/>
      <c r="O478" s="31"/>
      <c r="P478" s="32" t="str">
        <f aca="false">IF($J478="","",$J478-WEEKDAY($J478,3))</f>
        <v/>
      </c>
      <c r="Q478" s="32" t="str">
        <f aca="false">IF($J478="","",IF($K478="",$J478,$K478))</f>
        <v/>
      </c>
      <c r="R478" s="28" t="str">
        <f aca="false">IF($E478="","",IF(OR($N478&lt;&gt;"Concluída",$O478="",$J478=""),0,IF($O478&lt;=$J478,1,0)))</f>
        <v/>
      </c>
      <c r="S478" s="28" t="str">
        <f aca="false">IF($E478="","",IF(OR($N478&lt;&gt;"Concluída",$O478="",$Q478=""),0,IF($O478&lt;=$Q478,1,0)))</f>
        <v/>
      </c>
      <c r="T478" s="28" t="str">
        <f aca="false">IF(OR($J478="",$N478&lt;&gt;"Concluída",$O478=""),"",MAX(0,$O478-$J478))</f>
        <v/>
      </c>
      <c r="U478" s="33" t="str">
        <f aca="true">IF($E478="","",IF($N478="Cancelada","Cancelada",IF($N478="Concluída",IF($R478=1,"No prazo","Concluída com atraso"),IF($J478="","Na carteira",IF($J478&lt;TODAY(),"VENCIDA",IF($J478=TODAY(),"Hoje","Programada"))))))</f>
        <v/>
      </c>
    </row>
    <row r="479" customFormat="false" ht="15.75" hidden="false" customHeight="true" outlineLevel="0" collapsed="false">
      <c r="A479" s="28" t="str">
        <f aca="false">IF($E479="","",COUNTA($E$4:$E479))</f>
        <v/>
      </c>
      <c r="B479" s="34"/>
      <c r="C479" s="34"/>
      <c r="D479" s="34"/>
      <c r="E479" s="34"/>
      <c r="F479" s="35"/>
      <c r="G479" s="34"/>
      <c r="H479" s="35"/>
      <c r="I479" s="34"/>
      <c r="J479" s="36"/>
      <c r="K479" s="36"/>
      <c r="L479" s="35"/>
      <c r="M479" s="34"/>
      <c r="N479" s="35"/>
      <c r="O479" s="36"/>
      <c r="P479" s="32" t="str">
        <f aca="false">IF($J479="","",$J479-WEEKDAY($J479,3))</f>
        <v/>
      </c>
      <c r="Q479" s="32" t="str">
        <f aca="false">IF($J479="","",IF($K479="",$J479,$K479))</f>
        <v/>
      </c>
      <c r="R479" s="28" t="str">
        <f aca="false">IF($E479="","",IF(OR($N479&lt;&gt;"Concluída",$O479="",$J479=""),0,IF($O479&lt;=$J479,1,0)))</f>
        <v/>
      </c>
      <c r="S479" s="28" t="str">
        <f aca="false">IF($E479="","",IF(OR($N479&lt;&gt;"Concluída",$O479="",$Q479=""),0,IF($O479&lt;=$Q479,1,0)))</f>
        <v/>
      </c>
      <c r="T479" s="28" t="str">
        <f aca="false">IF(OR($J479="",$N479&lt;&gt;"Concluída",$O479=""),"",MAX(0,$O479-$J479))</f>
        <v/>
      </c>
      <c r="U479" s="33" t="str">
        <f aca="true">IF($E479="","",IF($N479="Cancelada","Cancelada",IF($N479="Concluída",IF($R479=1,"No prazo","Concluída com atraso"),IF($J479="","Na carteira",IF($J479&lt;TODAY(),"VENCIDA",IF($J479=TODAY(),"Hoje","Programada"))))))</f>
        <v/>
      </c>
    </row>
    <row r="480" customFormat="false" ht="15.75" hidden="false" customHeight="true" outlineLevel="0" collapsed="false">
      <c r="A480" s="28" t="str">
        <f aca="false">IF($E480="","",COUNTA($E$4:$E480))</f>
        <v/>
      </c>
      <c r="B480" s="29"/>
      <c r="C480" s="29"/>
      <c r="D480" s="29"/>
      <c r="E480" s="29"/>
      <c r="F480" s="30"/>
      <c r="G480" s="29"/>
      <c r="H480" s="30"/>
      <c r="I480" s="29"/>
      <c r="J480" s="31"/>
      <c r="K480" s="31"/>
      <c r="L480" s="30"/>
      <c r="M480" s="29"/>
      <c r="N480" s="30"/>
      <c r="O480" s="31"/>
      <c r="P480" s="32" t="str">
        <f aca="false">IF($J480="","",$J480-WEEKDAY($J480,3))</f>
        <v/>
      </c>
      <c r="Q480" s="32" t="str">
        <f aca="false">IF($J480="","",IF($K480="",$J480,$K480))</f>
        <v/>
      </c>
      <c r="R480" s="28" t="str">
        <f aca="false">IF($E480="","",IF(OR($N480&lt;&gt;"Concluída",$O480="",$J480=""),0,IF($O480&lt;=$J480,1,0)))</f>
        <v/>
      </c>
      <c r="S480" s="28" t="str">
        <f aca="false">IF($E480="","",IF(OR($N480&lt;&gt;"Concluída",$O480="",$Q480=""),0,IF($O480&lt;=$Q480,1,0)))</f>
        <v/>
      </c>
      <c r="T480" s="28" t="str">
        <f aca="false">IF(OR($J480="",$N480&lt;&gt;"Concluída",$O480=""),"",MAX(0,$O480-$J480))</f>
        <v/>
      </c>
      <c r="U480" s="33" t="str">
        <f aca="true">IF($E480="","",IF($N480="Cancelada","Cancelada",IF($N480="Concluída",IF($R480=1,"No prazo","Concluída com atraso"),IF($J480="","Na carteira",IF($J480&lt;TODAY(),"VENCIDA",IF($J480=TODAY(),"Hoje","Programada"))))))</f>
        <v/>
      </c>
    </row>
    <row r="481" customFormat="false" ht="15.75" hidden="false" customHeight="true" outlineLevel="0" collapsed="false">
      <c r="A481" s="28" t="str">
        <f aca="false">IF($E481="","",COUNTA($E$4:$E481))</f>
        <v/>
      </c>
      <c r="B481" s="34"/>
      <c r="C481" s="34"/>
      <c r="D481" s="34"/>
      <c r="E481" s="34"/>
      <c r="F481" s="35"/>
      <c r="G481" s="34"/>
      <c r="H481" s="35"/>
      <c r="I481" s="34"/>
      <c r="J481" s="36"/>
      <c r="K481" s="36"/>
      <c r="L481" s="35"/>
      <c r="M481" s="34"/>
      <c r="N481" s="35"/>
      <c r="O481" s="36"/>
      <c r="P481" s="32" t="str">
        <f aca="false">IF($J481="","",$J481-WEEKDAY($J481,3))</f>
        <v/>
      </c>
      <c r="Q481" s="32" t="str">
        <f aca="false">IF($J481="","",IF($K481="",$J481,$K481))</f>
        <v/>
      </c>
      <c r="R481" s="28" t="str">
        <f aca="false">IF($E481="","",IF(OR($N481&lt;&gt;"Concluída",$O481="",$J481=""),0,IF($O481&lt;=$J481,1,0)))</f>
        <v/>
      </c>
      <c r="S481" s="28" t="str">
        <f aca="false">IF($E481="","",IF(OR($N481&lt;&gt;"Concluída",$O481="",$Q481=""),0,IF($O481&lt;=$Q481,1,0)))</f>
        <v/>
      </c>
      <c r="T481" s="28" t="str">
        <f aca="false">IF(OR($J481="",$N481&lt;&gt;"Concluída",$O481=""),"",MAX(0,$O481-$J481))</f>
        <v/>
      </c>
      <c r="U481" s="33" t="str">
        <f aca="true">IF($E481="","",IF($N481="Cancelada","Cancelada",IF($N481="Concluída",IF($R481=1,"No prazo","Concluída com atraso"),IF($J481="","Na carteira",IF($J481&lt;TODAY(),"VENCIDA",IF($J481=TODAY(),"Hoje","Programada"))))))</f>
        <v/>
      </c>
    </row>
    <row r="482" customFormat="false" ht="15.75" hidden="false" customHeight="true" outlineLevel="0" collapsed="false">
      <c r="A482" s="28" t="str">
        <f aca="false">IF($E482="","",COUNTA($E$4:$E482))</f>
        <v/>
      </c>
      <c r="B482" s="29"/>
      <c r="C482" s="29"/>
      <c r="D482" s="29"/>
      <c r="E482" s="29"/>
      <c r="F482" s="30"/>
      <c r="G482" s="29"/>
      <c r="H482" s="30"/>
      <c r="I482" s="29"/>
      <c r="J482" s="31"/>
      <c r="K482" s="31"/>
      <c r="L482" s="30"/>
      <c r="M482" s="29"/>
      <c r="N482" s="30"/>
      <c r="O482" s="31"/>
      <c r="P482" s="32" t="str">
        <f aca="false">IF($J482="","",$J482-WEEKDAY($J482,3))</f>
        <v/>
      </c>
      <c r="Q482" s="32" t="str">
        <f aca="false">IF($J482="","",IF($K482="",$J482,$K482))</f>
        <v/>
      </c>
      <c r="R482" s="28" t="str">
        <f aca="false">IF($E482="","",IF(OR($N482&lt;&gt;"Concluída",$O482="",$J482=""),0,IF($O482&lt;=$J482,1,0)))</f>
        <v/>
      </c>
      <c r="S482" s="28" t="str">
        <f aca="false">IF($E482="","",IF(OR($N482&lt;&gt;"Concluída",$O482="",$Q482=""),0,IF($O482&lt;=$Q482,1,0)))</f>
        <v/>
      </c>
      <c r="T482" s="28" t="str">
        <f aca="false">IF(OR($J482="",$N482&lt;&gt;"Concluída",$O482=""),"",MAX(0,$O482-$J482))</f>
        <v/>
      </c>
      <c r="U482" s="33" t="str">
        <f aca="true">IF($E482="","",IF($N482="Cancelada","Cancelada",IF($N482="Concluída",IF($R482=1,"No prazo","Concluída com atraso"),IF($J482="","Na carteira",IF($J482&lt;TODAY(),"VENCIDA",IF($J482=TODAY(),"Hoje","Programada"))))))</f>
        <v/>
      </c>
    </row>
    <row r="483" customFormat="false" ht="15.75" hidden="false" customHeight="true" outlineLevel="0" collapsed="false">
      <c r="A483" s="28" t="str">
        <f aca="false">IF($E483="","",COUNTA($E$4:$E483))</f>
        <v/>
      </c>
      <c r="B483" s="34"/>
      <c r="C483" s="34"/>
      <c r="D483" s="34"/>
      <c r="E483" s="34"/>
      <c r="F483" s="35"/>
      <c r="G483" s="34"/>
      <c r="H483" s="35"/>
      <c r="I483" s="34"/>
      <c r="J483" s="36"/>
      <c r="K483" s="36"/>
      <c r="L483" s="35"/>
      <c r="M483" s="34"/>
      <c r="N483" s="35"/>
      <c r="O483" s="36"/>
      <c r="P483" s="32" t="str">
        <f aca="false">IF($J483="","",$J483-WEEKDAY($J483,3))</f>
        <v/>
      </c>
      <c r="Q483" s="32" t="str">
        <f aca="false">IF($J483="","",IF($K483="",$J483,$K483))</f>
        <v/>
      </c>
      <c r="R483" s="28" t="str">
        <f aca="false">IF($E483="","",IF(OR($N483&lt;&gt;"Concluída",$O483="",$J483=""),0,IF($O483&lt;=$J483,1,0)))</f>
        <v/>
      </c>
      <c r="S483" s="28" t="str">
        <f aca="false">IF($E483="","",IF(OR($N483&lt;&gt;"Concluída",$O483="",$Q483=""),0,IF($O483&lt;=$Q483,1,0)))</f>
        <v/>
      </c>
      <c r="T483" s="28" t="str">
        <f aca="false">IF(OR($J483="",$N483&lt;&gt;"Concluída",$O483=""),"",MAX(0,$O483-$J483))</f>
        <v/>
      </c>
      <c r="U483" s="33" t="str">
        <f aca="true">IF($E483="","",IF($N483="Cancelada","Cancelada",IF($N483="Concluída",IF($R483=1,"No prazo","Concluída com atraso"),IF($J483="","Na carteira",IF($J483&lt;TODAY(),"VENCIDA",IF($J483=TODAY(),"Hoje","Programada"))))))</f>
        <v/>
      </c>
    </row>
    <row r="484" customFormat="false" ht="15.75" hidden="false" customHeight="true" outlineLevel="0" collapsed="false">
      <c r="A484" s="28" t="str">
        <f aca="false">IF($E484="","",COUNTA($E$4:$E484))</f>
        <v/>
      </c>
      <c r="B484" s="29"/>
      <c r="C484" s="29"/>
      <c r="D484" s="29"/>
      <c r="E484" s="29"/>
      <c r="F484" s="30"/>
      <c r="G484" s="29"/>
      <c r="H484" s="30"/>
      <c r="I484" s="29"/>
      <c r="J484" s="31"/>
      <c r="K484" s="31"/>
      <c r="L484" s="30"/>
      <c r="M484" s="29"/>
      <c r="N484" s="30"/>
      <c r="O484" s="31"/>
      <c r="P484" s="32" t="str">
        <f aca="false">IF($J484="","",$J484-WEEKDAY($J484,3))</f>
        <v/>
      </c>
      <c r="Q484" s="32" t="str">
        <f aca="false">IF($J484="","",IF($K484="",$J484,$K484))</f>
        <v/>
      </c>
      <c r="R484" s="28" t="str">
        <f aca="false">IF($E484="","",IF(OR($N484&lt;&gt;"Concluída",$O484="",$J484=""),0,IF($O484&lt;=$J484,1,0)))</f>
        <v/>
      </c>
      <c r="S484" s="28" t="str">
        <f aca="false">IF($E484="","",IF(OR($N484&lt;&gt;"Concluída",$O484="",$Q484=""),0,IF($O484&lt;=$Q484,1,0)))</f>
        <v/>
      </c>
      <c r="T484" s="28" t="str">
        <f aca="false">IF(OR($J484="",$N484&lt;&gt;"Concluída",$O484=""),"",MAX(0,$O484-$J484))</f>
        <v/>
      </c>
      <c r="U484" s="33" t="str">
        <f aca="true">IF($E484="","",IF($N484="Cancelada","Cancelada",IF($N484="Concluída",IF($R484=1,"No prazo","Concluída com atraso"),IF($J484="","Na carteira",IF($J484&lt;TODAY(),"VENCIDA",IF($J484=TODAY(),"Hoje","Programada"))))))</f>
        <v/>
      </c>
    </row>
    <row r="485" customFormat="false" ht="15.75" hidden="false" customHeight="true" outlineLevel="0" collapsed="false">
      <c r="A485" s="28" t="str">
        <f aca="false">IF($E485="","",COUNTA($E$4:$E485))</f>
        <v/>
      </c>
      <c r="B485" s="34"/>
      <c r="C485" s="34"/>
      <c r="D485" s="34"/>
      <c r="E485" s="34"/>
      <c r="F485" s="35"/>
      <c r="G485" s="34"/>
      <c r="H485" s="35"/>
      <c r="I485" s="34"/>
      <c r="J485" s="36"/>
      <c r="K485" s="36"/>
      <c r="L485" s="35"/>
      <c r="M485" s="34"/>
      <c r="N485" s="35"/>
      <c r="O485" s="36"/>
      <c r="P485" s="32" t="str">
        <f aca="false">IF($J485="","",$J485-WEEKDAY($J485,3))</f>
        <v/>
      </c>
      <c r="Q485" s="32" t="str">
        <f aca="false">IF($J485="","",IF($K485="",$J485,$K485))</f>
        <v/>
      </c>
      <c r="R485" s="28" t="str">
        <f aca="false">IF($E485="","",IF(OR($N485&lt;&gt;"Concluída",$O485="",$J485=""),0,IF($O485&lt;=$J485,1,0)))</f>
        <v/>
      </c>
      <c r="S485" s="28" t="str">
        <f aca="false">IF($E485="","",IF(OR($N485&lt;&gt;"Concluída",$O485="",$Q485=""),0,IF($O485&lt;=$Q485,1,0)))</f>
        <v/>
      </c>
      <c r="T485" s="28" t="str">
        <f aca="false">IF(OR($J485="",$N485&lt;&gt;"Concluída",$O485=""),"",MAX(0,$O485-$J485))</f>
        <v/>
      </c>
      <c r="U485" s="33" t="str">
        <f aca="true">IF($E485="","",IF($N485="Cancelada","Cancelada",IF($N485="Concluída",IF($R485=1,"No prazo","Concluída com atraso"),IF($J485="","Na carteira",IF($J485&lt;TODAY(),"VENCIDA",IF($J485=TODAY(),"Hoje","Programada"))))))</f>
        <v/>
      </c>
    </row>
    <row r="486" customFormat="false" ht="15.75" hidden="false" customHeight="true" outlineLevel="0" collapsed="false">
      <c r="A486" s="28" t="str">
        <f aca="false">IF($E486="","",COUNTA($E$4:$E486))</f>
        <v/>
      </c>
      <c r="B486" s="29"/>
      <c r="C486" s="29"/>
      <c r="D486" s="29"/>
      <c r="E486" s="29"/>
      <c r="F486" s="30"/>
      <c r="G486" s="29"/>
      <c r="H486" s="30"/>
      <c r="I486" s="29"/>
      <c r="J486" s="31"/>
      <c r="K486" s="31"/>
      <c r="L486" s="30"/>
      <c r="M486" s="29"/>
      <c r="N486" s="30"/>
      <c r="O486" s="31"/>
      <c r="P486" s="32" t="str">
        <f aca="false">IF($J486="","",$J486-WEEKDAY($J486,3))</f>
        <v/>
      </c>
      <c r="Q486" s="32" t="str">
        <f aca="false">IF($J486="","",IF($K486="",$J486,$K486))</f>
        <v/>
      </c>
      <c r="R486" s="28" t="str">
        <f aca="false">IF($E486="","",IF(OR($N486&lt;&gt;"Concluída",$O486="",$J486=""),0,IF($O486&lt;=$J486,1,0)))</f>
        <v/>
      </c>
      <c r="S486" s="28" t="str">
        <f aca="false">IF($E486="","",IF(OR($N486&lt;&gt;"Concluída",$O486="",$Q486=""),0,IF($O486&lt;=$Q486,1,0)))</f>
        <v/>
      </c>
      <c r="T486" s="28" t="str">
        <f aca="false">IF(OR($J486="",$N486&lt;&gt;"Concluída",$O486=""),"",MAX(0,$O486-$J486))</f>
        <v/>
      </c>
      <c r="U486" s="33" t="str">
        <f aca="true">IF($E486="","",IF($N486="Cancelada","Cancelada",IF($N486="Concluída",IF($R486=1,"No prazo","Concluída com atraso"),IF($J486="","Na carteira",IF($J486&lt;TODAY(),"VENCIDA",IF($J486=TODAY(),"Hoje","Programada"))))))</f>
        <v/>
      </c>
    </row>
    <row r="487" customFormat="false" ht="15.75" hidden="false" customHeight="true" outlineLevel="0" collapsed="false">
      <c r="A487" s="28" t="str">
        <f aca="false">IF($E487="","",COUNTA($E$4:$E487))</f>
        <v/>
      </c>
      <c r="B487" s="34"/>
      <c r="C487" s="34"/>
      <c r="D487" s="34"/>
      <c r="E487" s="34"/>
      <c r="F487" s="35"/>
      <c r="G487" s="34"/>
      <c r="H487" s="35"/>
      <c r="I487" s="34"/>
      <c r="J487" s="36"/>
      <c r="K487" s="36"/>
      <c r="L487" s="35"/>
      <c r="M487" s="34"/>
      <c r="N487" s="35"/>
      <c r="O487" s="36"/>
      <c r="P487" s="32" t="str">
        <f aca="false">IF($J487="","",$J487-WEEKDAY($J487,3))</f>
        <v/>
      </c>
      <c r="Q487" s="32" t="str">
        <f aca="false">IF($J487="","",IF($K487="",$J487,$K487))</f>
        <v/>
      </c>
      <c r="R487" s="28" t="str">
        <f aca="false">IF($E487="","",IF(OR($N487&lt;&gt;"Concluída",$O487="",$J487=""),0,IF($O487&lt;=$J487,1,0)))</f>
        <v/>
      </c>
      <c r="S487" s="28" t="str">
        <f aca="false">IF($E487="","",IF(OR($N487&lt;&gt;"Concluída",$O487="",$Q487=""),0,IF($O487&lt;=$Q487,1,0)))</f>
        <v/>
      </c>
      <c r="T487" s="28" t="str">
        <f aca="false">IF(OR($J487="",$N487&lt;&gt;"Concluída",$O487=""),"",MAX(0,$O487-$J487))</f>
        <v/>
      </c>
      <c r="U487" s="33" t="str">
        <f aca="true">IF($E487="","",IF($N487="Cancelada","Cancelada",IF($N487="Concluída",IF($R487=1,"No prazo","Concluída com atraso"),IF($J487="","Na carteira",IF($J487&lt;TODAY(),"VENCIDA",IF($J487=TODAY(),"Hoje","Programada"))))))</f>
        <v/>
      </c>
    </row>
    <row r="488" customFormat="false" ht="15.75" hidden="false" customHeight="true" outlineLevel="0" collapsed="false">
      <c r="A488" s="28" t="str">
        <f aca="false">IF($E488="","",COUNTA($E$4:$E488))</f>
        <v/>
      </c>
      <c r="B488" s="29"/>
      <c r="C488" s="29"/>
      <c r="D488" s="29"/>
      <c r="E488" s="29"/>
      <c r="F488" s="30"/>
      <c r="G488" s="29"/>
      <c r="H488" s="30"/>
      <c r="I488" s="29"/>
      <c r="J488" s="31"/>
      <c r="K488" s="31"/>
      <c r="L488" s="30"/>
      <c r="M488" s="29"/>
      <c r="N488" s="30"/>
      <c r="O488" s="31"/>
      <c r="P488" s="32" t="str">
        <f aca="false">IF($J488="","",$J488-WEEKDAY($J488,3))</f>
        <v/>
      </c>
      <c r="Q488" s="32" t="str">
        <f aca="false">IF($J488="","",IF($K488="",$J488,$K488))</f>
        <v/>
      </c>
      <c r="R488" s="28" t="str">
        <f aca="false">IF($E488="","",IF(OR($N488&lt;&gt;"Concluída",$O488="",$J488=""),0,IF($O488&lt;=$J488,1,0)))</f>
        <v/>
      </c>
      <c r="S488" s="28" t="str">
        <f aca="false">IF($E488="","",IF(OR($N488&lt;&gt;"Concluída",$O488="",$Q488=""),0,IF($O488&lt;=$Q488,1,0)))</f>
        <v/>
      </c>
      <c r="T488" s="28" t="str">
        <f aca="false">IF(OR($J488="",$N488&lt;&gt;"Concluída",$O488=""),"",MAX(0,$O488-$J488))</f>
        <v/>
      </c>
      <c r="U488" s="33" t="str">
        <f aca="true">IF($E488="","",IF($N488="Cancelada","Cancelada",IF($N488="Concluída",IF($R488=1,"No prazo","Concluída com atraso"),IF($J488="","Na carteira",IF($J488&lt;TODAY(),"VENCIDA",IF($J488=TODAY(),"Hoje","Programada"))))))</f>
        <v/>
      </c>
    </row>
    <row r="489" customFormat="false" ht="15.75" hidden="false" customHeight="true" outlineLevel="0" collapsed="false">
      <c r="A489" s="28" t="str">
        <f aca="false">IF($E489="","",COUNTA($E$4:$E489))</f>
        <v/>
      </c>
      <c r="B489" s="34"/>
      <c r="C489" s="34"/>
      <c r="D489" s="34"/>
      <c r="E489" s="34"/>
      <c r="F489" s="35"/>
      <c r="G489" s="34"/>
      <c r="H489" s="35"/>
      <c r="I489" s="34"/>
      <c r="J489" s="36"/>
      <c r="K489" s="36"/>
      <c r="L489" s="35"/>
      <c r="M489" s="34"/>
      <c r="N489" s="35"/>
      <c r="O489" s="36"/>
      <c r="P489" s="32" t="str">
        <f aca="false">IF($J489="","",$J489-WEEKDAY($J489,3))</f>
        <v/>
      </c>
      <c r="Q489" s="32" t="str">
        <f aca="false">IF($J489="","",IF($K489="",$J489,$K489))</f>
        <v/>
      </c>
      <c r="R489" s="28" t="str">
        <f aca="false">IF($E489="","",IF(OR($N489&lt;&gt;"Concluída",$O489="",$J489=""),0,IF($O489&lt;=$J489,1,0)))</f>
        <v/>
      </c>
      <c r="S489" s="28" t="str">
        <f aca="false">IF($E489="","",IF(OR($N489&lt;&gt;"Concluída",$O489="",$Q489=""),0,IF($O489&lt;=$Q489,1,0)))</f>
        <v/>
      </c>
      <c r="T489" s="28" t="str">
        <f aca="false">IF(OR($J489="",$N489&lt;&gt;"Concluída",$O489=""),"",MAX(0,$O489-$J489))</f>
        <v/>
      </c>
      <c r="U489" s="33" t="str">
        <f aca="true">IF($E489="","",IF($N489="Cancelada","Cancelada",IF($N489="Concluída",IF($R489=1,"No prazo","Concluída com atraso"),IF($J489="","Na carteira",IF($J489&lt;TODAY(),"VENCIDA",IF($J489=TODAY(),"Hoje","Programada"))))))</f>
        <v/>
      </c>
    </row>
    <row r="490" customFormat="false" ht="15.75" hidden="false" customHeight="true" outlineLevel="0" collapsed="false">
      <c r="A490" s="28" t="str">
        <f aca="false">IF($E490="","",COUNTA($E$4:$E490))</f>
        <v/>
      </c>
      <c r="B490" s="29"/>
      <c r="C490" s="29"/>
      <c r="D490" s="29"/>
      <c r="E490" s="29"/>
      <c r="F490" s="30"/>
      <c r="G490" s="29"/>
      <c r="H490" s="30"/>
      <c r="I490" s="29"/>
      <c r="J490" s="31"/>
      <c r="K490" s="31"/>
      <c r="L490" s="30"/>
      <c r="M490" s="29"/>
      <c r="N490" s="30"/>
      <c r="O490" s="31"/>
      <c r="P490" s="32" t="str">
        <f aca="false">IF($J490="","",$J490-WEEKDAY($J490,3))</f>
        <v/>
      </c>
      <c r="Q490" s="32" t="str">
        <f aca="false">IF($J490="","",IF($K490="",$J490,$K490))</f>
        <v/>
      </c>
      <c r="R490" s="28" t="str">
        <f aca="false">IF($E490="","",IF(OR($N490&lt;&gt;"Concluída",$O490="",$J490=""),0,IF($O490&lt;=$J490,1,0)))</f>
        <v/>
      </c>
      <c r="S490" s="28" t="str">
        <f aca="false">IF($E490="","",IF(OR($N490&lt;&gt;"Concluída",$O490="",$Q490=""),0,IF($O490&lt;=$Q490,1,0)))</f>
        <v/>
      </c>
      <c r="T490" s="28" t="str">
        <f aca="false">IF(OR($J490="",$N490&lt;&gt;"Concluída",$O490=""),"",MAX(0,$O490-$J490))</f>
        <v/>
      </c>
      <c r="U490" s="33" t="str">
        <f aca="true">IF($E490="","",IF($N490="Cancelada","Cancelada",IF($N490="Concluída",IF($R490=1,"No prazo","Concluída com atraso"),IF($J490="","Na carteira",IF($J490&lt;TODAY(),"VENCIDA",IF($J490=TODAY(),"Hoje","Programada"))))))</f>
        <v/>
      </c>
    </row>
    <row r="491" customFormat="false" ht="15.75" hidden="false" customHeight="true" outlineLevel="0" collapsed="false">
      <c r="A491" s="28" t="str">
        <f aca="false">IF($E491="","",COUNTA($E$4:$E491))</f>
        <v/>
      </c>
      <c r="B491" s="34"/>
      <c r="C491" s="34"/>
      <c r="D491" s="34"/>
      <c r="E491" s="34"/>
      <c r="F491" s="35"/>
      <c r="G491" s="34"/>
      <c r="H491" s="35"/>
      <c r="I491" s="34"/>
      <c r="J491" s="36"/>
      <c r="K491" s="36"/>
      <c r="L491" s="35"/>
      <c r="M491" s="34"/>
      <c r="N491" s="35"/>
      <c r="O491" s="36"/>
      <c r="P491" s="32" t="str">
        <f aca="false">IF($J491="","",$J491-WEEKDAY($J491,3))</f>
        <v/>
      </c>
      <c r="Q491" s="32" t="str">
        <f aca="false">IF($J491="","",IF($K491="",$J491,$K491))</f>
        <v/>
      </c>
      <c r="R491" s="28" t="str">
        <f aca="false">IF($E491="","",IF(OR($N491&lt;&gt;"Concluída",$O491="",$J491=""),0,IF($O491&lt;=$J491,1,0)))</f>
        <v/>
      </c>
      <c r="S491" s="28" t="str">
        <f aca="false">IF($E491="","",IF(OR($N491&lt;&gt;"Concluída",$O491="",$Q491=""),0,IF($O491&lt;=$Q491,1,0)))</f>
        <v/>
      </c>
      <c r="T491" s="28" t="str">
        <f aca="false">IF(OR($J491="",$N491&lt;&gt;"Concluída",$O491=""),"",MAX(0,$O491-$J491))</f>
        <v/>
      </c>
      <c r="U491" s="33" t="str">
        <f aca="true">IF($E491="","",IF($N491="Cancelada","Cancelada",IF($N491="Concluída",IF($R491=1,"No prazo","Concluída com atraso"),IF($J491="","Na carteira",IF($J491&lt;TODAY(),"VENCIDA",IF($J491=TODAY(),"Hoje","Programada"))))))</f>
        <v/>
      </c>
    </row>
    <row r="492" customFormat="false" ht="15.75" hidden="false" customHeight="true" outlineLevel="0" collapsed="false">
      <c r="A492" s="28" t="str">
        <f aca="false">IF($E492="","",COUNTA($E$4:$E492))</f>
        <v/>
      </c>
      <c r="B492" s="29"/>
      <c r="C492" s="29"/>
      <c r="D492" s="29"/>
      <c r="E492" s="29"/>
      <c r="F492" s="30"/>
      <c r="G492" s="29"/>
      <c r="H492" s="30"/>
      <c r="I492" s="29"/>
      <c r="J492" s="31"/>
      <c r="K492" s="31"/>
      <c r="L492" s="30"/>
      <c r="M492" s="29"/>
      <c r="N492" s="30"/>
      <c r="O492" s="31"/>
      <c r="P492" s="32" t="str">
        <f aca="false">IF($J492="","",$J492-WEEKDAY($J492,3))</f>
        <v/>
      </c>
      <c r="Q492" s="32" t="str">
        <f aca="false">IF($J492="","",IF($K492="",$J492,$K492))</f>
        <v/>
      </c>
      <c r="R492" s="28" t="str">
        <f aca="false">IF($E492="","",IF(OR($N492&lt;&gt;"Concluída",$O492="",$J492=""),0,IF($O492&lt;=$J492,1,0)))</f>
        <v/>
      </c>
      <c r="S492" s="28" t="str">
        <f aca="false">IF($E492="","",IF(OR($N492&lt;&gt;"Concluída",$O492="",$Q492=""),0,IF($O492&lt;=$Q492,1,0)))</f>
        <v/>
      </c>
      <c r="T492" s="28" t="str">
        <f aca="false">IF(OR($J492="",$N492&lt;&gt;"Concluída",$O492=""),"",MAX(0,$O492-$J492))</f>
        <v/>
      </c>
      <c r="U492" s="33" t="str">
        <f aca="true">IF($E492="","",IF($N492="Cancelada","Cancelada",IF($N492="Concluída",IF($R492=1,"No prazo","Concluída com atraso"),IF($J492="","Na carteira",IF($J492&lt;TODAY(),"VENCIDA",IF($J492=TODAY(),"Hoje","Programada"))))))</f>
        <v/>
      </c>
    </row>
    <row r="493" customFormat="false" ht="15.75" hidden="false" customHeight="true" outlineLevel="0" collapsed="false">
      <c r="A493" s="28" t="str">
        <f aca="false">IF($E493="","",COUNTA($E$4:$E493))</f>
        <v/>
      </c>
      <c r="B493" s="34"/>
      <c r="C493" s="34"/>
      <c r="D493" s="34"/>
      <c r="E493" s="34"/>
      <c r="F493" s="35"/>
      <c r="G493" s="34"/>
      <c r="H493" s="35"/>
      <c r="I493" s="34"/>
      <c r="J493" s="36"/>
      <c r="K493" s="36"/>
      <c r="L493" s="35"/>
      <c r="M493" s="34"/>
      <c r="N493" s="35"/>
      <c r="O493" s="36"/>
      <c r="P493" s="32" t="str">
        <f aca="false">IF($J493="","",$J493-WEEKDAY($J493,3))</f>
        <v/>
      </c>
      <c r="Q493" s="32" t="str">
        <f aca="false">IF($J493="","",IF($K493="",$J493,$K493))</f>
        <v/>
      </c>
      <c r="R493" s="28" t="str">
        <f aca="false">IF($E493="","",IF(OR($N493&lt;&gt;"Concluída",$O493="",$J493=""),0,IF($O493&lt;=$J493,1,0)))</f>
        <v/>
      </c>
      <c r="S493" s="28" t="str">
        <f aca="false">IF($E493="","",IF(OR($N493&lt;&gt;"Concluída",$O493="",$Q493=""),0,IF($O493&lt;=$Q493,1,0)))</f>
        <v/>
      </c>
      <c r="T493" s="28" t="str">
        <f aca="false">IF(OR($J493="",$N493&lt;&gt;"Concluída",$O493=""),"",MAX(0,$O493-$J493))</f>
        <v/>
      </c>
      <c r="U493" s="33" t="str">
        <f aca="true">IF($E493="","",IF($N493="Cancelada","Cancelada",IF($N493="Concluída",IF($R493=1,"No prazo","Concluída com atraso"),IF($J493="","Na carteira",IF($J493&lt;TODAY(),"VENCIDA",IF($J493=TODAY(),"Hoje","Programada"))))))</f>
        <v/>
      </c>
    </row>
    <row r="494" customFormat="false" ht="15.75" hidden="false" customHeight="true" outlineLevel="0" collapsed="false">
      <c r="A494" s="28" t="str">
        <f aca="false">IF($E494="","",COUNTA($E$4:$E494))</f>
        <v/>
      </c>
      <c r="B494" s="29"/>
      <c r="C494" s="29"/>
      <c r="D494" s="29"/>
      <c r="E494" s="29"/>
      <c r="F494" s="30"/>
      <c r="G494" s="29"/>
      <c r="H494" s="30"/>
      <c r="I494" s="29"/>
      <c r="J494" s="31"/>
      <c r="K494" s="31"/>
      <c r="L494" s="30"/>
      <c r="M494" s="29"/>
      <c r="N494" s="30"/>
      <c r="O494" s="31"/>
      <c r="P494" s="32" t="str">
        <f aca="false">IF($J494="","",$J494-WEEKDAY($J494,3))</f>
        <v/>
      </c>
      <c r="Q494" s="32" t="str">
        <f aca="false">IF($J494="","",IF($K494="",$J494,$K494))</f>
        <v/>
      </c>
      <c r="R494" s="28" t="str">
        <f aca="false">IF($E494="","",IF(OR($N494&lt;&gt;"Concluída",$O494="",$J494=""),0,IF($O494&lt;=$J494,1,0)))</f>
        <v/>
      </c>
      <c r="S494" s="28" t="str">
        <f aca="false">IF($E494="","",IF(OR($N494&lt;&gt;"Concluída",$O494="",$Q494=""),0,IF($O494&lt;=$Q494,1,0)))</f>
        <v/>
      </c>
      <c r="T494" s="28" t="str">
        <f aca="false">IF(OR($J494="",$N494&lt;&gt;"Concluída",$O494=""),"",MAX(0,$O494-$J494))</f>
        <v/>
      </c>
      <c r="U494" s="33" t="str">
        <f aca="true">IF($E494="","",IF($N494="Cancelada","Cancelada",IF($N494="Concluída",IF($R494=1,"No prazo","Concluída com atraso"),IF($J494="","Na carteira",IF($J494&lt;TODAY(),"VENCIDA",IF($J494=TODAY(),"Hoje","Programada"))))))</f>
        <v/>
      </c>
    </row>
    <row r="495" customFormat="false" ht="15.75" hidden="false" customHeight="true" outlineLevel="0" collapsed="false">
      <c r="A495" s="28" t="str">
        <f aca="false">IF($E495="","",COUNTA($E$4:$E495))</f>
        <v/>
      </c>
      <c r="B495" s="34"/>
      <c r="C495" s="34"/>
      <c r="D495" s="34"/>
      <c r="E495" s="34"/>
      <c r="F495" s="35"/>
      <c r="G495" s="34"/>
      <c r="H495" s="35"/>
      <c r="I495" s="34"/>
      <c r="J495" s="36"/>
      <c r="K495" s="36"/>
      <c r="L495" s="35"/>
      <c r="M495" s="34"/>
      <c r="N495" s="35"/>
      <c r="O495" s="36"/>
      <c r="P495" s="32" t="str">
        <f aca="false">IF($J495="","",$J495-WEEKDAY($J495,3))</f>
        <v/>
      </c>
      <c r="Q495" s="32" t="str">
        <f aca="false">IF($J495="","",IF($K495="",$J495,$K495))</f>
        <v/>
      </c>
      <c r="R495" s="28" t="str">
        <f aca="false">IF($E495="","",IF(OR($N495&lt;&gt;"Concluída",$O495="",$J495=""),0,IF($O495&lt;=$J495,1,0)))</f>
        <v/>
      </c>
      <c r="S495" s="28" t="str">
        <f aca="false">IF($E495="","",IF(OR($N495&lt;&gt;"Concluída",$O495="",$Q495=""),0,IF($O495&lt;=$Q495,1,0)))</f>
        <v/>
      </c>
      <c r="T495" s="28" t="str">
        <f aca="false">IF(OR($J495="",$N495&lt;&gt;"Concluída",$O495=""),"",MAX(0,$O495-$J495))</f>
        <v/>
      </c>
      <c r="U495" s="33" t="str">
        <f aca="true">IF($E495="","",IF($N495="Cancelada","Cancelada",IF($N495="Concluída",IF($R495=1,"No prazo","Concluída com atraso"),IF($J495="","Na carteira",IF($J495&lt;TODAY(),"VENCIDA",IF($J495=TODAY(),"Hoje","Programada"))))))</f>
        <v/>
      </c>
    </row>
    <row r="496" customFormat="false" ht="15.75" hidden="false" customHeight="true" outlineLevel="0" collapsed="false">
      <c r="A496" s="28" t="str">
        <f aca="false">IF($E496="","",COUNTA($E$4:$E496))</f>
        <v/>
      </c>
      <c r="B496" s="29"/>
      <c r="C496" s="29"/>
      <c r="D496" s="29"/>
      <c r="E496" s="29"/>
      <c r="F496" s="30"/>
      <c r="G496" s="29"/>
      <c r="H496" s="30"/>
      <c r="I496" s="29"/>
      <c r="J496" s="31"/>
      <c r="K496" s="31"/>
      <c r="L496" s="30"/>
      <c r="M496" s="29"/>
      <c r="N496" s="30"/>
      <c r="O496" s="31"/>
      <c r="P496" s="32" t="str">
        <f aca="false">IF($J496="","",$J496-WEEKDAY($J496,3))</f>
        <v/>
      </c>
      <c r="Q496" s="32" t="str">
        <f aca="false">IF($J496="","",IF($K496="",$J496,$K496))</f>
        <v/>
      </c>
      <c r="R496" s="28" t="str">
        <f aca="false">IF($E496="","",IF(OR($N496&lt;&gt;"Concluída",$O496="",$J496=""),0,IF($O496&lt;=$J496,1,0)))</f>
        <v/>
      </c>
      <c r="S496" s="28" t="str">
        <f aca="false">IF($E496="","",IF(OR($N496&lt;&gt;"Concluída",$O496="",$Q496=""),0,IF($O496&lt;=$Q496,1,0)))</f>
        <v/>
      </c>
      <c r="T496" s="28" t="str">
        <f aca="false">IF(OR($J496="",$N496&lt;&gt;"Concluída",$O496=""),"",MAX(0,$O496-$J496))</f>
        <v/>
      </c>
      <c r="U496" s="33" t="str">
        <f aca="true">IF($E496="","",IF($N496="Cancelada","Cancelada",IF($N496="Concluída",IF($R496=1,"No prazo","Concluída com atraso"),IF($J496="","Na carteira",IF($J496&lt;TODAY(),"VENCIDA",IF($J496=TODAY(),"Hoje","Programada"))))))</f>
        <v/>
      </c>
    </row>
    <row r="497" customFormat="false" ht="15.75" hidden="false" customHeight="true" outlineLevel="0" collapsed="false">
      <c r="A497" s="28" t="str">
        <f aca="false">IF($E497="","",COUNTA($E$4:$E497))</f>
        <v/>
      </c>
      <c r="B497" s="34"/>
      <c r="C497" s="34"/>
      <c r="D497" s="34"/>
      <c r="E497" s="34"/>
      <c r="F497" s="35"/>
      <c r="G497" s="34"/>
      <c r="H497" s="35"/>
      <c r="I497" s="34"/>
      <c r="J497" s="36"/>
      <c r="K497" s="36"/>
      <c r="L497" s="35"/>
      <c r="M497" s="34"/>
      <c r="N497" s="35"/>
      <c r="O497" s="36"/>
      <c r="P497" s="32" t="str">
        <f aca="false">IF($J497="","",$J497-WEEKDAY($J497,3))</f>
        <v/>
      </c>
      <c r="Q497" s="32" t="str">
        <f aca="false">IF($J497="","",IF($K497="",$J497,$K497))</f>
        <v/>
      </c>
      <c r="R497" s="28" t="str">
        <f aca="false">IF($E497="","",IF(OR($N497&lt;&gt;"Concluída",$O497="",$J497=""),0,IF($O497&lt;=$J497,1,0)))</f>
        <v/>
      </c>
      <c r="S497" s="28" t="str">
        <f aca="false">IF($E497="","",IF(OR($N497&lt;&gt;"Concluída",$O497="",$Q497=""),0,IF($O497&lt;=$Q497,1,0)))</f>
        <v/>
      </c>
      <c r="T497" s="28" t="str">
        <f aca="false">IF(OR($J497="",$N497&lt;&gt;"Concluída",$O497=""),"",MAX(0,$O497-$J497))</f>
        <v/>
      </c>
      <c r="U497" s="33" t="str">
        <f aca="true">IF($E497="","",IF($N497="Cancelada","Cancelada",IF($N497="Concluída",IF($R497=1,"No prazo","Concluída com atraso"),IF($J497="","Na carteira",IF($J497&lt;TODAY(),"VENCIDA",IF($J497=TODAY(),"Hoje","Programada"))))))</f>
        <v/>
      </c>
    </row>
    <row r="498" customFormat="false" ht="15.75" hidden="false" customHeight="true" outlineLevel="0" collapsed="false">
      <c r="A498" s="28" t="str">
        <f aca="false">IF($E498="","",COUNTA($E$4:$E498))</f>
        <v/>
      </c>
      <c r="B498" s="29"/>
      <c r="C498" s="29"/>
      <c r="D498" s="29"/>
      <c r="E498" s="29"/>
      <c r="F498" s="30"/>
      <c r="G498" s="29"/>
      <c r="H498" s="30"/>
      <c r="I498" s="29"/>
      <c r="J498" s="31"/>
      <c r="K498" s="31"/>
      <c r="L498" s="30"/>
      <c r="M498" s="29"/>
      <c r="N498" s="30"/>
      <c r="O498" s="31"/>
      <c r="P498" s="32" t="str">
        <f aca="false">IF($J498="","",$J498-WEEKDAY($J498,3))</f>
        <v/>
      </c>
      <c r="Q498" s="32" t="str">
        <f aca="false">IF($J498="","",IF($K498="",$J498,$K498))</f>
        <v/>
      </c>
      <c r="R498" s="28" t="str">
        <f aca="false">IF($E498="","",IF(OR($N498&lt;&gt;"Concluída",$O498="",$J498=""),0,IF($O498&lt;=$J498,1,0)))</f>
        <v/>
      </c>
      <c r="S498" s="28" t="str">
        <f aca="false">IF($E498="","",IF(OR($N498&lt;&gt;"Concluída",$O498="",$Q498=""),0,IF($O498&lt;=$Q498,1,0)))</f>
        <v/>
      </c>
      <c r="T498" s="28" t="str">
        <f aca="false">IF(OR($J498="",$N498&lt;&gt;"Concluída",$O498=""),"",MAX(0,$O498-$J498))</f>
        <v/>
      </c>
      <c r="U498" s="33" t="str">
        <f aca="true">IF($E498="","",IF($N498="Cancelada","Cancelada",IF($N498="Concluída",IF($R498=1,"No prazo","Concluída com atraso"),IF($J498="","Na carteira",IF($J498&lt;TODAY(),"VENCIDA",IF($J498=TODAY(),"Hoje","Programada"))))))</f>
        <v/>
      </c>
    </row>
    <row r="499" customFormat="false" ht="15.75" hidden="false" customHeight="true" outlineLevel="0" collapsed="false">
      <c r="A499" s="28" t="str">
        <f aca="false">IF($E499="","",COUNTA($E$4:$E499))</f>
        <v/>
      </c>
      <c r="B499" s="34"/>
      <c r="C499" s="34"/>
      <c r="D499" s="34"/>
      <c r="E499" s="34"/>
      <c r="F499" s="35"/>
      <c r="G499" s="34"/>
      <c r="H499" s="35"/>
      <c r="I499" s="34"/>
      <c r="J499" s="36"/>
      <c r="K499" s="36"/>
      <c r="L499" s="35"/>
      <c r="M499" s="34"/>
      <c r="N499" s="35"/>
      <c r="O499" s="36"/>
      <c r="P499" s="32" t="str">
        <f aca="false">IF($J499="","",$J499-WEEKDAY($J499,3))</f>
        <v/>
      </c>
      <c r="Q499" s="32" t="str">
        <f aca="false">IF($J499="","",IF($K499="",$J499,$K499))</f>
        <v/>
      </c>
      <c r="R499" s="28" t="str">
        <f aca="false">IF($E499="","",IF(OR($N499&lt;&gt;"Concluída",$O499="",$J499=""),0,IF($O499&lt;=$J499,1,0)))</f>
        <v/>
      </c>
      <c r="S499" s="28" t="str">
        <f aca="false">IF($E499="","",IF(OR($N499&lt;&gt;"Concluída",$O499="",$Q499=""),0,IF($O499&lt;=$Q499,1,0)))</f>
        <v/>
      </c>
      <c r="T499" s="28" t="str">
        <f aca="false">IF(OR($J499="",$N499&lt;&gt;"Concluída",$O499=""),"",MAX(0,$O499-$J499))</f>
        <v/>
      </c>
      <c r="U499" s="33" t="str">
        <f aca="true">IF($E499="","",IF($N499="Cancelada","Cancelada",IF($N499="Concluída",IF($R499=1,"No prazo","Concluída com atraso"),IF($J499="","Na carteira",IF($J499&lt;TODAY(),"VENCIDA",IF($J499=TODAY(),"Hoje","Programada"))))))</f>
        <v/>
      </c>
    </row>
    <row r="500" customFormat="false" ht="15.75" hidden="false" customHeight="true" outlineLevel="0" collapsed="false">
      <c r="A500" s="28" t="str">
        <f aca="false">IF($E500="","",COUNTA($E$4:$E500))</f>
        <v/>
      </c>
      <c r="B500" s="29"/>
      <c r="C500" s="29"/>
      <c r="D500" s="29"/>
      <c r="E500" s="29"/>
      <c r="F500" s="30"/>
      <c r="G500" s="29"/>
      <c r="H500" s="30"/>
      <c r="I500" s="29"/>
      <c r="J500" s="31"/>
      <c r="K500" s="31"/>
      <c r="L500" s="30"/>
      <c r="M500" s="29"/>
      <c r="N500" s="30"/>
      <c r="O500" s="31"/>
      <c r="P500" s="32" t="str">
        <f aca="false">IF($J500="","",$J500-WEEKDAY($J500,3))</f>
        <v/>
      </c>
      <c r="Q500" s="32" t="str">
        <f aca="false">IF($J500="","",IF($K500="",$J500,$K500))</f>
        <v/>
      </c>
      <c r="R500" s="28" t="str">
        <f aca="false">IF($E500="","",IF(OR($N500&lt;&gt;"Concluída",$O500="",$J500=""),0,IF($O500&lt;=$J500,1,0)))</f>
        <v/>
      </c>
      <c r="S500" s="28" t="str">
        <f aca="false">IF($E500="","",IF(OR($N500&lt;&gt;"Concluída",$O500="",$Q500=""),0,IF($O500&lt;=$Q500,1,0)))</f>
        <v/>
      </c>
      <c r="T500" s="28" t="str">
        <f aca="false">IF(OR($J500="",$N500&lt;&gt;"Concluída",$O500=""),"",MAX(0,$O500-$J500))</f>
        <v/>
      </c>
      <c r="U500" s="33" t="str">
        <f aca="true">IF($E500="","",IF($N500="Cancelada","Cancelada",IF($N500="Concluída",IF($R500=1,"No prazo","Concluída com atraso"),IF($J500="","Na carteira",IF($J500&lt;TODAY(),"VENCIDA",IF($J500=TODAY(),"Hoje","Programada"))))))</f>
        <v/>
      </c>
    </row>
    <row r="501" customFormat="false" ht="15.75" hidden="false" customHeight="true" outlineLevel="0" collapsed="false">
      <c r="A501" s="28" t="str">
        <f aca="false">IF($E501="","",COUNTA($E$4:$E501))</f>
        <v/>
      </c>
      <c r="B501" s="34"/>
      <c r="C501" s="34"/>
      <c r="D501" s="34"/>
      <c r="E501" s="34"/>
      <c r="F501" s="35"/>
      <c r="G501" s="34"/>
      <c r="H501" s="35"/>
      <c r="I501" s="34"/>
      <c r="J501" s="36"/>
      <c r="K501" s="36"/>
      <c r="L501" s="35"/>
      <c r="M501" s="34"/>
      <c r="N501" s="35"/>
      <c r="O501" s="36"/>
      <c r="P501" s="32" t="str">
        <f aca="false">IF($J501="","",$J501-WEEKDAY($J501,3))</f>
        <v/>
      </c>
      <c r="Q501" s="32" t="str">
        <f aca="false">IF($J501="","",IF($K501="",$J501,$K501))</f>
        <v/>
      </c>
      <c r="R501" s="28" t="str">
        <f aca="false">IF($E501="","",IF(OR($N501&lt;&gt;"Concluída",$O501="",$J501=""),0,IF($O501&lt;=$J501,1,0)))</f>
        <v/>
      </c>
      <c r="S501" s="28" t="str">
        <f aca="false">IF($E501="","",IF(OR($N501&lt;&gt;"Concluída",$O501="",$Q501=""),0,IF($O501&lt;=$Q501,1,0)))</f>
        <v/>
      </c>
      <c r="T501" s="28" t="str">
        <f aca="false">IF(OR($J501="",$N501&lt;&gt;"Concluída",$O501=""),"",MAX(0,$O501-$J501))</f>
        <v/>
      </c>
      <c r="U501" s="33" t="str">
        <f aca="true">IF($E501="","",IF($N501="Cancelada","Cancelada",IF($N501="Concluída",IF($R501=1,"No prazo","Concluída com atraso"),IF($J501="","Na carteira",IF($J501&lt;TODAY(),"VENCIDA",IF($J501=TODAY(),"Hoje","Programada"))))))</f>
        <v/>
      </c>
    </row>
    <row r="502" customFormat="false" ht="15.75" hidden="false" customHeight="true" outlineLevel="0" collapsed="false">
      <c r="A502" s="28" t="str">
        <f aca="false">IF($E502="","",COUNTA($E$4:$E502))</f>
        <v/>
      </c>
      <c r="B502" s="29"/>
      <c r="C502" s="29"/>
      <c r="D502" s="29"/>
      <c r="E502" s="29"/>
      <c r="F502" s="30"/>
      <c r="G502" s="29"/>
      <c r="H502" s="30"/>
      <c r="I502" s="29"/>
      <c r="J502" s="31"/>
      <c r="K502" s="31"/>
      <c r="L502" s="30"/>
      <c r="M502" s="29"/>
      <c r="N502" s="30"/>
      <c r="O502" s="31"/>
      <c r="P502" s="32" t="str">
        <f aca="false">IF($J502="","",$J502-WEEKDAY($J502,3))</f>
        <v/>
      </c>
      <c r="Q502" s="32" t="str">
        <f aca="false">IF($J502="","",IF($K502="",$J502,$K502))</f>
        <v/>
      </c>
      <c r="R502" s="28" t="str">
        <f aca="false">IF($E502="","",IF(OR($N502&lt;&gt;"Concluída",$O502="",$J502=""),0,IF($O502&lt;=$J502,1,0)))</f>
        <v/>
      </c>
      <c r="S502" s="28" t="str">
        <f aca="false">IF($E502="","",IF(OR($N502&lt;&gt;"Concluída",$O502="",$Q502=""),0,IF($O502&lt;=$Q502,1,0)))</f>
        <v/>
      </c>
      <c r="T502" s="28" t="str">
        <f aca="false">IF(OR($J502="",$N502&lt;&gt;"Concluída",$O502=""),"",MAX(0,$O502-$J502))</f>
        <v/>
      </c>
      <c r="U502" s="33" t="str">
        <f aca="true">IF($E502="","",IF($N502="Cancelada","Cancelada",IF($N502="Concluída",IF($R502=1,"No prazo","Concluída com atraso"),IF($J502="","Na carteira",IF($J502&lt;TODAY(),"VENCIDA",IF($J502=TODAY(),"Hoje","Programada"))))))</f>
        <v/>
      </c>
    </row>
    <row r="503" customFormat="false" ht="15.75" hidden="false" customHeight="true" outlineLevel="0" collapsed="false">
      <c r="A503" s="28" t="str">
        <f aca="false">IF($E503="","",COUNTA($E$4:$E503))</f>
        <v/>
      </c>
      <c r="B503" s="34"/>
      <c r="C503" s="34"/>
      <c r="D503" s="34"/>
      <c r="E503" s="34"/>
      <c r="F503" s="35"/>
      <c r="G503" s="34"/>
      <c r="H503" s="35"/>
      <c r="I503" s="34"/>
      <c r="J503" s="36"/>
      <c r="K503" s="36"/>
      <c r="L503" s="35"/>
      <c r="M503" s="34"/>
      <c r="N503" s="35"/>
      <c r="O503" s="36"/>
      <c r="P503" s="32" t="str">
        <f aca="false">IF($J503="","",$J503-WEEKDAY($J503,3))</f>
        <v/>
      </c>
      <c r="Q503" s="32" t="str">
        <f aca="false">IF($J503="","",IF($K503="",$J503,$K503))</f>
        <v/>
      </c>
      <c r="R503" s="28" t="str">
        <f aca="false">IF($E503="","",IF(OR($N503&lt;&gt;"Concluída",$O503="",$J503=""),0,IF($O503&lt;=$J503,1,0)))</f>
        <v/>
      </c>
      <c r="S503" s="28" t="str">
        <f aca="false">IF($E503="","",IF(OR($N503&lt;&gt;"Concluída",$O503="",$Q503=""),0,IF($O503&lt;=$Q503,1,0)))</f>
        <v/>
      </c>
      <c r="T503" s="28" t="str">
        <f aca="false">IF(OR($J503="",$N503&lt;&gt;"Concluída",$O503=""),"",MAX(0,$O503-$J503))</f>
        <v/>
      </c>
      <c r="U503" s="33" t="str">
        <f aca="true">IF($E503="","",IF($N503="Cancelada","Cancelada",IF($N503="Concluída",IF($R503=1,"No prazo","Concluída com atraso"),IF($J503="","Na carteira",IF($J503&lt;TODAY(),"VENCIDA",IF($J503=TODAY(),"Hoje","Programada"))))))</f>
        <v/>
      </c>
    </row>
    <row r="504" customFormat="false" ht="15.75" hidden="false" customHeight="true" outlineLevel="0" collapsed="false">
      <c r="A504" s="28" t="str">
        <f aca="false">IF($E504="","",COUNTA($E$4:$E504))</f>
        <v/>
      </c>
      <c r="B504" s="29"/>
      <c r="C504" s="29"/>
      <c r="D504" s="29"/>
      <c r="E504" s="29"/>
      <c r="F504" s="30"/>
      <c r="G504" s="29"/>
      <c r="H504" s="30"/>
      <c r="I504" s="29"/>
      <c r="J504" s="31"/>
      <c r="K504" s="31"/>
      <c r="L504" s="30"/>
      <c r="M504" s="29"/>
      <c r="N504" s="30"/>
      <c r="O504" s="31"/>
      <c r="P504" s="32" t="str">
        <f aca="false">IF($J504="","",$J504-WEEKDAY($J504,3))</f>
        <v/>
      </c>
      <c r="Q504" s="32" t="str">
        <f aca="false">IF($J504="","",IF($K504="",$J504,$K504))</f>
        <v/>
      </c>
      <c r="R504" s="28" t="str">
        <f aca="false">IF($E504="","",IF(OR($N504&lt;&gt;"Concluída",$O504="",$J504=""),0,IF($O504&lt;=$J504,1,0)))</f>
        <v/>
      </c>
      <c r="S504" s="28" t="str">
        <f aca="false">IF($E504="","",IF(OR($N504&lt;&gt;"Concluída",$O504="",$Q504=""),0,IF($O504&lt;=$Q504,1,0)))</f>
        <v/>
      </c>
      <c r="T504" s="28" t="str">
        <f aca="false">IF(OR($J504="",$N504&lt;&gt;"Concluída",$O504=""),"",MAX(0,$O504-$J504))</f>
        <v/>
      </c>
      <c r="U504" s="33" t="str">
        <f aca="true">IF($E504="","",IF($N504="Cancelada","Cancelada",IF($N504="Concluída",IF($R504=1,"No prazo","Concluída com atraso"),IF($J504="","Na carteira",IF($J504&lt;TODAY(),"VENCIDA",IF($J504=TODAY(),"Hoje","Programada"))))))</f>
        <v/>
      </c>
    </row>
    <row r="505" customFormat="false" ht="15.75" hidden="false" customHeight="true" outlineLevel="0" collapsed="false">
      <c r="A505" s="28" t="str">
        <f aca="false">IF($E505="","",COUNTA($E$4:$E505))</f>
        <v/>
      </c>
      <c r="B505" s="34"/>
      <c r="C505" s="34"/>
      <c r="D505" s="34"/>
      <c r="E505" s="34"/>
      <c r="F505" s="35"/>
      <c r="G505" s="34"/>
      <c r="H505" s="35"/>
      <c r="I505" s="34"/>
      <c r="J505" s="36"/>
      <c r="K505" s="36"/>
      <c r="L505" s="35"/>
      <c r="M505" s="34"/>
      <c r="N505" s="35"/>
      <c r="O505" s="36"/>
      <c r="P505" s="32" t="str">
        <f aca="false">IF($J505="","",$J505-WEEKDAY($J505,3))</f>
        <v/>
      </c>
      <c r="Q505" s="32" t="str">
        <f aca="false">IF($J505="","",IF($K505="",$J505,$K505))</f>
        <v/>
      </c>
      <c r="R505" s="28" t="str">
        <f aca="false">IF($E505="","",IF(OR($N505&lt;&gt;"Concluída",$O505="",$J505=""),0,IF($O505&lt;=$J505,1,0)))</f>
        <v/>
      </c>
      <c r="S505" s="28" t="str">
        <f aca="false">IF($E505="","",IF(OR($N505&lt;&gt;"Concluída",$O505="",$Q505=""),0,IF($O505&lt;=$Q505,1,0)))</f>
        <v/>
      </c>
      <c r="T505" s="28" t="str">
        <f aca="false">IF(OR($J505="",$N505&lt;&gt;"Concluída",$O505=""),"",MAX(0,$O505-$J505))</f>
        <v/>
      </c>
      <c r="U505" s="33" t="str">
        <f aca="true">IF($E505="","",IF($N505="Cancelada","Cancelada",IF($N505="Concluída",IF($R505=1,"No prazo","Concluída com atraso"),IF($J505="","Na carteira",IF($J505&lt;TODAY(),"VENCIDA",IF($J505=TODAY(),"Hoje","Programada"))))))</f>
        <v/>
      </c>
    </row>
    <row r="506" customFormat="false" ht="15.75" hidden="false" customHeight="true" outlineLevel="0" collapsed="false">
      <c r="A506" s="28" t="str">
        <f aca="false">IF($E506="","",COUNTA($E$4:$E506))</f>
        <v/>
      </c>
      <c r="B506" s="29"/>
      <c r="C506" s="29"/>
      <c r="D506" s="29"/>
      <c r="E506" s="29"/>
      <c r="F506" s="30"/>
      <c r="G506" s="29"/>
      <c r="H506" s="30"/>
      <c r="I506" s="29"/>
      <c r="J506" s="31"/>
      <c r="K506" s="31"/>
      <c r="L506" s="30"/>
      <c r="M506" s="29"/>
      <c r="N506" s="30"/>
      <c r="O506" s="31"/>
      <c r="P506" s="32" t="str">
        <f aca="false">IF($J506="","",$J506-WEEKDAY($J506,3))</f>
        <v/>
      </c>
      <c r="Q506" s="32" t="str">
        <f aca="false">IF($J506="","",IF($K506="",$J506,$K506))</f>
        <v/>
      </c>
      <c r="R506" s="28" t="str">
        <f aca="false">IF($E506="","",IF(OR($N506&lt;&gt;"Concluída",$O506="",$J506=""),0,IF($O506&lt;=$J506,1,0)))</f>
        <v/>
      </c>
      <c r="S506" s="28" t="str">
        <f aca="false">IF($E506="","",IF(OR($N506&lt;&gt;"Concluída",$O506="",$Q506=""),0,IF($O506&lt;=$Q506,1,0)))</f>
        <v/>
      </c>
      <c r="T506" s="28" t="str">
        <f aca="false">IF(OR($J506="",$N506&lt;&gt;"Concluída",$O506=""),"",MAX(0,$O506-$J506))</f>
        <v/>
      </c>
      <c r="U506" s="33" t="str">
        <f aca="true">IF($E506="","",IF($N506="Cancelada","Cancelada",IF($N506="Concluída",IF($R506=1,"No prazo","Concluída com atraso"),IF($J506="","Na carteira",IF($J506&lt;TODAY(),"VENCIDA",IF($J506=TODAY(),"Hoje","Programada"))))))</f>
        <v/>
      </c>
    </row>
    <row r="507" customFormat="false" ht="15.75" hidden="false" customHeight="true" outlineLevel="0" collapsed="false">
      <c r="A507" s="28" t="str">
        <f aca="false">IF($E507="","",COUNTA($E$4:$E507))</f>
        <v/>
      </c>
      <c r="B507" s="34"/>
      <c r="C507" s="34"/>
      <c r="D507" s="34"/>
      <c r="E507" s="34"/>
      <c r="F507" s="35"/>
      <c r="G507" s="34"/>
      <c r="H507" s="35"/>
      <c r="I507" s="34"/>
      <c r="J507" s="36"/>
      <c r="K507" s="36"/>
      <c r="L507" s="35"/>
      <c r="M507" s="34"/>
      <c r="N507" s="35"/>
      <c r="O507" s="36"/>
      <c r="P507" s="32" t="str">
        <f aca="false">IF($J507="","",$J507-WEEKDAY($J507,3))</f>
        <v/>
      </c>
      <c r="Q507" s="32" t="str">
        <f aca="false">IF($J507="","",IF($K507="",$J507,$K507))</f>
        <v/>
      </c>
      <c r="R507" s="28" t="str">
        <f aca="false">IF($E507="","",IF(OR($N507&lt;&gt;"Concluída",$O507="",$J507=""),0,IF($O507&lt;=$J507,1,0)))</f>
        <v/>
      </c>
      <c r="S507" s="28" t="str">
        <f aca="false">IF($E507="","",IF(OR($N507&lt;&gt;"Concluída",$O507="",$Q507=""),0,IF($O507&lt;=$Q507,1,0)))</f>
        <v/>
      </c>
      <c r="T507" s="28" t="str">
        <f aca="false">IF(OR($J507="",$N507&lt;&gt;"Concluída",$O507=""),"",MAX(0,$O507-$J507))</f>
        <v/>
      </c>
      <c r="U507" s="33" t="str">
        <f aca="true">IF($E507="","",IF($N507="Cancelada","Cancelada",IF($N507="Concluída",IF($R507=1,"No prazo","Concluída com atraso"),IF($J507="","Na carteira",IF($J507&lt;TODAY(),"VENCIDA",IF($J507=TODAY(),"Hoje","Programada"))))))</f>
        <v/>
      </c>
    </row>
    <row r="508" customFormat="false" ht="15.75" hidden="false" customHeight="true" outlineLevel="0" collapsed="false">
      <c r="A508" s="28" t="str">
        <f aca="false">IF($E508="","",COUNTA($E$4:$E508))</f>
        <v/>
      </c>
      <c r="B508" s="29"/>
      <c r="C508" s="29"/>
      <c r="D508" s="29"/>
      <c r="E508" s="29"/>
      <c r="F508" s="30"/>
      <c r="G508" s="29"/>
      <c r="H508" s="30"/>
      <c r="I508" s="29"/>
      <c r="J508" s="31"/>
      <c r="K508" s="31"/>
      <c r="L508" s="30"/>
      <c r="M508" s="29"/>
      <c r="N508" s="30"/>
      <c r="O508" s="31"/>
      <c r="P508" s="32" t="str">
        <f aca="false">IF($J508="","",$J508-WEEKDAY($J508,3))</f>
        <v/>
      </c>
      <c r="Q508" s="32" t="str">
        <f aca="false">IF($J508="","",IF($K508="",$J508,$K508))</f>
        <v/>
      </c>
      <c r="R508" s="28" t="str">
        <f aca="false">IF($E508="","",IF(OR($N508&lt;&gt;"Concluída",$O508="",$J508=""),0,IF($O508&lt;=$J508,1,0)))</f>
        <v/>
      </c>
      <c r="S508" s="28" t="str">
        <f aca="false">IF($E508="","",IF(OR($N508&lt;&gt;"Concluída",$O508="",$Q508=""),0,IF($O508&lt;=$Q508,1,0)))</f>
        <v/>
      </c>
      <c r="T508" s="28" t="str">
        <f aca="false">IF(OR($J508="",$N508&lt;&gt;"Concluída",$O508=""),"",MAX(0,$O508-$J508))</f>
        <v/>
      </c>
      <c r="U508" s="33" t="str">
        <f aca="true">IF($E508="","",IF($N508="Cancelada","Cancelada",IF($N508="Concluída",IF($R508=1,"No prazo","Concluída com atraso"),IF($J508="","Na carteira",IF($J508&lt;TODAY(),"VENCIDA",IF($J508=TODAY(),"Hoje","Programada"))))))</f>
        <v/>
      </c>
    </row>
    <row r="509" customFormat="false" ht="15.75" hidden="false" customHeight="true" outlineLevel="0" collapsed="false">
      <c r="A509" s="28" t="str">
        <f aca="false">IF($E509="","",COUNTA($E$4:$E509))</f>
        <v/>
      </c>
      <c r="B509" s="34"/>
      <c r="C509" s="34"/>
      <c r="D509" s="34"/>
      <c r="E509" s="34"/>
      <c r="F509" s="35"/>
      <c r="G509" s="34"/>
      <c r="H509" s="35"/>
      <c r="I509" s="34"/>
      <c r="J509" s="36"/>
      <c r="K509" s="36"/>
      <c r="L509" s="35"/>
      <c r="M509" s="34"/>
      <c r="N509" s="35"/>
      <c r="O509" s="36"/>
      <c r="P509" s="32" t="str">
        <f aca="false">IF($J509="","",$J509-WEEKDAY($J509,3))</f>
        <v/>
      </c>
      <c r="Q509" s="32" t="str">
        <f aca="false">IF($J509="","",IF($K509="",$J509,$K509))</f>
        <v/>
      </c>
      <c r="R509" s="28" t="str">
        <f aca="false">IF($E509="","",IF(OR($N509&lt;&gt;"Concluída",$O509="",$J509=""),0,IF($O509&lt;=$J509,1,0)))</f>
        <v/>
      </c>
      <c r="S509" s="28" t="str">
        <f aca="false">IF($E509="","",IF(OR($N509&lt;&gt;"Concluída",$O509="",$Q509=""),0,IF($O509&lt;=$Q509,1,0)))</f>
        <v/>
      </c>
      <c r="T509" s="28" t="str">
        <f aca="false">IF(OR($J509="",$N509&lt;&gt;"Concluída",$O509=""),"",MAX(0,$O509-$J509))</f>
        <v/>
      </c>
      <c r="U509" s="33" t="str">
        <f aca="true">IF($E509="","",IF($N509="Cancelada","Cancelada",IF($N509="Concluída",IF($R509=1,"No prazo","Concluída com atraso"),IF($J509="","Na carteira",IF($J509&lt;TODAY(),"VENCIDA",IF($J509=TODAY(),"Hoje","Programada"))))))</f>
        <v/>
      </c>
    </row>
    <row r="510" customFormat="false" ht="15.75" hidden="false" customHeight="true" outlineLevel="0" collapsed="false">
      <c r="A510" s="28" t="str">
        <f aca="false">IF($E510="","",COUNTA($E$4:$E510))</f>
        <v/>
      </c>
      <c r="B510" s="29"/>
      <c r="C510" s="29"/>
      <c r="D510" s="29"/>
      <c r="E510" s="29"/>
      <c r="F510" s="30"/>
      <c r="G510" s="29"/>
      <c r="H510" s="30"/>
      <c r="I510" s="29"/>
      <c r="J510" s="31"/>
      <c r="K510" s="31"/>
      <c r="L510" s="30"/>
      <c r="M510" s="29"/>
      <c r="N510" s="30"/>
      <c r="O510" s="31"/>
      <c r="P510" s="32" t="str">
        <f aca="false">IF($J510="","",$J510-WEEKDAY($J510,3))</f>
        <v/>
      </c>
      <c r="Q510" s="32" t="str">
        <f aca="false">IF($J510="","",IF($K510="",$J510,$K510))</f>
        <v/>
      </c>
      <c r="R510" s="28" t="str">
        <f aca="false">IF($E510="","",IF(OR($N510&lt;&gt;"Concluída",$O510="",$J510=""),0,IF($O510&lt;=$J510,1,0)))</f>
        <v/>
      </c>
      <c r="S510" s="28" t="str">
        <f aca="false">IF($E510="","",IF(OR($N510&lt;&gt;"Concluída",$O510="",$Q510=""),0,IF($O510&lt;=$Q510,1,0)))</f>
        <v/>
      </c>
      <c r="T510" s="28" t="str">
        <f aca="false">IF(OR($J510="",$N510&lt;&gt;"Concluída",$O510=""),"",MAX(0,$O510-$J510))</f>
        <v/>
      </c>
      <c r="U510" s="33" t="str">
        <f aca="true">IF($E510="","",IF($N510="Cancelada","Cancelada",IF($N510="Concluída",IF($R510=1,"No prazo","Concluída com atraso"),IF($J510="","Na carteira",IF($J510&lt;TODAY(),"VENCIDA",IF($J510=TODAY(),"Hoje","Programada"))))))</f>
        <v/>
      </c>
    </row>
    <row r="511" customFormat="false" ht="15.75" hidden="false" customHeight="true" outlineLevel="0" collapsed="false">
      <c r="A511" s="28" t="str">
        <f aca="false">IF($E511="","",COUNTA($E$4:$E511))</f>
        <v/>
      </c>
      <c r="B511" s="34"/>
      <c r="C511" s="34"/>
      <c r="D511" s="34"/>
      <c r="E511" s="34"/>
      <c r="F511" s="35"/>
      <c r="G511" s="34"/>
      <c r="H511" s="35"/>
      <c r="I511" s="34"/>
      <c r="J511" s="36"/>
      <c r="K511" s="36"/>
      <c r="L511" s="35"/>
      <c r="M511" s="34"/>
      <c r="N511" s="35"/>
      <c r="O511" s="36"/>
      <c r="P511" s="32" t="str">
        <f aca="false">IF($J511="","",$J511-WEEKDAY($J511,3))</f>
        <v/>
      </c>
      <c r="Q511" s="32" t="str">
        <f aca="false">IF($J511="","",IF($K511="",$J511,$K511))</f>
        <v/>
      </c>
      <c r="R511" s="28" t="str">
        <f aca="false">IF($E511="","",IF(OR($N511&lt;&gt;"Concluída",$O511="",$J511=""),0,IF($O511&lt;=$J511,1,0)))</f>
        <v/>
      </c>
      <c r="S511" s="28" t="str">
        <f aca="false">IF($E511="","",IF(OR($N511&lt;&gt;"Concluída",$O511="",$Q511=""),0,IF($O511&lt;=$Q511,1,0)))</f>
        <v/>
      </c>
      <c r="T511" s="28" t="str">
        <f aca="false">IF(OR($J511="",$N511&lt;&gt;"Concluída",$O511=""),"",MAX(0,$O511-$J511))</f>
        <v/>
      </c>
      <c r="U511" s="33" t="str">
        <f aca="true">IF($E511="","",IF($N511="Cancelada","Cancelada",IF($N511="Concluída",IF($R511=1,"No prazo","Concluída com atraso"),IF($J511="","Na carteira",IF($J511&lt;TODAY(),"VENCIDA",IF($J511=TODAY(),"Hoje","Programada"))))))</f>
        <v/>
      </c>
    </row>
    <row r="512" customFormat="false" ht="15.75" hidden="false" customHeight="true" outlineLevel="0" collapsed="false">
      <c r="A512" s="28" t="str">
        <f aca="false">IF($E512="","",COUNTA($E$4:$E512))</f>
        <v/>
      </c>
      <c r="B512" s="29"/>
      <c r="C512" s="29"/>
      <c r="D512" s="29"/>
      <c r="E512" s="29"/>
      <c r="F512" s="30"/>
      <c r="G512" s="29"/>
      <c r="H512" s="30"/>
      <c r="I512" s="29"/>
      <c r="J512" s="31"/>
      <c r="K512" s="31"/>
      <c r="L512" s="30"/>
      <c r="M512" s="29"/>
      <c r="N512" s="30"/>
      <c r="O512" s="31"/>
      <c r="P512" s="32" t="str">
        <f aca="false">IF($J512="","",$J512-WEEKDAY($J512,3))</f>
        <v/>
      </c>
      <c r="Q512" s="32" t="str">
        <f aca="false">IF($J512="","",IF($K512="",$J512,$K512))</f>
        <v/>
      </c>
      <c r="R512" s="28" t="str">
        <f aca="false">IF($E512="","",IF(OR($N512&lt;&gt;"Concluída",$O512="",$J512=""),0,IF($O512&lt;=$J512,1,0)))</f>
        <v/>
      </c>
      <c r="S512" s="28" t="str">
        <f aca="false">IF($E512="","",IF(OR($N512&lt;&gt;"Concluída",$O512="",$Q512=""),0,IF($O512&lt;=$Q512,1,0)))</f>
        <v/>
      </c>
      <c r="T512" s="28" t="str">
        <f aca="false">IF(OR($J512="",$N512&lt;&gt;"Concluída",$O512=""),"",MAX(0,$O512-$J512))</f>
        <v/>
      </c>
      <c r="U512" s="33" t="str">
        <f aca="true">IF($E512="","",IF($N512="Cancelada","Cancelada",IF($N512="Concluída",IF($R512=1,"No prazo","Concluída com atraso"),IF($J512="","Na carteira",IF($J512&lt;TODAY(),"VENCIDA",IF($J512=TODAY(),"Hoje","Programada"))))))</f>
        <v/>
      </c>
    </row>
    <row r="513" customFormat="false" ht="15.75" hidden="false" customHeight="true" outlineLevel="0" collapsed="false">
      <c r="A513" s="28" t="str">
        <f aca="false">IF($E513="","",COUNTA($E$4:$E513))</f>
        <v/>
      </c>
      <c r="B513" s="34"/>
      <c r="C513" s="34"/>
      <c r="D513" s="34"/>
      <c r="E513" s="34"/>
      <c r="F513" s="35"/>
      <c r="G513" s="34"/>
      <c r="H513" s="35"/>
      <c r="I513" s="34"/>
      <c r="J513" s="36"/>
      <c r="K513" s="36"/>
      <c r="L513" s="35"/>
      <c r="M513" s="34"/>
      <c r="N513" s="35"/>
      <c r="O513" s="36"/>
      <c r="P513" s="32" t="str">
        <f aca="false">IF($J513="","",$J513-WEEKDAY($J513,3))</f>
        <v/>
      </c>
      <c r="Q513" s="32" t="str">
        <f aca="false">IF($J513="","",IF($K513="",$J513,$K513))</f>
        <v/>
      </c>
      <c r="R513" s="28" t="str">
        <f aca="false">IF($E513="","",IF(OR($N513&lt;&gt;"Concluída",$O513="",$J513=""),0,IF($O513&lt;=$J513,1,0)))</f>
        <v/>
      </c>
      <c r="S513" s="28" t="str">
        <f aca="false">IF($E513="","",IF(OR($N513&lt;&gt;"Concluída",$O513="",$Q513=""),0,IF($O513&lt;=$Q513,1,0)))</f>
        <v/>
      </c>
      <c r="T513" s="28" t="str">
        <f aca="false">IF(OR($J513="",$N513&lt;&gt;"Concluída",$O513=""),"",MAX(0,$O513-$J513))</f>
        <v/>
      </c>
      <c r="U513" s="33" t="str">
        <f aca="true">IF($E513="","",IF($N513="Cancelada","Cancelada",IF($N513="Concluída",IF($R513=1,"No prazo","Concluída com atraso"),IF($J513="","Na carteira",IF($J513&lt;TODAY(),"VENCIDA",IF($J513=TODAY(),"Hoje","Programada"))))))</f>
        <v/>
      </c>
    </row>
    <row r="514" customFormat="false" ht="15.75" hidden="false" customHeight="true" outlineLevel="0" collapsed="false">
      <c r="A514" s="28" t="str">
        <f aca="false">IF($E514="","",COUNTA($E$4:$E514))</f>
        <v/>
      </c>
      <c r="B514" s="29"/>
      <c r="C514" s="29"/>
      <c r="D514" s="29"/>
      <c r="E514" s="29"/>
      <c r="F514" s="30"/>
      <c r="G514" s="29"/>
      <c r="H514" s="30"/>
      <c r="I514" s="29"/>
      <c r="J514" s="31"/>
      <c r="K514" s="31"/>
      <c r="L514" s="30"/>
      <c r="M514" s="29"/>
      <c r="N514" s="30"/>
      <c r="O514" s="31"/>
      <c r="P514" s="32" t="str">
        <f aca="false">IF($J514="","",$J514-WEEKDAY($J514,3))</f>
        <v/>
      </c>
      <c r="Q514" s="32" t="str">
        <f aca="false">IF($J514="","",IF($K514="",$J514,$K514))</f>
        <v/>
      </c>
      <c r="R514" s="28" t="str">
        <f aca="false">IF($E514="","",IF(OR($N514&lt;&gt;"Concluída",$O514="",$J514=""),0,IF($O514&lt;=$J514,1,0)))</f>
        <v/>
      </c>
      <c r="S514" s="28" t="str">
        <f aca="false">IF($E514="","",IF(OR($N514&lt;&gt;"Concluída",$O514="",$Q514=""),0,IF($O514&lt;=$Q514,1,0)))</f>
        <v/>
      </c>
      <c r="T514" s="28" t="str">
        <f aca="false">IF(OR($J514="",$N514&lt;&gt;"Concluída",$O514=""),"",MAX(0,$O514-$J514))</f>
        <v/>
      </c>
      <c r="U514" s="33" t="str">
        <f aca="true">IF($E514="","",IF($N514="Cancelada","Cancelada",IF($N514="Concluída",IF($R514=1,"No prazo","Concluída com atraso"),IF($J514="","Na carteira",IF($J514&lt;TODAY(),"VENCIDA",IF($J514=TODAY(),"Hoje","Programada"))))))</f>
        <v/>
      </c>
    </row>
    <row r="515" customFormat="false" ht="15.75" hidden="false" customHeight="true" outlineLevel="0" collapsed="false">
      <c r="A515" s="28" t="str">
        <f aca="false">IF($E515="","",COUNTA($E$4:$E515))</f>
        <v/>
      </c>
      <c r="B515" s="34"/>
      <c r="C515" s="34"/>
      <c r="D515" s="34"/>
      <c r="E515" s="34"/>
      <c r="F515" s="35"/>
      <c r="G515" s="34"/>
      <c r="H515" s="35"/>
      <c r="I515" s="34"/>
      <c r="J515" s="36"/>
      <c r="K515" s="36"/>
      <c r="L515" s="35"/>
      <c r="M515" s="34"/>
      <c r="N515" s="35"/>
      <c r="O515" s="36"/>
      <c r="P515" s="32" t="str">
        <f aca="false">IF($J515="","",$J515-WEEKDAY($J515,3))</f>
        <v/>
      </c>
      <c r="Q515" s="32" t="str">
        <f aca="false">IF($J515="","",IF($K515="",$J515,$K515))</f>
        <v/>
      </c>
      <c r="R515" s="28" t="str">
        <f aca="false">IF($E515="","",IF(OR($N515&lt;&gt;"Concluída",$O515="",$J515=""),0,IF($O515&lt;=$J515,1,0)))</f>
        <v/>
      </c>
      <c r="S515" s="28" t="str">
        <f aca="false">IF($E515="","",IF(OR($N515&lt;&gt;"Concluída",$O515="",$Q515=""),0,IF($O515&lt;=$Q515,1,0)))</f>
        <v/>
      </c>
      <c r="T515" s="28" t="str">
        <f aca="false">IF(OR($J515="",$N515&lt;&gt;"Concluída",$O515=""),"",MAX(0,$O515-$J515))</f>
        <v/>
      </c>
      <c r="U515" s="33" t="str">
        <f aca="true">IF($E515="","",IF($N515="Cancelada","Cancelada",IF($N515="Concluída",IF($R515=1,"No prazo","Concluída com atraso"),IF($J515="","Na carteira",IF($J515&lt;TODAY(),"VENCIDA",IF($J515=TODAY(),"Hoje","Programada"))))))</f>
        <v/>
      </c>
    </row>
    <row r="516" customFormat="false" ht="15.75" hidden="false" customHeight="true" outlineLevel="0" collapsed="false">
      <c r="A516" s="28" t="str">
        <f aca="false">IF($E516="","",COUNTA($E$4:$E516))</f>
        <v/>
      </c>
      <c r="B516" s="29"/>
      <c r="C516" s="29"/>
      <c r="D516" s="29"/>
      <c r="E516" s="29"/>
      <c r="F516" s="30"/>
      <c r="G516" s="29"/>
      <c r="H516" s="30"/>
      <c r="I516" s="29"/>
      <c r="J516" s="31"/>
      <c r="K516" s="31"/>
      <c r="L516" s="30"/>
      <c r="M516" s="29"/>
      <c r="N516" s="30"/>
      <c r="O516" s="31"/>
      <c r="P516" s="32" t="str">
        <f aca="false">IF($J516="","",$J516-WEEKDAY($J516,3))</f>
        <v/>
      </c>
      <c r="Q516" s="32" t="str">
        <f aca="false">IF($J516="","",IF($K516="",$J516,$K516))</f>
        <v/>
      </c>
      <c r="R516" s="28" t="str">
        <f aca="false">IF($E516="","",IF(OR($N516&lt;&gt;"Concluída",$O516="",$J516=""),0,IF($O516&lt;=$J516,1,0)))</f>
        <v/>
      </c>
      <c r="S516" s="28" t="str">
        <f aca="false">IF($E516="","",IF(OR($N516&lt;&gt;"Concluída",$O516="",$Q516=""),0,IF($O516&lt;=$Q516,1,0)))</f>
        <v/>
      </c>
      <c r="T516" s="28" t="str">
        <f aca="false">IF(OR($J516="",$N516&lt;&gt;"Concluída",$O516=""),"",MAX(0,$O516-$J516))</f>
        <v/>
      </c>
      <c r="U516" s="33" t="str">
        <f aca="true">IF($E516="","",IF($N516="Cancelada","Cancelada",IF($N516="Concluída",IF($R516=1,"No prazo","Concluída com atraso"),IF($J516="","Na carteira",IF($J516&lt;TODAY(),"VENCIDA",IF($J516=TODAY(),"Hoje","Programada"))))))</f>
        <v/>
      </c>
    </row>
    <row r="517" customFormat="false" ht="15.75" hidden="false" customHeight="true" outlineLevel="0" collapsed="false">
      <c r="A517" s="28" t="str">
        <f aca="false">IF($E517="","",COUNTA($E$4:$E517))</f>
        <v/>
      </c>
      <c r="B517" s="34"/>
      <c r="C517" s="34"/>
      <c r="D517" s="34"/>
      <c r="E517" s="34"/>
      <c r="F517" s="35"/>
      <c r="G517" s="34"/>
      <c r="H517" s="35"/>
      <c r="I517" s="34"/>
      <c r="J517" s="36"/>
      <c r="K517" s="36"/>
      <c r="L517" s="35"/>
      <c r="M517" s="34"/>
      <c r="N517" s="35"/>
      <c r="O517" s="36"/>
      <c r="P517" s="32" t="str">
        <f aca="false">IF($J517="","",$J517-WEEKDAY($J517,3))</f>
        <v/>
      </c>
      <c r="Q517" s="32" t="str">
        <f aca="false">IF($J517="","",IF($K517="",$J517,$K517))</f>
        <v/>
      </c>
      <c r="R517" s="28" t="str">
        <f aca="false">IF($E517="","",IF(OR($N517&lt;&gt;"Concluída",$O517="",$J517=""),0,IF($O517&lt;=$J517,1,0)))</f>
        <v/>
      </c>
      <c r="S517" s="28" t="str">
        <f aca="false">IF($E517="","",IF(OR($N517&lt;&gt;"Concluída",$O517="",$Q517=""),0,IF($O517&lt;=$Q517,1,0)))</f>
        <v/>
      </c>
      <c r="T517" s="28" t="str">
        <f aca="false">IF(OR($J517="",$N517&lt;&gt;"Concluída",$O517=""),"",MAX(0,$O517-$J517))</f>
        <v/>
      </c>
      <c r="U517" s="33" t="str">
        <f aca="true">IF($E517="","",IF($N517="Cancelada","Cancelada",IF($N517="Concluída",IF($R517=1,"No prazo","Concluída com atraso"),IF($J517="","Na carteira",IF($J517&lt;TODAY(),"VENCIDA",IF($J517=TODAY(),"Hoje","Programada"))))))</f>
        <v/>
      </c>
    </row>
    <row r="518" customFormat="false" ht="15.75" hidden="false" customHeight="true" outlineLevel="0" collapsed="false">
      <c r="A518" s="28" t="str">
        <f aca="false">IF($E518="","",COUNTA($E$4:$E518))</f>
        <v/>
      </c>
      <c r="B518" s="29"/>
      <c r="C518" s="29"/>
      <c r="D518" s="29"/>
      <c r="E518" s="29"/>
      <c r="F518" s="30"/>
      <c r="G518" s="29"/>
      <c r="H518" s="30"/>
      <c r="I518" s="29"/>
      <c r="J518" s="31"/>
      <c r="K518" s="31"/>
      <c r="L518" s="30"/>
      <c r="M518" s="29"/>
      <c r="N518" s="30"/>
      <c r="O518" s="31"/>
      <c r="P518" s="32" t="str">
        <f aca="false">IF($J518="","",$J518-WEEKDAY($J518,3))</f>
        <v/>
      </c>
      <c r="Q518" s="32" t="str">
        <f aca="false">IF($J518="","",IF($K518="",$J518,$K518))</f>
        <v/>
      </c>
      <c r="R518" s="28" t="str">
        <f aca="false">IF($E518="","",IF(OR($N518&lt;&gt;"Concluída",$O518="",$J518=""),0,IF($O518&lt;=$J518,1,0)))</f>
        <v/>
      </c>
      <c r="S518" s="28" t="str">
        <f aca="false">IF($E518="","",IF(OR($N518&lt;&gt;"Concluída",$O518="",$Q518=""),0,IF($O518&lt;=$Q518,1,0)))</f>
        <v/>
      </c>
      <c r="T518" s="28" t="str">
        <f aca="false">IF(OR($J518="",$N518&lt;&gt;"Concluída",$O518=""),"",MAX(0,$O518-$J518))</f>
        <v/>
      </c>
      <c r="U518" s="33" t="str">
        <f aca="true">IF($E518="","",IF($N518="Cancelada","Cancelada",IF($N518="Concluída",IF($R518=1,"No prazo","Concluída com atraso"),IF($J518="","Na carteira",IF($J518&lt;TODAY(),"VENCIDA",IF($J518=TODAY(),"Hoje","Programada"))))))</f>
        <v/>
      </c>
    </row>
    <row r="519" customFormat="false" ht="15.75" hidden="false" customHeight="true" outlineLevel="0" collapsed="false">
      <c r="A519" s="28" t="str">
        <f aca="false">IF($E519="","",COUNTA($E$4:$E519))</f>
        <v/>
      </c>
      <c r="B519" s="34"/>
      <c r="C519" s="34"/>
      <c r="D519" s="34"/>
      <c r="E519" s="34"/>
      <c r="F519" s="35"/>
      <c r="G519" s="34"/>
      <c r="H519" s="35"/>
      <c r="I519" s="34"/>
      <c r="J519" s="36"/>
      <c r="K519" s="36"/>
      <c r="L519" s="35"/>
      <c r="M519" s="34"/>
      <c r="N519" s="35"/>
      <c r="O519" s="36"/>
      <c r="P519" s="32" t="str">
        <f aca="false">IF($J519="","",$J519-WEEKDAY($J519,3))</f>
        <v/>
      </c>
      <c r="Q519" s="32" t="str">
        <f aca="false">IF($J519="","",IF($K519="",$J519,$K519))</f>
        <v/>
      </c>
      <c r="R519" s="28" t="str">
        <f aca="false">IF($E519="","",IF(OR($N519&lt;&gt;"Concluída",$O519="",$J519=""),0,IF($O519&lt;=$J519,1,0)))</f>
        <v/>
      </c>
      <c r="S519" s="28" t="str">
        <f aca="false">IF($E519="","",IF(OR($N519&lt;&gt;"Concluída",$O519="",$Q519=""),0,IF($O519&lt;=$Q519,1,0)))</f>
        <v/>
      </c>
      <c r="T519" s="28" t="str">
        <f aca="false">IF(OR($J519="",$N519&lt;&gt;"Concluída",$O519=""),"",MAX(0,$O519-$J519))</f>
        <v/>
      </c>
      <c r="U519" s="33" t="str">
        <f aca="true">IF($E519="","",IF($N519="Cancelada","Cancelada",IF($N519="Concluída",IF($R519=1,"No prazo","Concluída com atraso"),IF($J519="","Na carteira",IF($J519&lt;TODAY(),"VENCIDA",IF($J519=TODAY(),"Hoje","Programada"))))))</f>
        <v/>
      </c>
    </row>
    <row r="520" customFormat="false" ht="15.75" hidden="false" customHeight="true" outlineLevel="0" collapsed="false">
      <c r="A520" s="28" t="str">
        <f aca="false">IF($E520="","",COUNTA($E$4:$E520))</f>
        <v/>
      </c>
      <c r="B520" s="29"/>
      <c r="C520" s="29"/>
      <c r="D520" s="29"/>
      <c r="E520" s="29"/>
      <c r="F520" s="30"/>
      <c r="G520" s="29"/>
      <c r="H520" s="30"/>
      <c r="I520" s="29"/>
      <c r="J520" s="31"/>
      <c r="K520" s="31"/>
      <c r="L520" s="30"/>
      <c r="M520" s="29"/>
      <c r="N520" s="30"/>
      <c r="O520" s="31"/>
      <c r="P520" s="32" t="str">
        <f aca="false">IF($J520="","",$J520-WEEKDAY($J520,3))</f>
        <v/>
      </c>
      <c r="Q520" s="32" t="str">
        <f aca="false">IF($J520="","",IF($K520="",$J520,$K520))</f>
        <v/>
      </c>
      <c r="R520" s="28" t="str">
        <f aca="false">IF($E520="","",IF(OR($N520&lt;&gt;"Concluída",$O520="",$J520=""),0,IF($O520&lt;=$J520,1,0)))</f>
        <v/>
      </c>
      <c r="S520" s="28" t="str">
        <f aca="false">IF($E520="","",IF(OR($N520&lt;&gt;"Concluída",$O520="",$Q520=""),0,IF($O520&lt;=$Q520,1,0)))</f>
        <v/>
      </c>
      <c r="T520" s="28" t="str">
        <f aca="false">IF(OR($J520="",$N520&lt;&gt;"Concluída",$O520=""),"",MAX(0,$O520-$J520))</f>
        <v/>
      </c>
      <c r="U520" s="33" t="str">
        <f aca="true">IF($E520="","",IF($N520="Cancelada","Cancelada",IF($N520="Concluída",IF($R520=1,"No prazo","Concluída com atraso"),IF($J520="","Na carteira",IF($J520&lt;TODAY(),"VENCIDA",IF($J520=TODAY(),"Hoje","Programada"))))))</f>
        <v/>
      </c>
    </row>
    <row r="521" customFormat="false" ht="15.75" hidden="false" customHeight="true" outlineLevel="0" collapsed="false">
      <c r="A521" s="28" t="str">
        <f aca="false">IF($E521="","",COUNTA($E$4:$E521))</f>
        <v/>
      </c>
      <c r="B521" s="34"/>
      <c r="C521" s="34"/>
      <c r="D521" s="34"/>
      <c r="E521" s="34"/>
      <c r="F521" s="35"/>
      <c r="G521" s="34"/>
      <c r="H521" s="35"/>
      <c r="I521" s="34"/>
      <c r="J521" s="36"/>
      <c r="K521" s="36"/>
      <c r="L521" s="35"/>
      <c r="M521" s="34"/>
      <c r="N521" s="35"/>
      <c r="O521" s="36"/>
      <c r="P521" s="32" t="str">
        <f aca="false">IF($J521="","",$J521-WEEKDAY($J521,3))</f>
        <v/>
      </c>
      <c r="Q521" s="32" t="str">
        <f aca="false">IF($J521="","",IF($K521="",$J521,$K521))</f>
        <v/>
      </c>
      <c r="R521" s="28" t="str">
        <f aca="false">IF($E521="","",IF(OR($N521&lt;&gt;"Concluída",$O521="",$J521=""),0,IF($O521&lt;=$J521,1,0)))</f>
        <v/>
      </c>
      <c r="S521" s="28" t="str">
        <f aca="false">IF($E521="","",IF(OR($N521&lt;&gt;"Concluída",$O521="",$Q521=""),0,IF($O521&lt;=$Q521,1,0)))</f>
        <v/>
      </c>
      <c r="T521" s="28" t="str">
        <f aca="false">IF(OR($J521="",$N521&lt;&gt;"Concluída",$O521=""),"",MAX(0,$O521-$J521))</f>
        <v/>
      </c>
      <c r="U521" s="33" t="str">
        <f aca="true">IF($E521="","",IF($N521="Cancelada","Cancelada",IF($N521="Concluída",IF($R521=1,"No prazo","Concluída com atraso"),IF($J521="","Na carteira",IF($J521&lt;TODAY(),"VENCIDA",IF($J521=TODAY(),"Hoje","Programada"))))))</f>
        <v/>
      </c>
    </row>
    <row r="522" customFormat="false" ht="15.75" hidden="false" customHeight="true" outlineLevel="0" collapsed="false">
      <c r="A522" s="28" t="str">
        <f aca="false">IF($E522="","",COUNTA($E$4:$E522))</f>
        <v/>
      </c>
      <c r="B522" s="29"/>
      <c r="C522" s="29"/>
      <c r="D522" s="29"/>
      <c r="E522" s="29"/>
      <c r="F522" s="30"/>
      <c r="G522" s="29"/>
      <c r="H522" s="30"/>
      <c r="I522" s="29"/>
      <c r="J522" s="31"/>
      <c r="K522" s="31"/>
      <c r="L522" s="30"/>
      <c r="M522" s="29"/>
      <c r="N522" s="30"/>
      <c r="O522" s="31"/>
      <c r="P522" s="32" t="str">
        <f aca="false">IF($J522="","",$J522-WEEKDAY($J522,3))</f>
        <v/>
      </c>
      <c r="Q522" s="32" t="str">
        <f aca="false">IF($J522="","",IF($K522="",$J522,$K522))</f>
        <v/>
      </c>
      <c r="R522" s="28" t="str">
        <f aca="false">IF($E522="","",IF(OR($N522&lt;&gt;"Concluída",$O522="",$J522=""),0,IF($O522&lt;=$J522,1,0)))</f>
        <v/>
      </c>
      <c r="S522" s="28" t="str">
        <f aca="false">IF($E522="","",IF(OR($N522&lt;&gt;"Concluída",$O522="",$Q522=""),0,IF($O522&lt;=$Q522,1,0)))</f>
        <v/>
      </c>
      <c r="T522" s="28" t="str">
        <f aca="false">IF(OR($J522="",$N522&lt;&gt;"Concluída",$O522=""),"",MAX(0,$O522-$J522))</f>
        <v/>
      </c>
      <c r="U522" s="33" t="str">
        <f aca="true">IF($E522="","",IF($N522="Cancelada","Cancelada",IF($N522="Concluída",IF($R522=1,"No prazo","Concluída com atraso"),IF($J522="","Na carteira",IF($J522&lt;TODAY(),"VENCIDA",IF($J522=TODAY(),"Hoje","Programada"))))))</f>
        <v/>
      </c>
    </row>
    <row r="523" customFormat="false" ht="15.75" hidden="false" customHeight="true" outlineLevel="0" collapsed="false">
      <c r="A523" s="28" t="str">
        <f aca="false">IF($E523="","",COUNTA($E$4:$E523))</f>
        <v/>
      </c>
      <c r="B523" s="34"/>
      <c r="C523" s="34"/>
      <c r="D523" s="34"/>
      <c r="E523" s="34"/>
      <c r="F523" s="35"/>
      <c r="G523" s="34"/>
      <c r="H523" s="35"/>
      <c r="I523" s="34"/>
      <c r="J523" s="36"/>
      <c r="K523" s="36"/>
      <c r="L523" s="35"/>
      <c r="M523" s="34"/>
      <c r="N523" s="35"/>
      <c r="O523" s="36"/>
      <c r="P523" s="32" t="str">
        <f aca="false">IF($J523="","",$J523-WEEKDAY($J523,3))</f>
        <v/>
      </c>
      <c r="Q523" s="32" t="str">
        <f aca="false">IF($J523="","",IF($K523="",$J523,$K523))</f>
        <v/>
      </c>
      <c r="R523" s="28" t="str">
        <f aca="false">IF($E523="","",IF(OR($N523&lt;&gt;"Concluída",$O523="",$J523=""),0,IF($O523&lt;=$J523,1,0)))</f>
        <v/>
      </c>
      <c r="S523" s="28" t="str">
        <f aca="false">IF($E523="","",IF(OR($N523&lt;&gt;"Concluída",$O523="",$Q523=""),0,IF($O523&lt;=$Q523,1,0)))</f>
        <v/>
      </c>
      <c r="T523" s="28" t="str">
        <f aca="false">IF(OR($J523="",$N523&lt;&gt;"Concluída",$O523=""),"",MAX(0,$O523-$J523))</f>
        <v/>
      </c>
      <c r="U523" s="33" t="str">
        <f aca="true">IF($E523="","",IF($N523="Cancelada","Cancelada",IF($N523="Concluída",IF($R523=1,"No prazo","Concluída com atraso"),IF($J523="","Na carteira",IF($J523&lt;TODAY(),"VENCIDA",IF($J523=TODAY(),"Hoje","Programada"))))))</f>
        <v/>
      </c>
    </row>
    <row r="524" customFormat="false" ht="15.75" hidden="false" customHeight="true" outlineLevel="0" collapsed="false">
      <c r="A524" s="28" t="str">
        <f aca="false">IF($E524="","",COUNTA($E$4:$E524))</f>
        <v/>
      </c>
      <c r="B524" s="29"/>
      <c r="C524" s="29"/>
      <c r="D524" s="29"/>
      <c r="E524" s="29"/>
      <c r="F524" s="30"/>
      <c r="G524" s="29"/>
      <c r="H524" s="30"/>
      <c r="I524" s="29"/>
      <c r="J524" s="31"/>
      <c r="K524" s="31"/>
      <c r="L524" s="30"/>
      <c r="M524" s="29"/>
      <c r="N524" s="30"/>
      <c r="O524" s="31"/>
      <c r="P524" s="32" t="str">
        <f aca="false">IF($J524="","",$J524-WEEKDAY($J524,3))</f>
        <v/>
      </c>
      <c r="Q524" s="32" t="str">
        <f aca="false">IF($J524="","",IF($K524="",$J524,$K524))</f>
        <v/>
      </c>
      <c r="R524" s="28" t="str">
        <f aca="false">IF($E524="","",IF(OR($N524&lt;&gt;"Concluída",$O524="",$J524=""),0,IF($O524&lt;=$J524,1,0)))</f>
        <v/>
      </c>
      <c r="S524" s="28" t="str">
        <f aca="false">IF($E524="","",IF(OR($N524&lt;&gt;"Concluída",$O524="",$Q524=""),0,IF($O524&lt;=$Q524,1,0)))</f>
        <v/>
      </c>
      <c r="T524" s="28" t="str">
        <f aca="false">IF(OR($J524="",$N524&lt;&gt;"Concluída",$O524=""),"",MAX(0,$O524-$J524))</f>
        <v/>
      </c>
      <c r="U524" s="33" t="str">
        <f aca="true">IF($E524="","",IF($N524="Cancelada","Cancelada",IF($N524="Concluída",IF($R524=1,"No prazo","Concluída com atraso"),IF($J524="","Na carteira",IF($J524&lt;TODAY(),"VENCIDA",IF($J524=TODAY(),"Hoje","Programada"))))))</f>
        <v/>
      </c>
    </row>
    <row r="525" customFormat="false" ht="15.75" hidden="false" customHeight="true" outlineLevel="0" collapsed="false">
      <c r="A525" s="28" t="str">
        <f aca="false">IF($E525="","",COUNTA($E$4:$E525))</f>
        <v/>
      </c>
      <c r="B525" s="34"/>
      <c r="C525" s="34"/>
      <c r="D525" s="34"/>
      <c r="E525" s="34"/>
      <c r="F525" s="35"/>
      <c r="G525" s="34"/>
      <c r="H525" s="35"/>
      <c r="I525" s="34"/>
      <c r="J525" s="36"/>
      <c r="K525" s="36"/>
      <c r="L525" s="35"/>
      <c r="M525" s="34"/>
      <c r="N525" s="35"/>
      <c r="O525" s="36"/>
      <c r="P525" s="32" t="str">
        <f aca="false">IF($J525="","",$J525-WEEKDAY($J525,3))</f>
        <v/>
      </c>
      <c r="Q525" s="32" t="str">
        <f aca="false">IF($J525="","",IF($K525="",$J525,$K525))</f>
        <v/>
      </c>
      <c r="R525" s="28" t="str">
        <f aca="false">IF($E525="","",IF(OR($N525&lt;&gt;"Concluída",$O525="",$J525=""),0,IF($O525&lt;=$J525,1,0)))</f>
        <v/>
      </c>
      <c r="S525" s="28" t="str">
        <f aca="false">IF($E525="","",IF(OR($N525&lt;&gt;"Concluída",$O525="",$Q525=""),0,IF($O525&lt;=$Q525,1,0)))</f>
        <v/>
      </c>
      <c r="T525" s="28" t="str">
        <f aca="false">IF(OR($J525="",$N525&lt;&gt;"Concluída",$O525=""),"",MAX(0,$O525-$J525))</f>
        <v/>
      </c>
      <c r="U525" s="33" t="str">
        <f aca="true">IF($E525="","",IF($N525="Cancelada","Cancelada",IF($N525="Concluída",IF($R525=1,"No prazo","Concluída com atraso"),IF($J525="","Na carteira",IF($J525&lt;TODAY(),"VENCIDA",IF($J525=TODAY(),"Hoje","Programada"))))))</f>
        <v/>
      </c>
    </row>
    <row r="526" customFormat="false" ht="15.75" hidden="false" customHeight="true" outlineLevel="0" collapsed="false">
      <c r="A526" s="28" t="str">
        <f aca="false">IF($E526="","",COUNTA($E$4:$E526))</f>
        <v/>
      </c>
      <c r="B526" s="29"/>
      <c r="C526" s="29"/>
      <c r="D526" s="29"/>
      <c r="E526" s="29"/>
      <c r="F526" s="30"/>
      <c r="G526" s="29"/>
      <c r="H526" s="30"/>
      <c r="I526" s="29"/>
      <c r="J526" s="31"/>
      <c r="K526" s="31"/>
      <c r="L526" s="30"/>
      <c r="M526" s="29"/>
      <c r="N526" s="30"/>
      <c r="O526" s="31"/>
      <c r="P526" s="32" t="str">
        <f aca="false">IF($J526="","",$J526-WEEKDAY($J526,3))</f>
        <v/>
      </c>
      <c r="Q526" s="32" t="str">
        <f aca="false">IF($J526="","",IF($K526="",$J526,$K526))</f>
        <v/>
      </c>
      <c r="R526" s="28" t="str">
        <f aca="false">IF($E526="","",IF(OR($N526&lt;&gt;"Concluída",$O526="",$J526=""),0,IF($O526&lt;=$J526,1,0)))</f>
        <v/>
      </c>
      <c r="S526" s="28" t="str">
        <f aca="false">IF($E526="","",IF(OR($N526&lt;&gt;"Concluída",$O526="",$Q526=""),0,IF($O526&lt;=$Q526,1,0)))</f>
        <v/>
      </c>
      <c r="T526" s="28" t="str">
        <f aca="false">IF(OR($J526="",$N526&lt;&gt;"Concluída",$O526=""),"",MAX(0,$O526-$J526))</f>
        <v/>
      </c>
      <c r="U526" s="33" t="str">
        <f aca="true">IF($E526="","",IF($N526="Cancelada","Cancelada",IF($N526="Concluída",IF($R526=1,"No prazo","Concluída com atraso"),IF($J526="","Na carteira",IF($J526&lt;TODAY(),"VENCIDA",IF($J526=TODAY(),"Hoje","Programada"))))))</f>
        <v/>
      </c>
    </row>
    <row r="527" customFormat="false" ht="15.75" hidden="false" customHeight="true" outlineLevel="0" collapsed="false">
      <c r="A527" s="28" t="str">
        <f aca="false">IF($E527="","",COUNTA($E$4:$E527))</f>
        <v/>
      </c>
      <c r="B527" s="34"/>
      <c r="C527" s="34"/>
      <c r="D527" s="34"/>
      <c r="E527" s="34"/>
      <c r="F527" s="35"/>
      <c r="G527" s="34"/>
      <c r="H527" s="35"/>
      <c r="I527" s="34"/>
      <c r="J527" s="36"/>
      <c r="K527" s="36"/>
      <c r="L527" s="35"/>
      <c r="M527" s="34"/>
      <c r="N527" s="35"/>
      <c r="O527" s="36"/>
      <c r="P527" s="32" t="str">
        <f aca="false">IF($J527="","",$J527-WEEKDAY($J527,3))</f>
        <v/>
      </c>
      <c r="Q527" s="32" t="str">
        <f aca="false">IF($J527="","",IF($K527="",$J527,$K527))</f>
        <v/>
      </c>
      <c r="R527" s="28" t="str">
        <f aca="false">IF($E527="","",IF(OR($N527&lt;&gt;"Concluída",$O527="",$J527=""),0,IF($O527&lt;=$J527,1,0)))</f>
        <v/>
      </c>
      <c r="S527" s="28" t="str">
        <f aca="false">IF($E527="","",IF(OR($N527&lt;&gt;"Concluída",$O527="",$Q527=""),0,IF($O527&lt;=$Q527,1,0)))</f>
        <v/>
      </c>
      <c r="T527" s="28" t="str">
        <f aca="false">IF(OR($J527="",$N527&lt;&gt;"Concluída",$O527=""),"",MAX(0,$O527-$J527))</f>
        <v/>
      </c>
      <c r="U527" s="33" t="str">
        <f aca="true">IF($E527="","",IF($N527="Cancelada","Cancelada",IF($N527="Concluída",IF($R527=1,"No prazo","Concluída com atraso"),IF($J527="","Na carteira",IF($J527&lt;TODAY(),"VENCIDA",IF($J527=TODAY(),"Hoje","Programada"))))))</f>
        <v/>
      </c>
    </row>
    <row r="528" customFormat="false" ht="15.75" hidden="false" customHeight="true" outlineLevel="0" collapsed="false">
      <c r="A528" s="28" t="str">
        <f aca="false">IF($E528="","",COUNTA($E$4:$E528))</f>
        <v/>
      </c>
      <c r="B528" s="29"/>
      <c r="C528" s="29"/>
      <c r="D528" s="29"/>
      <c r="E528" s="29"/>
      <c r="F528" s="30"/>
      <c r="G528" s="29"/>
      <c r="H528" s="30"/>
      <c r="I528" s="29"/>
      <c r="J528" s="31"/>
      <c r="K528" s="31"/>
      <c r="L528" s="30"/>
      <c r="M528" s="29"/>
      <c r="N528" s="30"/>
      <c r="O528" s="31"/>
      <c r="P528" s="32" t="str">
        <f aca="false">IF($J528="","",$J528-WEEKDAY($J528,3))</f>
        <v/>
      </c>
      <c r="Q528" s="32" t="str">
        <f aca="false">IF($J528="","",IF($K528="",$J528,$K528))</f>
        <v/>
      </c>
      <c r="R528" s="28" t="str">
        <f aca="false">IF($E528="","",IF(OR($N528&lt;&gt;"Concluída",$O528="",$J528=""),0,IF($O528&lt;=$J528,1,0)))</f>
        <v/>
      </c>
      <c r="S528" s="28" t="str">
        <f aca="false">IF($E528="","",IF(OR($N528&lt;&gt;"Concluída",$O528="",$Q528=""),0,IF($O528&lt;=$Q528,1,0)))</f>
        <v/>
      </c>
      <c r="T528" s="28" t="str">
        <f aca="false">IF(OR($J528="",$N528&lt;&gt;"Concluída",$O528=""),"",MAX(0,$O528-$J528))</f>
        <v/>
      </c>
      <c r="U528" s="33" t="str">
        <f aca="true">IF($E528="","",IF($N528="Cancelada","Cancelada",IF($N528="Concluída",IF($R528=1,"No prazo","Concluída com atraso"),IF($J528="","Na carteira",IF($J528&lt;TODAY(),"VENCIDA",IF($J528=TODAY(),"Hoje","Programada"))))))</f>
        <v/>
      </c>
    </row>
    <row r="529" customFormat="false" ht="15.75" hidden="false" customHeight="true" outlineLevel="0" collapsed="false">
      <c r="A529" s="28" t="str">
        <f aca="false">IF($E529="","",COUNTA($E$4:$E529))</f>
        <v/>
      </c>
      <c r="B529" s="34"/>
      <c r="C529" s="34"/>
      <c r="D529" s="34"/>
      <c r="E529" s="34"/>
      <c r="F529" s="35"/>
      <c r="G529" s="34"/>
      <c r="H529" s="35"/>
      <c r="I529" s="34"/>
      <c r="J529" s="36"/>
      <c r="K529" s="36"/>
      <c r="L529" s="35"/>
      <c r="M529" s="34"/>
      <c r="N529" s="35"/>
      <c r="O529" s="36"/>
      <c r="P529" s="32" t="str">
        <f aca="false">IF($J529="","",$J529-WEEKDAY($J529,3))</f>
        <v/>
      </c>
      <c r="Q529" s="32" t="str">
        <f aca="false">IF($J529="","",IF($K529="",$J529,$K529))</f>
        <v/>
      </c>
      <c r="R529" s="28" t="str">
        <f aca="false">IF($E529="","",IF(OR($N529&lt;&gt;"Concluída",$O529="",$J529=""),0,IF($O529&lt;=$J529,1,0)))</f>
        <v/>
      </c>
      <c r="S529" s="28" t="str">
        <f aca="false">IF($E529="","",IF(OR($N529&lt;&gt;"Concluída",$O529="",$Q529=""),0,IF($O529&lt;=$Q529,1,0)))</f>
        <v/>
      </c>
      <c r="T529" s="28" t="str">
        <f aca="false">IF(OR($J529="",$N529&lt;&gt;"Concluída",$O529=""),"",MAX(0,$O529-$J529))</f>
        <v/>
      </c>
      <c r="U529" s="33" t="str">
        <f aca="true">IF($E529="","",IF($N529="Cancelada","Cancelada",IF($N529="Concluída",IF($R529=1,"No prazo","Concluída com atraso"),IF($J529="","Na carteira",IF($J529&lt;TODAY(),"VENCIDA",IF($J529=TODAY(),"Hoje","Programada"))))))</f>
        <v/>
      </c>
    </row>
    <row r="530" customFormat="false" ht="15.75" hidden="false" customHeight="true" outlineLevel="0" collapsed="false">
      <c r="A530" s="28" t="str">
        <f aca="false">IF($E530="","",COUNTA($E$4:$E530))</f>
        <v/>
      </c>
      <c r="B530" s="29"/>
      <c r="C530" s="29"/>
      <c r="D530" s="29"/>
      <c r="E530" s="29"/>
      <c r="F530" s="30"/>
      <c r="G530" s="29"/>
      <c r="H530" s="30"/>
      <c r="I530" s="29"/>
      <c r="J530" s="31"/>
      <c r="K530" s="31"/>
      <c r="L530" s="30"/>
      <c r="M530" s="29"/>
      <c r="N530" s="30"/>
      <c r="O530" s="31"/>
      <c r="P530" s="32" t="str">
        <f aca="false">IF($J530="","",$J530-WEEKDAY($J530,3))</f>
        <v/>
      </c>
      <c r="Q530" s="32" t="str">
        <f aca="false">IF($J530="","",IF($K530="",$J530,$K530))</f>
        <v/>
      </c>
      <c r="R530" s="28" t="str">
        <f aca="false">IF($E530="","",IF(OR($N530&lt;&gt;"Concluída",$O530="",$J530=""),0,IF($O530&lt;=$J530,1,0)))</f>
        <v/>
      </c>
      <c r="S530" s="28" t="str">
        <f aca="false">IF($E530="","",IF(OR($N530&lt;&gt;"Concluída",$O530="",$Q530=""),0,IF($O530&lt;=$Q530,1,0)))</f>
        <v/>
      </c>
      <c r="T530" s="28" t="str">
        <f aca="false">IF(OR($J530="",$N530&lt;&gt;"Concluída",$O530=""),"",MAX(0,$O530-$J530))</f>
        <v/>
      </c>
      <c r="U530" s="33" t="str">
        <f aca="true">IF($E530="","",IF($N530="Cancelada","Cancelada",IF($N530="Concluída",IF($R530=1,"No prazo","Concluída com atraso"),IF($J530="","Na carteira",IF($J530&lt;TODAY(),"VENCIDA",IF($J530=TODAY(),"Hoje","Programada"))))))</f>
        <v/>
      </c>
    </row>
    <row r="531" customFormat="false" ht="15.75" hidden="false" customHeight="true" outlineLevel="0" collapsed="false">
      <c r="A531" s="28" t="str">
        <f aca="false">IF($E531="","",COUNTA($E$4:$E531))</f>
        <v/>
      </c>
      <c r="B531" s="34"/>
      <c r="C531" s="34"/>
      <c r="D531" s="34"/>
      <c r="E531" s="34"/>
      <c r="F531" s="35"/>
      <c r="G531" s="34"/>
      <c r="H531" s="35"/>
      <c r="I531" s="34"/>
      <c r="J531" s="36"/>
      <c r="K531" s="36"/>
      <c r="L531" s="35"/>
      <c r="M531" s="34"/>
      <c r="N531" s="35"/>
      <c r="O531" s="36"/>
      <c r="P531" s="32" t="str">
        <f aca="false">IF($J531="","",$J531-WEEKDAY($J531,3))</f>
        <v/>
      </c>
      <c r="Q531" s="32" t="str">
        <f aca="false">IF($J531="","",IF($K531="",$J531,$K531))</f>
        <v/>
      </c>
      <c r="R531" s="28" t="str">
        <f aca="false">IF($E531="","",IF(OR($N531&lt;&gt;"Concluída",$O531="",$J531=""),0,IF($O531&lt;=$J531,1,0)))</f>
        <v/>
      </c>
      <c r="S531" s="28" t="str">
        <f aca="false">IF($E531="","",IF(OR($N531&lt;&gt;"Concluída",$O531="",$Q531=""),0,IF($O531&lt;=$Q531,1,0)))</f>
        <v/>
      </c>
      <c r="T531" s="28" t="str">
        <f aca="false">IF(OR($J531="",$N531&lt;&gt;"Concluída",$O531=""),"",MAX(0,$O531-$J531))</f>
        <v/>
      </c>
      <c r="U531" s="33" t="str">
        <f aca="true">IF($E531="","",IF($N531="Cancelada","Cancelada",IF($N531="Concluída",IF($R531=1,"No prazo","Concluída com atraso"),IF($J531="","Na carteira",IF($J531&lt;TODAY(),"VENCIDA",IF($J531=TODAY(),"Hoje","Programada"))))))</f>
        <v/>
      </c>
    </row>
    <row r="532" customFormat="false" ht="15.75" hidden="false" customHeight="true" outlineLevel="0" collapsed="false">
      <c r="A532" s="28" t="str">
        <f aca="false">IF($E532="","",COUNTA($E$4:$E532))</f>
        <v/>
      </c>
      <c r="B532" s="29"/>
      <c r="C532" s="29"/>
      <c r="D532" s="29"/>
      <c r="E532" s="29"/>
      <c r="F532" s="30"/>
      <c r="G532" s="29"/>
      <c r="H532" s="30"/>
      <c r="I532" s="29"/>
      <c r="J532" s="31"/>
      <c r="K532" s="31"/>
      <c r="L532" s="30"/>
      <c r="M532" s="29"/>
      <c r="N532" s="30"/>
      <c r="O532" s="31"/>
      <c r="P532" s="32" t="str">
        <f aca="false">IF($J532="","",$J532-WEEKDAY($J532,3))</f>
        <v/>
      </c>
      <c r="Q532" s="32" t="str">
        <f aca="false">IF($J532="","",IF($K532="",$J532,$K532))</f>
        <v/>
      </c>
      <c r="R532" s="28" t="str">
        <f aca="false">IF($E532="","",IF(OR($N532&lt;&gt;"Concluída",$O532="",$J532=""),0,IF($O532&lt;=$J532,1,0)))</f>
        <v/>
      </c>
      <c r="S532" s="28" t="str">
        <f aca="false">IF($E532="","",IF(OR($N532&lt;&gt;"Concluída",$O532="",$Q532=""),0,IF($O532&lt;=$Q532,1,0)))</f>
        <v/>
      </c>
      <c r="T532" s="28" t="str">
        <f aca="false">IF(OR($J532="",$N532&lt;&gt;"Concluída",$O532=""),"",MAX(0,$O532-$J532))</f>
        <v/>
      </c>
      <c r="U532" s="33" t="str">
        <f aca="true">IF($E532="","",IF($N532="Cancelada","Cancelada",IF($N532="Concluída",IF($R532=1,"No prazo","Concluída com atraso"),IF($J532="","Na carteira",IF($J532&lt;TODAY(),"VENCIDA",IF($J532=TODAY(),"Hoje","Programada"))))))</f>
        <v/>
      </c>
    </row>
    <row r="533" customFormat="false" ht="15.75" hidden="false" customHeight="true" outlineLevel="0" collapsed="false">
      <c r="A533" s="28" t="str">
        <f aca="false">IF($E533="","",COUNTA($E$4:$E533))</f>
        <v/>
      </c>
      <c r="B533" s="34"/>
      <c r="C533" s="34"/>
      <c r="D533" s="34"/>
      <c r="E533" s="34"/>
      <c r="F533" s="35"/>
      <c r="G533" s="34"/>
      <c r="H533" s="35"/>
      <c r="I533" s="34"/>
      <c r="J533" s="36"/>
      <c r="K533" s="36"/>
      <c r="L533" s="35"/>
      <c r="M533" s="34"/>
      <c r="N533" s="35"/>
      <c r="O533" s="36"/>
      <c r="P533" s="32" t="str">
        <f aca="false">IF($J533="","",$J533-WEEKDAY($J533,3))</f>
        <v/>
      </c>
      <c r="Q533" s="32" t="str">
        <f aca="false">IF($J533="","",IF($K533="",$J533,$K533))</f>
        <v/>
      </c>
      <c r="R533" s="28" t="str">
        <f aca="false">IF($E533="","",IF(OR($N533&lt;&gt;"Concluída",$O533="",$J533=""),0,IF($O533&lt;=$J533,1,0)))</f>
        <v/>
      </c>
      <c r="S533" s="28" t="str">
        <f aca="false">IF($E533="","",IF(OR($N533&lt;&gt;"Concluída",$O533="",$Q533=""),0,IF($O533&lt;=$Q533,1,0)))</f>
        <v/>
      </c>
      <c r="T533" s="28" t="str">
        <f aca="false">IF(OR($J533="",$N533&lt;&gt;"Concluída",$O533=""),"",MAX(0,$O533-$J533))</f>
        <v/>
      </c>
      <c r="U533" s="33" t="str">
        <f aca="true">IF($E533="","",IF($N533="Cancelada","Cancelada",IF($N533="Concluída",IF($R533=1,"No prazo","Concluída com atraso"),IF($J533="","Na carteira",IF($J533&lt;TODAY(),"VENCIDA",IF($J533=TODAY(),"Hoje","Programada"))))))</f>
        <v/>
      </c>
    </row>
    <row r="534" customFormat="false" ht="15.75" hidden="false" customHeight="true" outlineLevel="0" collapsed="false">
      <c r="A534" s="28" t="str">
        <f aca="false">IF($E534="","",COUNTA($E$4:$E534))</f>
        <v/>
      </c>
      <c r="B534" s="29"/>
      <c r="C534" s="29"/>
      <c r="D534" s="29"/>
      <c r="E534" s="29"/>
      <c r="F534" s="30"/>
      <c r="G534" s="29"/>
      <c r="H534" s="30"/>
      <c r="I534" s="29"/>
      <c r="J534" s="31"/>
      <c r="K534" s="31"/>
      <c r="L534" s="30"/>
      <c r="M534" s="29"/>
      <c r="N534" s="30"/>
      <c r="O534" s="31"/>
      <c r="P534" s="32" t="str">
        <f aca="false">IF($J534="","",$J534-WEEKDAY($J534,3))</f>
        <v/>
      </c>
      <c r="Q534" s="32" t="str">
        <f aca="false">IF($J534="","",IF($K534="",$J534,$K534))</f>
        <v/>
      </c>
      <c r="R534" s="28" t="str">
        <f aca="false">IF($E534="","",IF(OR($N534&lt;&gt;"Concluída",$O534="",$J534=""),0,IF($O534&lt;=$J534,1,0)))</f>
        <v/>
      </c>
      <c r="S534" s="28" t="str">
        <f aca="false">IF($E534="","",IF(OR($N534&lt;&gt;"Concluída",$O534="",$Q534=""),0,IF($O534&lt;=$Q534,1,0)))</f>
        <v/>
      </c>
      <c r="T534" s="28" t="str">
        <f aca="false">IF(OR($J534="",$N534&lt;&gt;"Concluída",$O534=""),"",MAX(0,$O534-$J534))</f>
        <v/>
      </c>
      <c r="U534" s="33" t="str">
        <f aca="true">IF($E534="","",IF($N534="Cancelada","Cancelada",IF($N534="Concluída",IF($R534=1,"No prazo","Concluída com atraso"),IF($J534="","Na carteira",IF($J534&lt;TODAY(),"VENCIDA",IF($J534=TODAY(),"Hoje","Programada"))))))</f>
        <v/>
      </c>
    </row>
    <row r="535" customFormat="false" ht="15.75" hidden="false" customHeight="true" outlineLevel="0" collapsed="false">
      <c r="A535" s="28" t="str">
        <f aca="false">IF($E535="","",COUNTA($E$4:$E535))</f>
        <v/>
      </c>
      <c r="B535" s="34"/>
      <c r="C535" s="34"/>
      <c r="D535" s="34"/>
      <c r="E535" s="34"/>
      <c r="F535" s="35"/>
      <c r="G535" s="34"/>
      <c r="H535" s="35"/>
      <c r="I535" s="34"/>
      <c r="J535" s="36"/>
      <c r="K535" s="36"/>
      <c r="L535" s="35"/>
      <c r="M535" s="34"/>
      <c r="N535" s="35"/>
      <c r="O535" s="36"/>
      <c r="P535" s="32" t="str">
        <f aca="false">IF($J535="","",$J535-WEEKDAY($J535,3))</f>
        <v/>
      </c>
      <c r="Q535" s="32" t="str">
        <f aca="false">IF($J535="","",IF($K535="",$J535,$K535))</f>
        <v/>
      </c>
      <c r="R535" s="28" t="str">
        <f aca="false">IF($E535="","",IF(OR($N535&lt;&gt;"Concluída",$O535="",$J535=""),0,IF($O535&lt;=$J535,1,0)))</f>
        <v/>
      </c>
      <c r="S535" s="28" t="str">
        <f aca="false">IF($E535="","",IF(OR($N535&lt;&gt;"Concluída",$O535="",$Q535=""),0,IF($O535&lt;=$Q535,1,0)))</f>
        <v/>
      </c>
      <c r="T535" s="28" t="str">
        <f aca="false">IF(OR($J535="",$N535&lt;&gt;"Concluída",$O535=""),"",MAX(0,$O535-$J535))</f>
        <v/>
      </c>
      <c r="U535" s="33" t="str">
        <f aca="true">IF($E535="","",IF($N535="Cancelada","Cancelada",IF($N535="Concluída",IF($R535=1,"No prazo","Concluída com atraso"),IF($J535="","Na carteira",IF($J535&lt;TODAY(),"VENCIDA",IF($J535=TODAY(),"Hoje","Programada"))))))</f>
        <v/>
      </c>
    </row>
    <row r="536" customFormat="false" ht="15.75" hidden="false" customHeight="true" outlineLevel="0" collapsed="false">
      <c r="A536" s="28" t="str">
        <f aca="false">IF($E536="","",COUNTA($E$4:$E536))</f>
        <v/>
      </c>
      <c r="B536" s="29"/>
      <c r="C536" s="29"/>
      <c r="D536" s="29"/>
      <c r="E536" s="29"/>
      <c r="F536" s="30"/>
      <c r="G536" s="29"/>
      <c r="H536" s="30"/>
      <c r="I536" s="29"/>
      <c r="J536" s="31"/>
      <c r="K536" s="31"/>
      <c r="L536" s="30"/>
      <c r="M536" s="29"/>
      <c r="N536" s="30"/>
      <c r="O536" s="31"/>
      <c r="P536" s="32" t="str">
        <f aca="false">IF($J536="","",$J536-WEEKDAY($J536,3))</f>
        <v/>
      </c>
      <c r="Q536" s="32" t="str">
        <f aca="false">IF($J536="","",IF($K536="",$J536,$K536))</f>
        <v/>
      </c>
      <c r="R536" s="28" t="str">
        <f aca="false">IF($E536="","",IF(OR($N536&lt;&gt;"Concluída",$O536="",$J536=""),0,IF($O536&lt;=$J536,1,0)))</f>
        <v/>
      </c>
      <c r="S536" s="28" t="str">
        <f aca="false">IF($E536="","",IF(OR($N536&lt;&gt;"Concluída",$O536="",$Q536=""),0,IF($O536&lt;=$Q536,1,0)))</f>
        <v/>
      </c>
      <c r="T536" s="28" t="str">
        <f aca="false">IF(OR($J536="",$N536&lt;&gt;"Concluída",$O536=""),"",MAX(0,$O536-$J536))</f>
        <v/>
      </c>
      <c r="U536" s="33" t="str">
        <f aca="true">IF($E536="","",IF($N536="Cancelada","Cancelada",IF($N536="Concluída",IF($R536=1,"No prazo","Concluída com atraso"),IF($J536="","Na carteira",IF($J536&lt;TODAY(),"VENCIDA",IF($J536=TODAY(),"Hoje","Programada"))))))</f>
        <v/>
      </c>
    </row>
    <row r="537" customFormat="false" ht="15.75" hidden="false" customHeight="true" outlineLevel="0" collapsed="false">
      <c r="A537" s="28" t="str">
        <f aca="false">IF($E537="","",COUNTA($E$4:$E537))</f>
        <v/>
      </c>
      <c r="B537" s="34"/>
      <c r="C537" s="34"/>
      <c r="D537" s="34"/>
      <c r="E537" s="34"/>
      <c r="F537" s="35"/>
      <c r="G537" s="34"/>
      <c r="H537" s="35"/>
      <c r="I537" s="34"/>
      <c r="J537" s="36"/>
      <c r="K537" s="36"/>
      <c r="L537" s="35"/>
      <c r="M537" s="34"/>
      <c r="N537" s="35"/>
      <c r="O537" s="36"/>
      <c r="P537" s="32" t="str">
        <f aca="false">IF($J537="","",$J537-WEEKDAY($J537,3))</f>
        <v/>
      </c>
      <c r="Q537" s="32" t="str">
        <f aca="false">IF($J537="","",IF($K537="",$J537,$K537))</f>
        <v/>
      </c>
      <c r="R537" s="28" t="str">
        <f aca="false">IF($E537="","",IF(OR($N537&lt;&gt;"Concluída",$O537="",$J537=""),0,IF($O537&lt;=$J537,1,0)))</f>
        <v/>
      </c>
      <c r="S537" s="28" t="str">
        <f aca="false">IF($E537="","",IF(OR($N537&lt;&gt;"Concluída",$O537="",$Q537=""),0,IF($O537&lt;=$Q537,1,0)))</f>
        <v/>
      </c>
      <c r="T537" s="28" t="str">
        <f aca="false">IF(OR($J537="",$N537&lt;&gt;"Concluída",$O537=""),"",MAX(0,$O537-$J537))</f>
        <v/>
      </c>
      <c r="U537" s="33" t="str">
        <f aca="true">IF($E537="","",IF($N537="Cancelada","Cancelada",IF($N537="Concluída",IF($R537=1,"No prazo","Concluída com atraso"),IF($J537="","Na carteira",IF($J537&lt;TODAY(),"VENCIDA",IF($J537=TODAY(),"Hoje","Programada"))))))</f>
        <v/>
      </c>
    </row>
    <row r="538" customFormat="false" ht="15.75" hidden="false" customHeight="true" outlineLevel="0" collapsed="false">
      <c r="A538" s="28" t="str">
        <f aca="false">IF($E538="","",COUNTA($E$4:$E538))</f>
        <v/>
      </c>
      <c r="B538" s="29"/>
      <c r="C538" s="29"/>
      <c r="D538" s="29"/>
      <c r="E538" s="29"/>
      <c r="F538" s="30"/>
      <c r="G538" s="29"/>
      <c r="H538" s="30"/>
      <c r="I538" s="29"/>
      <c r="J538" s="31"/>
      <c r="K538" s="31"/>
      <c r="L538" s="30"/>
      <c r="M538" s="29"/>
      <c r="N538" s="30"/>
      <c r="O538" s="31"/>
      <c r="P538" s="32" t="str">
        <f aca="false">IF($J538="","",$J538-WEEKDAY($J538,3))</f>
        <v/>
      </c>
      <c r="Q538" s="32" t="str">
        <f aca="false">IF($J538="","",IF($K538="",$J538,$K538))</f>
        <v/>
      </c>
      <c r="R538" s="28" t="str">
        <f aca="false">IF($E538="","",IF(OR($N538&lt;&gt;"Concluída",$O538="",$J538=""),0,IF($O538&lt;=$J538,1,0)))</f>
        <v/>
      </c>
      <c r="S538" s="28" t="str">
        <f aca="false">IF($E538="","",IF(OR($N538&lt;&gt;"Concluída",$O538="",$Q538=""),0,IF($O538&lt;=$Q538,1,0)))</f>
        <v/>
      </c>
      <c r="T538" s="28" t="str">
        <f aca="false">IF(OR($J538="",$N538&lt;&gt;"Concluída",$O538=""),"",MAX(0,$O538-$J538))</f>
        <v/>
      </c>
      <c r="U538" s="33" t="str">
        <f aca="true">IF($E538="","",IF($N538="Cancelada","Cancelada",IF($N538="Concluída",IF($R538=1,"No prazo","Concluída com atraso"),IF($J538="","Na carteira",IF($J538&lt;TODAY(),"VENCIDA",IF($J538=TODAY(),"Hoje","Programada"))))))</f>
        <v/>
      </c>
    </row>
    <row r="539" customFormat="false" ht="15.75" hidden="false" customHeight="true" outlineLevel="0" collapsed="false">
      <c r="A539" s="28" t="str">
        <f aca="false">IF($E539="","",COUNTA($E$4:$E539))</f>
        <v/>
      </c>
      <c r="B539" s="34"/>
      <c r="C539" s="34"/>
      <c r="D539" s="34"/>
      <c r="E539" s="34"/>
      <c r="F539" s="35"/>
      <c r="G539" s="34"/>
      <c r="H539" s="35"/>
      <c r="I539" s="34"/>
      <c r="J539" s="36"/>
      <c r="K539" s="36"/>
      <c r="L539" s="35"/>
      <c r="M539" s="34"/>
      <c r="N539" s="35"/>
      <c r="O539" s="36"/>
      <c r="P539" s="32" t="str">
        <f aca="false">IF($J539="","",$J539-WEEKDAY($J539,3))</f>
        <v/>
      </c>
      <c r="Q539" s="32" t="str">
        <f aca="false">IF($J539="","",IF($K539="",$J539,$K539))</f>
        <v/>
      </c>
      <c r="R539" s="28" t="str">
        <f aca="false">IF($E539="","",IF(OR($N539&lt;&gt;"Concluída",$O539="",$J539=""),0,IF($O539&lt;=$J539,1,0)))</f>
        <v/>
      </c>
      <c r="S539" s="28" t="str">
        <f aca="false">IF($E539="","",IF(OR($N539&lt;&gt;"Concluída",$O539="",$Q539=""),0,IF($O539&lt;=$Q539,1,0)))</f>
        <v/>
      </c>
      <c r="T539" s="28" t="str">
        <f aca="false">IF(OR($J539="",$N539&lt;&gt;"Concluída",$O539=""),"",MAX(0,$O539-$J539))</f>
        <v/>
      </c>
      <c r="U539" s="33" t="str">
        <f aca="true">IF($E539="","",IF($N539="Cancelada","Cancelada",IF($N539="Concluída",IF($R539=1,"No prazo","Concluída com atraso"),IF($J539="","Na carteira",IF($J539&lt;TODAY(),"VENCIDA",IF($J539=TODAY(),"Hoje","Programada"))))))</f>
        <v/>
      </c>
    </row>
    <row r="540" customFormat="false" ht="15.75" hidden="false" customHeight="true" outlineLevel="0" collapsed="false">
      <c r="A540" s="28" t="str">
        <f aca="false">IF($E540="","",COUNTA($E$4:$E540))</f>
        <v/>
      </c>
      <c r="B540" s="29"/>
      <c r="C540" s="29"/>
      <c r="D540" s="29"/>
      <c r="E540" s="29"/>
      <c r="F540" s="30"/>
      <c r="G540" s="29"/>
      <c r="H540" s="30"/>
      <c r="I540" s="29"/>
      <c r="J540" s="31"/>
      <c r="K540" s="31"/>
      <c r="L540" s="30"/>
      <c r="M540" s="29"/>
      <c r="N540" s="30"/>
      <c r="O540" s="31"/>
      <c r="P540" s="32" t="str">
        <f aca="false">IF($J540="","",$J540-WEEKDAY($J540,3))</f>
        <v/>
      </c>
      <c r="Q540" s="32" t="str">
        <f aca="false">IF($J540="","",IF($K540="",$J540,$K540))</f>
        <v/>
      </c>
      <c r="R540" s="28" t="str">
        <f aca="false">IF($E540="","",IF(OR($N540&lt;&gt;"Concluída",$O540="",$J540=""),0,IF($O540&lt;=$J540,1,0)))</f>
        <v/>
      </c>
      <c r="S540" s="28" t="str">
        <f aca="false">IF($E540="","",IF(OR($N540&lt;&gt;"Concluída",$O540="",$Q540=""),0,IF($O540&lt;=$Q540,1,0)))</f>
        <v/>
      </c>
      <c r="T540" s="28" t="str">
        <f aca="false">IF(OR($J540="",$N540&lt;&gt;"Concluída",$O540=""),"",MAX(0,$O540-$J540))</f>
        <v/>
      </c>
      <c r="U540" s="33" t="str">
        <f aca="true">IF($E540="","",IF($N540="Cancelada","Cancelada",IF($N540="Concluída",IF($R540=1,"No prazo","Concluída com atraso"),IF($J540="","Na carteira",IF($J540&lt;TODAY(),"VENCIDA",IF($J540=TODAY(),"Hoje","Programada"))))))</f>
        <v/>
      </c>
    </row>
    <row r="541" customFormat="false" ht="15.75" hidden="false" customHeight="true" outlineLevel="0" collapsed="false">
      <c r="A541" s="28" t="str">
        <f aca="false">IF($E541="","",COUNTA($E$4:$E541))</f>
        <v/>
      </c>
      <c r="B541" s="34"/>
      <c r="C541" s="34"/>
      <c r="D541" s="34"/>
      <c r="E541" s="34"/>
      <c r="F541" s="35"/>
      <c r="G541" s="34"/>
      <c r="H541" s="35"/>
      <c r="I541" s="34"/>
      <c r="J541" s="36"/>
      <c r="K541" s="36"/>
      <c r="L541" s="35"/>
      <c r="M541" s="34"/>
      <c r="N541" s="35"/>
      <c r="O541" s="36"/>
      <c r="P541" s="32" t="str">
        <f aca="false">IF($J541="","",$J541-WEEKDAY($J541,3))</f>
        <v/>
      </c>
      <c r="Q541" s="32" t="str">
        <f aca="false">IF($J541="","",IF($K541="",$J541,$K541))</f>
        <v/>
      </c>
      <c r="R541" s="28" t="str">
        <f aca="false">IF($E541="","",IF(OR($N541&lt;&gt;"Concluída",$O541="",$J541=""),0,IF($O541&lt;=$J541,1,0)))</f>
        <v/>
      </c>
      <c r="S541" s="28" t="str">
        <f aca="false">IF($E541="","",IF(OR($N541&lt;&gt;"Concluída",$O541="",$Q541=""),0,IF($O541&lt;=$Q541,1,0)))</f>
        <v/>
      </c>
      <c r="T541" s="28" t="str">
        <f aca="false">IF(OR($J541="",$N541&lt;&gt;"Concluída",$O541=""),"",MAX(0,$O541-$J541))</f>
        <v/>
      </c>
      <c r="U541" s="33" t="str">
        <f aca="true">IF($E541="","",IF($N541="Cancelada","Cancelada",IF($N541="Concluída",IF($R541=1,"No prazo","Concluída com atraso"),IF($J541="","Na carteira",IF($J541&lt;TODAY(),"VENCIDA",IF($J541=TODAY(),"Hoje","Programada"))))))</f>
        <v/>
      </c>
    </row>
    <row r="542" customFormat="false" ht="15.75" hidden="false" customHeight="true" outlineLevel="0" collapsed="false">
      <c r="A542" s="28" t="str">
        <f aca="false">IF($E542="","",COUNTA($E$4:$E542))</f>
        <v/>
      </c>
      <c r="B542" s="29"/>
      <c r="C542" s="29"/>
      <c r="D542" s="29"/>
      <c r="E542" s="29"/>
      <c r="F542" s="30"/>
      <c r="G542" s="29"/>
      <c r="H542" s="30"/>
      <c r="I542" s="29"/>
      <c r="J542" s="31"/>
      <c r="K542" s="31"/>
      <c r="L542" s="30"/>
      <c r="M542" s="29"/>
      <c r="N542" s="30"/>
      <c r="O542" s="31"/>
      <c r="P542" s="32" t="str">
        <f aca="false">IF($J542="","",$J542-WEEKDAY($J542,3))</f>
        <v/>
      </c>
      <c r="Q542" s="32" t="str">
        <f aca="false">IF($J542="","",IF($K542="",$J542,$K542))</f>
        <v/>
      </c>
      <c r="R542" s="28" t="str">
        <f aca="false">IF($E542="","",IF(OR($N542&lt;&gt;"Concluída",$O542="",$J542=""),0,IF($O542&lt;=$J542,1,0)))</f>
        <v/>
      </c>
      <c r="S542" s="28" t="str">
        <f aca="false">IF($E542="","",IF(OR($N542&lt;&gt;"Concluída",$O542="",$Q542=""),0,IF($O542&lt;=$Q542,1,0)))</f>
        <v/>
      </c>
      <c r="T542" s="28" t="str">
        <f aca="false">IF(OR($J542="",$N542&lt;&gt;"Concluída",$O542=""),"",MAX(0,$O542-$J542))</f>
        <v/>
      </c>
      <c r="U542" s="33" t="str">
        <f aca="true">IF($E542="","",IF($N542="Cancelada","Cancelada",IF($N542="Concluída",IF($R542=1,"No prazo","Concluída com atraso"),IF($J542="","Na carteira",IF($J542&lt;TODAY(),"VENCIDA",IF($J542=TODAY(),"Hoje","Programada"))))))</f>
        <v/>
      </c>
    </row>
    <row r="543" customFormat="false" ht="15.75" hidden="false" customHeight="true" outlineLevel="0" collapsed="false">
      <c r="A543" s="28" t="str">
        <f aca="false">IF($E543="","",COUNTA($E$4:$E543))</f>
        <v/>
      </c>
      <c r="B543" s="34"/>
      <c r="C543" s="34"/>
      <c r="D543" s="34"/>
      <c r="E543" s="34"/>
      <c r="F543" s="35"/>
      <c r="G543" s="34"/>
      <c r="H543" s="35"/>
      <c r="I543" s="34"/>
      <c r="J543" s="36"/>
      <c r="K543" s="36"/>
      <c r="L543" s="35"/>
      <c r="M543" s="34"/>
      <c r="N543" s="35"/>
      <c r="O543" s="36"/>
      <c r="P543" s="32" t="str">
        <f aca="false">IF($J543="","",$J543-WEEKDAY($J543,3))</f>
        <v/>
      </c>
      <c r="Q543" s="32" t="str">
        <f aca="false">IF($J543="","",IF($K543="",$J543,$K543))</f>
        <v/>
      </c>
      <c r="R543" s="28" t="str">
        <f aca="false">IF($E543="","",IF(OR($N543&lt;&gt;"Concluída",$O543="",$J543=""),0,IF($O543&lt;=$J543,1,0)))</f>
        <v/>
      </c>
      <c r="S543" s="28" t="str">
        <f aca="false">IF($E543="","",IF(OR($N543&lt;&gt;"Concluída",$O543="",$Q543=""),0,IF($O543&lt;=$Q543,1,0)))</f>
        <v/>
      </c>
      <c r="T543" s="28" t="str">
        <f aca="false">IF(OR($J543="",$N543&lt;&gt;"Concluída",$O543=""),"",MAX(0,$O543-$J543))</f>
        <v/>
      </c>
      <c r="U543" s="33" t="str">
        <f aca="true">IF($E543="","",IF($N543="Cancelada","Cancelada",IF($N543="Concluída",IF($R543=1,"No prazo","Concluída com atraso"),IF($J543="","Na carteira",IF($J543&lt;TODAY(),"VENCIDA",IF($J543=TODAY(),"Hoje","Programada"))))))</f>
        <v/>
      </c>
    </row>
    <row r="544" customFormat="false" ht="15.75" hidden="false" customHeight="true" outlineLevel="0" collapsed="false">
      <c r="A544" s="28" t="str">
        <f aca="false">IF($E544="","",COUNTA($E$4:$E544))</f>
        <v/>
      </c>
      <c r="B544" s="29"/>
      <c r="C544" s="29"/>
      <c r="D544" s="29"/>
      <c r="E544" s="29"/>
      <c r="F544" s="30"/>
      <c r="G544" s="29"/>
      <c r="H544" s="30"/>
      <c r="I544" s="29"/>
      <c r="J544" s="31"/>
      <c r="K544" s="31"/>
      <c r="L544" s="30"/>
      <c r="M544" s="29"/>
      <c r="N544" s="30"/>
      <c r="O544" s="31"/>
      <c r="P544" s="32" t="str">
        <f aca="false">IF($J544="","",$J544-WEEKDAY($J544,3))</f>
        <v/>
      </c>
      <c r="Q544" s="32" t="str">
        <f aca="false">IF($J544="","",IF($K544="",$J544,$K544))</f>
        <v/>
      </c>
      <c r="R544" s="28" t="str">
        <f aca="false">IF($E544="","",IF(OR($N544&lt;&gt;"Concluída",$O544="",$J544=""),0,IF($O544&lt;=$J544,1,0)))</f>
        <v/>
      </c>
      <c r="S544" s="28" t="str">
        <f aca="false">IF($E544="","",IF(OR($N544&lt;&gt;"Concluída",$O544="",$Q544=""),0,IF($O544&lt;=$Q544,1,0)))</f>
        <v/>
      </c>
      <c r="T544" s="28" t="str">
        <f aca="false">IF(OR($J544="",$N544&lt;&gt;"Concluída",$O544=""),"",MAX(0,$O544-$J544))</f>
        <v/>
      </c>
      <c r="U544" s="33" t="str">
        <f aca="true">IF($E544="","",IF($N544="Cancelada","Cancelada",IF($N544="Concluída",IF($R544=1,"No prazo","Concluída com atraso"),IF($J544="","Na carteira",IF($J544&lt;TODAY(),"VENCIDA",IF($J544=TODAY(),"Hoje","Programada"))))))</f>
        <v/>
      </c>
    </row>
    <row r="545" customFormat="false" ht="15.75" hidden="false" customHeight="true" outlineLevel="0" collapsed="false">
      <c r="A545" s="28" t="str">
        <f aca="false">IF($E545="","",COUNTA($E$4:$E545))</f>
        <v/>
      </c>
      <c r="B545" s="34"/>
      <c r="C545" s="34"/>
      <c r="D545" s="34"/>
      <c r="E545" s="34"/>
      <c r="F545" s="35"/>
      <c r="G545" s="34"/>
      <c r="H545" s="35"/>
      <c r="I545" s="34"/>
      <c r="J545" s="36"/>
      <c r="K545" s="36"/>
      <c r="L545" s="35"/>
      <c r="M545" s="34"/>
      <c r="N545" s="35"/>
      <c r="O545" s="36"/>
      <c r="P545" s="32" t="str">
        <f aca="false">IF($J545="","",$J545-WEEKDAY($J545,3))</f>
        <v/>
      </c>
      <c r="Q545" s="32" t="str">
        <f aca="false">IF($J545="","",IF($K545="",$J545,$K545))</f>
        <v/>
      </c>
      <c r="R545" s="28" t="str">
        <f aca="false">IF($E545="","",IF(OR($N545&lt;&gt;"Concluída",$O545="",$J545=""),0,IF($O545&lt;=$J545,1,0)))</f>
        <v/>
      </c>
      <c r="S545" s="28" t="str">
        <f aca="false">IF($E545="","",IF(OR($N545&lt;&gt;"Concluída",$O545="",$Q545=""),0,IF($O545&lt;=$Q545,1,0)))</f>
        <v/>
      </c>
      <c r="T545" s="28" t="str">
        <f aca="false">IF(OR($J545="",$N545&lt;&gt;"Concluída",$O545=""),"",MAX(0,$O545-$J545))</f>
        <v/>
      </c>
      <c r="U545" s="33" t="str">
        <f aca="true">IF($E545="","",IF($N545="Cancelada","Cancelada",IF($N545="Concluída",IF($R545=1,"No prazo","Concluída com atraso"),IF($J545="","Na carteira",IF($J545&lt;TODAY(),"VENCIDA",IF($J545=TODAY(),"Hoje","Programada"))))))</f>
        <v/>
      </c>
    </row>
    <row r="546" customFormat="false" ht="15.75" hidden="false" customHeight="true" outlineLevel="0" collapsed="false">
      <c r="A546" s="28" t="str">
        <f aca="false">IF($E546="","",COUNTA($E$4:$E546))</f>
        <v/>
      </c>
      <c r="B546" s="29"/>
      <c r="C546" s="29"/>
      <c r="D546" s="29"/>
      <c r="E546" s="29"/>
      <c r="F546" s="30"/>
      <c r="G546" s="29"/>
      <c r="H546" s="30"/>
      <c r="I546" s="29"/>
      <c r="J546" s="31"/>
      <c r="K546" s="31"/>
      <c r="L546" s="30"/>
      <c r="M546" s="29"/>
      <c r="N546" s="30"/>
      <c r="O546" s="31"/>
      <c r="P546" s="32" t="str">
        <f aca="false">IF($J546="","",$J546-WEEKDAY($J546,3))</f>
        <v/>
      </c>
      <c r="Q546" s="32" t="str">
        <f aca="false">IF($J546="","",IF($K546="",$J546,$K546))</f>
        <v/>
      </c>
      <c r="R546" s="28" t="str">
        <f aca="false">IF($E546="","",IF(OR($N546&lt;&gt;"Concluída",$O546="",$J546=""),0,IF($O546&lt;=$J546,1,0)))</f>
        <v/>
      </c>
      <c r="S546" s="28" t="str">
        <f aca="false">IF($E546="","",IF(OR($N546&lt;&gt;"Concluída",$O546="",$Q546=""),0,IF($O546&lt;=$Q546,1,0)))</f>
        <v/>
      </c>
      <c r="T546" s="28" t="str">
        <f aca="false">IF(OR($J546="",$N546&lt;&gt;"Concluída",$O546=""),"",MAX(0,$O546-$J546))</f>
        <v/>
      </c>
      <c r="U546" s="33" t="str">
        <f aca="true">IF($E546="","",IF($N546="Cancelada","Cancelada",IF($N546="Concluída",IF($R546=1,"No prazo","Concluída com atraso"),IF($J546="","Na carteira",IF($J546&lt;TODAY(),"VENCIDA",IF($J546=TODAY(),"Hoje","Programada"))))))</f>
        <v/>
      </c>
    </row>
    <row r="547" customFormat="false" ht="15.75" hidden="false" customHeight="true" outlineLevel="0" collapsed="false">
      <c r="A547" s="28" t="str">
        <f aca="false">IF($E547="","",COUNTA($E$4:$E547))</f>
        <v/>
      </c>
      <c r="B547" s="34"/>
      <c r="C547" s="34"/>
      <c r="D547" s="34"/>
      <c r="E547" s="34"/>
      <c r="F547" s="35"/>
      <c r="G547" s="34"/>
      <c r="H547" s="35"/>
      <c r="I547" s="34"/>
      <c r="J547" s="36"/>
      <c r="K547" s="36"/>
      <c r="L547" s="35"/>
      <c r="M547" s="34"/>
      <c r="N547" s="35"/>
      <c r="O547" s="36"/>
      <c r="P547" s="32" t="str">
        <f aca="false">IF($J547="","",$J547-WEEKDAY($J547,3))</f>
        <v/>
      </c>
      <c r="Q547" s="32" t="str">
        <f aca="false">IF($J547="","",IF($K547="",$J547,$K547))</f>
        <v/>
      </c>
      <c r="R547" s="28" t="str">
        <f aca="false">IF($E547="","",IF(OR($N547&lt;&gt;"Concluída",$O547="",$J547=""),0,IF($O547&lt;=$J547,1,0)))</f>
        <v/>
      </c>
      <c r="S547" s="28" t="str">
        <f aca="false">IF($E547="","",IF(OR($N547&lt;&gt;"Concluída",$O547="",$Q547=""),0,IF($O547&lt;=$Q547,1,0)))</f>
        <v/>
      </c>
      <c r="T547" s="28" t="str">
        <f aca="false">IF(OR($J547="",$N547&lt;&gt;"Concluída",$O547=""),"",MAX(0,$O547-$J547))</f>
        <v/>
      </c>
      <c r="U547" s="33" t="str">
        <f aca="true">IF($E547="","",IF($N547="Cancelada","Cancelada",IF($N547="Concluída",IF($R547=1,"No prazo","Concluída com atraso"),IF($J547="","Na carteira",IF($J547&lt;TODAY(),"VENCIDA",IF($J547=TODAY(),"Hoje","Programada"))))))</f>
        <v/>
      </c>
    </row>
    <row r="548" customFormat="false" ht="15.75" hidden="false" customHeight="true" outlineLevel="0" collapsed="false">
      <c r="A548" s="28" t="str">
        <f aca="false">IF($E548="","",COUNTA($E$4:$E548))</f>
        <v/>
      </c>
      <c r="B548" s="29"/>
      <c r="C548" s="29"/>
      <c r="D548" s="29"/>
      <c r="E548" s="29"/>
      <c r="F548" s="30"/>
      <c r="G548" s="29"/>
      <c r="H548" s="30"/>
      <c r="I548" s="29"/>
      <c r="J548" s="31"/>
      <c r="K548" s="31"/>
      <c r="L548" s="30"/>
      <c r="M548" s="29"/>
      <c r="N548" s="30"/>
      <c r="O548" s="31"/>
      <c r="P548" s="32" t="str">
        <f aca="false">IF($J548="","",$J548-WEEKDAY($J548,3))</f>
        <v/>
      </c>
      <c r="Q548" s="32" t="str">
        <f aca="false">IF($J548="","",IF($K548="",$J548,$K548))</f>
        <v/>
      </c>
      <c r="R548" s="28" t="str">
        <f aca="false">IF($E548="","",IF(OR($N548&lt;&gt;"Concluída",$O548="",$J548=""),0,IF($O548&lt;=$J548,1,0)))</f>
        <v/>
      </c>
      <c r="S548" s="28" t="str">
        <f aca="false">IF($E548="","",IF(OR($N548&lt;&gt;"Concluída",$O548="",$Q548=""),0,IF($O548&lt;=$Q548,1,0)))</f>
        <v/>
      </c>
      <c r="T548" s="28" t="str">
        <f aca="false">IF(OR($J548="",$N548&lt;&gt;"Concluída",$O548=""),"",MAX(0,$O548-$J548))</f>
        <v/>
      </c>
      <c r="U548" s="33" t="str">
        <f aca="true">IF($E548="","",IF($N548="Cancelada","Cancelada",IF($N548="Concluída",IF($R548=1,"No prazo","Concluída com atraso"),IF($J548="","Na carteira",IF($J548&lt;TODAY(),"VENCIDA",IF($J548=TODAY(),"Hoje","Programada"))))))</f>
        <v/>
      </c>
    </row>
    <row r="549" customFormat="false" ht="15.75" hidden="false" customHeight="true" outlineLevel="0" collapsed="false">
      <c r="A549" s="28" t="str">
        <f aca="false">IF($E549="","",COUNTA($E$4:$E549))</f>
        <v/>
      </c>
      <c r="B549" s="34"/>
      <c r="C549" s="34"/>
      <c r="D549" s="34"/>
      <c r="E549" s="34"/>
      <c r="F549" s="35"/>
      <c r="G549" s="34"/>
      <c r="H549" s="35"/>
      <c r="I549" s="34"/>
      <c r="J549" s="36"/>
      <c r="K549" s="36"/>
      <c r="L549" s="35"/>
      <c r="M549" s="34"/>
      <c r="N549" s="35"/>
      <c r="O549" s="36"/>
      <c r="P549" s="32" t="str">
        <f aca="false">IF($J549="","",$J549-WEEKDAY($J549,3))</f>
        <v/>
      </c>
      <c r="Q549" s="32" t="str">
        <f aca="false">IF($J549="","",IF($K549="",$J549,$K549))</f>
        <v/>
      </c>
      <c r="R549" s="28" t="str">
        <f aca="false">IF($E549="","",IF(OR($N549&lt;&gt;"Concluída",$O549="",$J549=""),0,IF($O549&lt;=$J549,1,0)))</f>
        <v/>
      </c>
      <c r="S549" s="28" t="str">
        <f aca="false">IF($E549="","",IF(OR($N549&lt;&gt;"Concluída",$O549="",$Q549=""),0,IF($O549&lt;=$Q549,1,0)))</f>
        <v/>
      </c>
      <c r="T549" s="28" t="str">
        <f aca="false">IF(OR($J549="",$N549&lt;&gt;"Concluída",$O549=""),"",MAX(0,$O549-$J549))</f>
        <v/>
      </c>
      <c r="U549" s="33" t="str">
        <f aca="true">IF($E549="","",IF($N549="Cancelada","Cancelada",IF($N549="Concluída",IF($R549=1,"No prazo","Concluída com atraso"),IF($J549="","Na carteira",IF($J549&lt;TODAY(),"VENCIDA",IF($J549=TODAY(),"Hoje","Programada"))))))</f>
        <v/>
      </c>
    </row>
    <row r="550" customFormat="false" ht="15.75" hidden="false" customHeight="true" outlineLevel="0" collapsed="false">
      <c r="A550" s="28" t="str">
        <f aca="false">IF($E550="","",COUNTA($E$4:$E550))</f>
        <v/>
      </c>
      <c r="B550" s="29"/>
      <c r="C550" s="29"/>
      <c r="D550" s="29"/>
      <c r="E550" s="29"/>
      <c r="F550" s="30"/>
      <c r="G550" s="29"/>
      <c r="H550" s="30"/>
      <c r="I550" s="29"/>
      <c r="J550" s="31"/>
      <c r="K550" s="31"/>
      <c r="L550" s="30"/>
      <c r="M550" s="29"/>
      <c r="N550" s="30"/>
      <c r="O550" s="31"/>
      <c r="P550" s="32" t="str">
        <f aca="false">IF($J550="","",$J550-WEEKDAY($J550,3))</f>
        <v/>
      </c>
      <c r="Q550" s="32" t="str">
        <f aca="false">IF($J550="","",IF($K550="",$J550,$K550))</f>
        <v/>
      </c>
      <c r="R550" s="28" t="str">
        <f aca="false">IF($E550="","",IF(OR($N550&lt;&gt;"Concluída",$O550="",$J550=""),0,IF($O550&lt;=$J550,1,0)))</f>
        <v/>
      </c>
      <c r="S550" s="28" t="str">
        <f aca="false">IF($E550="","",IF(OR($N550&lt;&gt;"Concluída",$O550="",$Q550=""),0,IF($O550&lt;=$Q550,1,0)))</f>
        <v/>
      </c>
      <c r="T550" s="28" t="str">
        <f aca="false">IF(OR($J550="",$N550&lt;&gt;"Concluída",$O550=""),"",MAX(0,$O550-$J550))</f>
        <v/>
      </c>
      <c r="U550" s="33" t="str">
        <f aca="true">IF($E550="","",IF($N550="Cancelada","Cancelada",IF($N550="Concluída",IF($R550=1,"No prazo","Concluída com atraso"),IF($J550="","Na carteira",IF($J550&lt;TODAY(),"VENCIDA",IF($J550=TODAY(),"Hoje","Programada"))))))</f>
        <v/>
      </c>
    </row>
    <row r="551" customFormat="false" ht="15.75" hidden="false" customHeight="true" outlineLevel="0" collapsed="false">
      <c r="A551" s="28" t="str">
        <f aca="false">IF($E551="","",COUNTA($E$4:$E551))</f>
        <v/>
      </c>
      <c r="B551" s="34"/>
      <c r="C551" s="34"/>
      <c r="D551" s="34"/>
      <c r="E551" s="34"/>
      <c r="F551" s="35"/>
      <c r="G551" s="34"/>
      <c r="H551" s="35"/>
      <c r="I551" s="34"/>
      <c r="J551" s="36"/>
      <c r="K551" s="36"/>
      <c r="L551" s="35"/>
      <c r="M551" s="34"/>
      <c r="N551" s="35"/>
      <c r="O551" s="36"/>
      <c r="P551" s="32" t="str">
        <f aca="false">IF($J551="","",$J551-WEEKDAY($J551,3))</f>
        <v/>
      </c>
      <c r="Q551" s="32" t="str">
        <f aca="false">IF($J551="","",IF($K551="",$J551,$K551))</f>
        <v/>
      </c>
      <c r="R551" s="28" t="str">
        <f aca="false">IF($E551="","",IF(OR($N551&lt;&gt;"Concluída",$O551="",$J551=""),0,IF($O551&lt;=$J551,1,0)))</f>
        <v/>
      </c>
      <c r="S551" s="28" t="str">
        <f aca="false">IF($E551="","",IF(OR($N551&lt;&gt;"Concluída",$O551="",$Q551=""),0,IF($O551&lt;=$Q551,1,0)))</f>
        <v/>
      </c>
      <c r="T551" s="28" t="str">
        <f aca="false">IF(OR($J551="",$N551&lt;&gt;"Concluída",$O551=""),"",MAX(0,$O551-$J551))</f>
        <v/>
      </c>
      <c r="U551" s="33" t="str">
        <f aca="true">IF($E551="","",IF($N551="Cancelada","Cancelada",IF($N551="Concluída",IF($R551=1,"No prazo","Concluída com atraso"),IF($J551="","Na carteira",IF($J551&lt;TODAY(),"VENCIDA",IF($J551=TODAY(),"Hoje","Programada"))))))</f>
        <v/>
      </c>
    </row>
    <row r="552" customFormat="false" ht="15.75" hidden="false" customHeight="true" outlineLevel="0" collapsed="false">
      <c r="A552" s="28" t="str">
        <f aca="false">IF($E552="","",COUNTA($E$4:$E552))</f>
        <v/>
      </c>
      <c r="B552" s="29"/>
      <c r="C552" s="29"/>
      <c r="D552" s="29"/>
      <c r="E552" s="29"/>
      <c r="F552" s="30"/>
      <c r="G552" s="29"/>
      <c r="H552" s="30"/>
      <c r="I552" s="29"/>
      <c r="J552" s="31"/>
      <c r="K552" s="31"/>
      <c r="L552" s="30"/>
      <c r="M552" s="29"/>
      <c r="N552" s="30"/>
      <c r="O552" s="31"/>
      <c r="P552" s="32" t="str">
        <f aca="false">IF($J552="","",$J552-WEEKDAY($J552,3))</f>
        <v/>
      </c>
      <c r="Q552" s="32" t="str">
        <f aca="false">IF($J552="","",IF($K552="",$J552,$K552))</f>
        <v/>
      </c>
      <c r="R552" s="28" t="str">
        <f aca="false">IF($E552="","",IF(OR($N552&lt;&gt;"Concluída",$O552="",$J552=""),0,IF($O552&lt;=$J552,1,0)))</f>
        <v/>
      </c>
      <c r="S552" s="28" t="str">
        <f aca="false">IF($E552="","",IF(OR($N552&lt;&gt;"Concluída",$O552="",$Q552=""),0,IF($O552&lt;=$Q552,1,0)))</f>
        <v/>
      </c>
      <c r="T552" s="28" t="str">
        <f aca="false">IF(OR($J552="",$N552&lt;&gt;"Concluída",$O552=""),"",MAX(0,$O552-$J552))</f>
        <v/>
      </c>
      <c r="U552" s="33" t="str">
        <f aca="true">IF($E552="","",IF($N552="Cancelada","Cancelada",IF($N552="Concluída",IF($R552=1,"No prazo","Concluída com atraso"),IF($J552="","Na carteira",IF($J552&lt;TODAY(),"VENCIDA",IF($J552=TODAY(),"Hoje","Programada"))))))</f>
        <v/>
      </c>
    </row>
    <row r="553" customFormat="false" ht="15.75" hidden="false" customHeight="true" outlineLevel="0" collapsed="false">
      <c r="A553" s="28" t="str">
        <f aca="false">IF($E553="","",COUNTA($E$4:$E553))</f>
        <v/>
      </c>
      <c r="B553" s="34"/>
      <c r="C553" s="34"/>
      <c r="D553" s="34"/>
      <c r="E553" s="34"/>
      <c r="F553" s="35"/>
      <c r="G553" s="34"/>
      <c r="H553" s="35"/>
      <c r="I553" s="34"/>
      <c r="J553" s="36"/>
      <c r="K553" s="36"/>
      <c r="L553" s="35"/>
      <c r="M553" s="34"/>
      <c r="N553" s="35"/>
      <c r="O553" s="36"/>
      <c r="P553" s="32" t="str">
        <f aca="false">IF($J553="","",$J553-WEEKDAY($J553,3))</f>
        <v/>
      </c>
      <c r="Q553" s="32" t="str">
        <f aca="false">IF($J553="","",IF($K553="",$J553,$K553))</f>
        <v/>
      </c>
      <c r="R553" s="28" t="str">
        <f aca="false">IF($E553="","",IF(OR($N553&lt;&gt;"Concluída",$O553="",$J553=""),0,IF($O553&lt;=$J553,1,0)))</f>
        <v/>
      </c>
      <c r="S553" s="28" t="str">
        <f aca="false">IF($E553="","",IF(OR($N553&lt;&gt;"Concluída",$O553="",$Q553=""),0,IF($O553&lt;=$Q553,1,0)))</f>
        <v/>
      </c>
      <c r="T553" s="28" t="str">
        <f aca="false">IF(OR($J553="",$N553&lt;&gt;"Concluída",$O553=""),"",MAX(0,$O553-$J553))</f>
        <v/>
      </c>
      <c r="U553" s="33" t="str">
        <f aca="true">IF($E553="","",IF($N553="Cancelada","Cancelada",IF($N553="Concluída",IF($R553=1,"No prazo","Concluída com atraso"),IF($J553="","Na carteira",IF($J553&lt;TODAY(),"VENCIDA",IF($J553=TODAY(),"Hoje","Programada"))))))</f>
        <v/>
      </c>
    </row>
    <row r="554" customFormat="false" ht="15.75" hidden="false" customHeight="true" outlineLevel="0" collapsed="false">
      <c r="A554" s="28" t="str">
        <f aca="false">IF($E554="","",COUNTA($E$4:$E554))</f>
        <v/>
      </c>
      <c r="B554" s="29"/>
      <c r="C554" s="29"/>
      <c r="D554" s="29"/>
      <c r="E554" s="29"/>
      <c r="F554" s="30"/>
      <c r="G554" s="29"/>
      <c r="H554" s="30"/>
      <c r="I554" s="29"/>
      <c r="J554" s="31"/>
      <c r="K554" s="31"/>
      <c r="L554" s="30"/>
      <c r="M554" s="29"/>
      <c r="N554" s="30"/>
      <c r="O554" s="31"/>
      <c r="P554" s="32" t="str">
        <f aca="false">IF($J554="","",$J554-WEEKDAY($J554,3))</f>
        <v/>
      </c>
      <c r="Q554" s="32" t="str">
        <f aca="false">IF($J554="","",IF($K554="",$J554,$K554))</f>
        <v/>
      </c>
      <c r="R554" s="28" t="str">
        <f aca="false">IF($E554="","",IF(OR($N554&lt;&gt;"Concluída",$O554="",$J554=""),0,IF($O554&lt;=$J554,1,0)))</f>
        <v/>
      </c>
      <c r="S554" s="28" t="str">
        <f aca="false">IF($E554="","",IF(OR($N554&lt;&gt;"Concluída",$O554="",$Q554=""),0,IF($O554&lt;=$Q554,1,0)))</f>
        <v/>
      </c>
      <c r="T554" s="28" t="str">
        <f aca="false">IF(OR($J554="",$N554&lt;&gt;"Concluída",$O554=""),"",MAX(0,$O554-$J554))</f>
        <v/>
      </c>
      <c r="U554" s="33" t="str">
        <f aca="true">IF($E554="","",IF($N554="Cancelada","Cancelada",IF($N554="Concluída",IF($R554=1,"No prazo","Concluída com atraso"),IF($J554="","Na carteira",IF($J554&lt;TODAY(),"VENCIDA",IF($J554=TODAY(),"Hoje","Programada"))))))</f>
        <v/>
      </c>
    </row>
    <row r="555" customFormat="false" ht="15.75" hidden="false" customHeight="true" outlineLevel="0" collapsed="false">
      <c r="A555" s="28" t="str">
        <f aca="false">IF($E555="","",COUNTA($E$4:$E555))</f>
        <v/>
      </c>
      <c r="B555" s="34"/>
      <c r="C555" s="34"/>
      <c r="D555" s="34"/>
      <c r="E555" s="34"/>
      <c r="F555" s="35"/>
      <c r="G555" s="34"/>
      <c r="H555" s="35"/>
      <c r="I555" s="34"/>
      <c r="J555" s="36"/>
      <c r="K555" s="36"/>
      <c r="L555" s="35"/>
      <c r="M555" s="34"/>
      <c r="N555" s="35"/>
      <c r="O555" s="36"/>
      <c r="P555" s="32" t="str">
        <f aca="false">IF($J555="","",$J555-WEEKDAY($J555,3))</f>
        <v/>
      </c>
      <c r="Q555" s="32" t="str">
        <f aca="false">IF($J555="","",IF($K555="",$J555,$K555))</f>
        <v/>
      </c>
      <c r="R555" s="28" t="str">
        <f aca="false">IF($E555="","",IF(OR($N555&lt;&gt;"Concluída",$O555="",$J555=""),0,IF($O555&lt;=$J555,1,0)))</f>
        <v/>
      </c>
      <c r="S555" s="28" t="str">
        <f aca="false">IF($E555="","",IF(OR($N555&lt;&gt;"Concluída",$O555="",$Q555=""),0,IF($O555&lt;=$Q555,1,0)))</f>
        <v/>
      </c>
      <c r="T555" s="28" t="str">
        <f aca="false">IF(OR($J555="",$N555&lt;&gt;"Concluída",$O555=""),"",MAX(0,$O555-$J555))</f>
        <v/>
      </c>
      <c r="U555" s="33" t="str">
        <f aca="true">IF($E555="","",IF($N555="Cancelada","Cancelada",IF($N555="Concluída",IF($R555=1,"No prazo","Concluída com atraso"),IF($J555="","Na carteira",IF($J555&lt;TODAY(),"VENCIDA",IF($J555=TODAY(),"Hoje","Programada"))))))</f>
        <v/>
      </c>
    </row>
    <row r="556" customFormat="false" ht="15.75" hidden="false" customHeight="true" outlineLevel="0" collapsed="false">
      <c r="A556" s="28" t="str">
        <f aca="false">IF($E556="","",COUNTA($E$4:$E556))</f>
        <v/>
      </c>
      <c r="B556" s="29"/>
      <c r="C556" s="29"/>
      <c r="D556" s="29"/>
      <c r="E556" s="29"/>
      <c r="F556" s="30"/>
      <c r="G556" s="29"/>
      <c r="H556" s="30"/>
      <c r="I556" s="29"/>
      <c r="J556" s="31"/>
      <c r="K556" s="31"/>
      <c r="L556" s="30"/>
      <c r="M556" s="29"/>
      <c r="N556" s="30"/>
      <c r="O556" s="31"/>
      <c r="P556" s="32" t="str">
        <f aca="false">IF($J556="","",$J556-WEEKDAY($J556,3))</f>
        <v/>
      </c>
      <c r="Q556" s="32" t="str">
        <f aca="false">IF($J556="","",IF($K556="",$J556,$K556))</f>
        <v/>
      </c>
      <c r="R556" s="28" t="str">
        <f aca="false">IF($E556="","",IF(OR($N556&lt;&gt;"Concluída",$O556="",$J556=""),0,IF($O556&lt;=$J556,1,0)))</f>
        <v/>
      </c>
      <c r="S556" s="28" t="str">
        <f aca="false">IF($E556="","",IF(OR($N556&lt;&gt;"Concluída",$O556="",$Q556=""),0,IF($O556&lt;=$Q556,1,0)))</f>
        <v/>
      </c>
      <c r="T556" s="28" t="str">
        <f aca="false">IF(OR($J556="",$N556&lt;&gt;"Concluída",$O556=""),"",MAX(0,$O556-$J556))</f>
        <v/>
      </c>
      <c r="U556" s="33" t="str">
        <f aca="true">IF($E556="","",IF($N556="Cancelada","Cancelada",IF($N556="Concluída",IF($R556=1,"No prazo","Concluída com atraso"),IF($J556="","Na carteira",IF($J556&lt;TODAY(),"VENCIDA",IF($J556=TODAY(),"Hoje","Programada"))))))</f>
        <v/>
      </c>
    </row>
    <row r="557" customFormat="false" ht="15.75" hidden="false" customHeight="true" outlineLevel="0" collapsed="false">
      <c r="A557" s="28" t="str">
        <f aca="false">IF($E557="","",COUNTA($E$4:$E557))</f>
        <v/>
      </c>
      <c r="B557" s="34"/>
      <c r="C557" s="34"/>
      <c r="D557" s="34"/>
      <c r="E557" s="34"/>
      <c r="F557" s="35"/>
      <c r="G557" s="34"/>
      <c r="H557" s="35"/>
      <c r="I557" s="34"/>
      <c r="J557" s="36"/>
      <c r="K557" s="36"/>
      <c r="L557" s="35"/>
      <c r="M557" s="34"/>
      <c r="N557" s="35"/>
      <c r="O557" s="36"/>
      <c r="P557" s="32" t="str">
        <f aca="false">IF($J557="","",$J557-WEEKDAY($J557,3))</f>
        <v/>
      </c>
      <c r="Q557" s="32" t="str">
        <f aca="false">IF($J557="","",IF($K557="",$J557,$K557))</f>
        <v/>
      </c>
      <c r="R557" s="28" t="str">
        <f aca="false">IF($E557="","",IF(OR($N557&lt;&gt;"Concluída",$O557="",$J557=""),0,IF($O557&lt;=$J557,1,0)))</f>
        <v/>
      </c>
      <c r="S557" s="28" t="str">
        <f aca="false">IF($E557="","",IF(OR($N557&lt;&gt;"Concluída",$O557="",$Q557=""),0,IF($O557&lt;=$Q557,1,0)))</f>
        <v/>
      </c>
      <c r="T557" s="28" t="str">
        <f aca="false">IF(OR($J557="",$N557&lt;&gt;"Concluída",$O557=""),"",MAX(0,$O557-$J557))</f>
        <v/>
      </c>
      <c r="U557" s="33" t="str">
        <f aca="true">IF($E557="","",IF($N557="Cancelada","Cancelada",IF($N557="Concluída",IF($R557=1,"No prazo","Concluída com atraso"),IF($J557="","Na carteira",IF($J557&lt;TODAY(),"VENCIDA",IF($J557=TODAY(),"Hoje","Programada"))))))</f>
        <v/>
      </c>
    </row>
    <row r="558" customFormat="false" ht="15.75" hidden="false" customHeight="true" outlineLevel="0" collapsed="false">
      <c r="A558" s="28" t="str">
        <f aca="false">IF($E558="","",COUNTA($E$4:$E558))</f>
        <v/>
      </c>
      <c r="B558" s="29"/>
      <c r="C558" s="29"/>
      <c r="D558" s="29"/>
      <c r="E558" s="29"/>
      <c r="F558" s="30"/>
      <c r="G558" s="29"/>
      <c r="H558" s="30"/>
      <c r="I558" s="29"/>
      <c r="J558" s="31"/>
      <c r="K558" s="31"/>
      <c r="L558" s="30"/>
      <c r="M558" s="29"/>
      <c r="N558" s="30"/>
      <c r="O558" s="31"/>
      <c r="P558" s="32" t="str">
        <f aca="false">IF($J558="","",$J558-WEEKDAY($J558,3))</f>
        <v/>
      </c>
      <c r="Q558" s="32" t="str">
        <f aca="false">IF($J558="","",IF($K558="",$J558,$K558))</f>
        <v/>
      </c>
      <c r="R558" s="28" t="str">
        <f aca="false">IF($E558="","",IF(OR($N558&lt;&gt;"Concluída",$O558="",$J558=""),0,IF($O558&lt;=$J558,1,0)))</f>
        <v/>
      </c>
      <c r="S558" s="28" t="str">
        <f aca="false">IF($E558="","",IF(OR($N558&lt;&gt;"Concluída",$O558="",$Q558=""),0,IF($O558&lt;=$Q558,1,0)))</f>
        <v/>
      </c>
      <c r="T558" s="28" t="str">
        <f aca="false">IF(OR($J558="",$N558&lt;&gt;"Concluída",$O558=""),"",MAX(0,$O558-$J558))</f>
        <v/>
      </c>
      <c r="U558" s="33" t="str">
        <f aca="true">IF($E558="","",IF($N558="Cancelada","Cancelada",IF($N558="Concluída",IF($R558=1,"No prazo","Concluída com atraso"),IF($J558="","Na carteira",IF($J558&lt;TODAY(),"VENCIDA",IF($J558=TODAY(),"Hoje","Programada"))))))</f>
        <v/>
      </c>
    </row>
    <row r="559" customFormat="false" ht="15.75" hidden="false" customHeight="true" outlineLevel="0" collapsed="false">
      <c r="A559" s="28" t="str">
        <f aca="false">IF($E559="","",COUNTA($E$4:$E559))</f>
        <v/>
      </c>
      <c r="B559" s="34"/>
      <c r="C559" s="34"/>
      <c r="D559" s="34"/>
      <c r="E559" s="34"/>
      <c r="F559" s="35"/>
      <c r="G559" s="34"/>
      <c r="H559" s="35"/>
      <c r="I559" s="34"/>
      <c r="J559" s="36"/>
      <c r="K559" s="36"/>
      <c r="L559" s="35"/>
      <c r="M559" s="34"/>
      <c r="N559" s="35"/>
      <c r="O559" s="36"/>
      <c r="P559" s="32" t="str">
        <f aca="false">IF($J559="","",$J559-WEEKDAY($J559,3))</f>
        <v/>
      </c>
      <c r="Q559" s="32" t="str">
        <f aca="false">IF($J559="","",IF($K559="",$J559,$K559))</f>
        <v/>
      </c>
      <c r="R559" s="28" t="str">
        <f aca="false">IF($E559="","",IF(OR($N559&lt;&gt;"Concluída",$O559="",$J559=""),0,IF($O559&lt;=$J559,1,0)))</f>
        <v/>
      </c>
      <c r="S559" s="28" t="str">
        <f aca="false">IF($E559="","",IF(OR($N559&lt;&gt;"Concluída",$O559="",$Q559=""),0,IF($O559&lt;=$Q559,1,0)))</f>
        <v/>
      </c>
      <c r="T559" s="28" t="str">
        <f aca="false">IF(OR($J559="",$N559&lt;&gt;"Concluída",$O559=""),"",MAX(0,$O559-$J559))</f>
        <v/>
      </c>
      <c r="U559" s="33" t="str">
        <f aca="true">IF($E559="","",IF($N559="Cancelada","Cancelada",IF($N559="Concluída",IF($R559=1,"No prazo","Concluída com atraso"),IF($J559="","Na carteira",IF($J559&lt;TODAY(),"VENCIDA",IF($J559=TODAY(),"Hoje","Programada"))))))</f>
        <v/>
      </c>
    </row>
    <row r="560" customFormat="false" ht="15.75" hidden="false" customHeight="true" outlineLevel="0" collapsed="false">
      <c r="A560" s="28" t="str">
        <f aca="false">IF($E560="","",COUNTA($E$4:$E560))</f>
        <v/>
      </c>
      <c r="B560" s="29"/>
      <c r="C560" s="29"/>
      <c r="D560" s="29"/>
      <c r="E560" s="29"/>
      <c r="F560" s="30"/>
      <c r="G560" s="29"/>
      <c r="H560" s="30"/>
      <c r="I560" s="29"/>
      <c r="J560" s="31"/>
      <c r="K560" s="31"/>
      <c r="L560" s="30"/>
      <c r="M560" s="29"/>
      <c r="N560" s="30"/>
      <c r="O560" s="31"/>
      <c r="P560" s="32" t="str">
        <f aca="false">IF($J560="","",$J560-WEEKDAY($J560,3))</f>
        <v/>
      </c>
      <c r="Q560" s="32" t="str">
        <f aca="false">IF($J560="","",IF($K560="",$J560,$K560))</f>
        <v/>
      </c>
      <c r="R560" s="28" t="str">
        <f aca="false">IF($E560="","",IF(OR($N560&lt;&gt;"Concluída",$O560="",$J560=""),0,IF($O560&lt;=$J560,1,0)))</f>
        <v/>
      </c>
      <c r="S560" s="28" t="str">
        <f aca="false">IF($E560="","",IF(OR($N560&lt;&gt;"Concluída",$O560="",$Q560=""),0,IF($O560&lt;=$Q560,1,0)))</f>
        <v/>
      </c>
      <c r="T560" s="28" t="str">
        <f aca="false">IF(OR($J560="",$N560&lt;&gt;"Concluída",$O560=""),"",MAX(0,$O560-$J560))</f>
        <v/>
      </c>
      <c r="U560" s="33" t="str">
        <f aca="true">IF($E560="","",IF($N560="Cancelada","Cancelada",IF($N560="Concluída",IF($R560=1,"No prazo","Concluída com atraso"),IF($J560="","Na carteira",IF($J560&lt;TODAY(),"VENCIDA",IF($J560=TODAY(),"Hoje","Programada"))))))</f>
        <v/>
      </c>
    </row>
    <row r="561" customFormat="false" ht="15.75" hidden="false" customHeight="true" outlineLevel="0" collapsed="false">
      <c r="A561" s="28" t="str">
        <f aca="false">IF($E561="","",COUNTA($E$4:$E561))</f>
        <v/>
      </c>
      <c r="B561" s="34"/>
      <c r="C561" s="34"/>
      <c r="D561" s="34"/>
      <c r="E561" s="34"/>
      <c r="F561" s="35"/>
      <c r="G561" s="34"/>
      <c r="H561" s="35"/>
      <c r="I561" s="34"/>
      <c r="J561" s="36"/>
      <c r="K561" s="36"/>
      <c r="L561" s="35"/>
      <c r="M561" s="34"/>
      <c r="N561" s="35"/>
      <c r="O561" s="36"/>
      <c r="P561" s="32" t="str">
        <f aca="false">IF($J561="","",$J561-WEEKDAY($J561,3))</f>
        <v/>
      </c>
      <c r="Q561" s="32" t="str">
        <f aca="false">IF($J561="","",IF($K561="",$J561,$K561))</f>
        <v/>
      </c>
      <c r="R561" s="28" t="str">
        <f aca="false">IF($E561="","",IF(OR($N561&lt;&gt;"Concluída",$O561="",$J561=""),0,IF($O561&lt;=$J561,1,0)))</f>
        <v/>
      </c>
      <c r="S561" s="28" t="str">
        <f aca="false">IF($E561="","",IF(OR($N561&lt;&gt;"Concluída",$O561="",$Q561=""),0,IF($O561&lt;=$Q561,1,0)))</f>
        <v/>
      </c>
      <c r="T561" s="28" t="str">
        <f aca="false">IF(OR($J561="",$N561&lt;&gt;"Concluída",$O561=""),"",MAX(0,$O561-$J561))</f>
        <v/>
      </c>
      <c r="U561" s="33" t="str">
        <f aca="true">IF($E561="","",IF($N561="Cancelada","Cancelada",IF($N561="Concluída",IF($R561=1,"No prazo","Concluída com atraso"),IF($J561="","Na carteira",IF($J561&lt;TODAY(),"VENCIDA",IF($J561=TODAY(),"Hoje","Programada"))))))</f>
        <v/>
      </c>
    </row>
    <row r="562" customFormat="false" ht="15.75" hidden="false" customHeight="true" outlineLevel="0" collapsed="false">
      <c r="A562" s="28" t="str">
        <f aca="false">IF($E562="","",COUNTA($E$4:$E562))</f>
        <v/>
      </c>
      <c r="B562" s="29"/>
      <c r="C562" s="29"/>
      <c r="D562" s="29"/>
      <c r="E562" s="29"/>
      <c r="F562" s="30"/>
      <c r="G562" s="29"/>
      <c r="H562" s="30"/>
      <c r="I562" s="29"/>
      <c r="J562" s="31"/>
      <c r="K562" s="31"/>
      <c r="L562" s="30"/>
      <c r="M562" s="29"/>
      <c r="N562" s="30"/>
      <c r="O562" s="31"/>
      <c r="P562" s="32" t="str">
        <f aca="false">IF($J562="","",$J562-WEEKDAY($J562,3))</f>
        <v/>
      </c>
      <c r="Q562" s="32" t="str">
        <f aca="false">IF($J562="","",IF($K562="",$J562,$K562))</f>
        <v/>
      </c>
      <c r="R562" s="28" t="str">
        <f aca="false">IF($E562="","",IF(OR($N562&lt;&gt;"Concluída",$O562="",$J562=""),0,IF($O562&lt;=$J562,1,0)))</f>
        <v/>
      </c>
      <c r="S562" s="28" t="str">
        <f aca="false">IF($E562="","",IF(OR($N562&lt;&gt;"Concluída",$O562="",$Q562=""),0,IF($O562&lt;=$Q562,1,0)))</f>
        <v/>
      </c>
      <c r="T562" s="28" t="str">
        <f aca="false">IF(OR($J562="",$N562&lt;&gt;"Concluída",$O562=""),"",MAX(0,$O562-$J562))</f>
        <v/>
      </c>
      <c r="U562" s="33" t="str">
        <f aca="true">IF($E562="","",IF($N562="Cancelada","Cancelada",IF($N562="Concluída",IF($R562=1,"No prazo","Concluída com atraso"),IF($J562="","Na carteira",IF($J562&lt;TODAY(),"VENCIDA",IF($J562=TODAY(),"Hoje","Programada"))))))</f>
        <v/>
      </c>
    </row>
    <row r="563" customFormat="false" ht="15.75" hidden="false" customHeight="true" outlineLevel="0" collapsed="false">
      <c r="A563" s="28" t="str">
        <f aca="false">IF($E563="","",COUNTA($E$4:$E563))</f>
        <v/>
      </c>
      <c r="B563" s="34"/>
      <c r="C563" s="34"/>
      <c r="D563" s="34"/>
      <c r="E563" s="34"/>
      <c r="F563" s="35"/>
      <c r="G563" s="34"/>
      <c r="H563" s="35"/>
      <c r="I563" s="34"/>
      <c r="J563" s="36"/>
      <c r="K563" s="36"/>
      <c r="L563" s="35"/>
      <c r="M563" s="34"/>
      <c r="N563" s="35"/>
      <c r="O563" s="36"/>
      <c r="P563" s="32" t="str">
        <f aca="false">IF($J563="","",$J563-WEEKDAY($J563,3))</f>
        <v/>
      </c>
      <c r="Q563" s="32" t="str">
        <f aca="false">IF($J563="","",IF($K563="",$J563,$K563))</f>
        <v/>
      </c>
      <c r="R563" s="28" t="str">
        <f aca="false">IF($E563="","",IF(OR($N563&lt;&gt;"Concluída",$O563="",$J563=""),0,IF($O563&lt;=$J563,1,0)))</f>
        <v/>
      </c>
      <c r="S563" s="28" t="str">
        <f aca="false">IF($E563="","",IF(OR($N563&lt;&gt;"Concluída",$O563="",$Q563=""),0,IF($O563&lt;=$Q563,1,0)))</f>
        <v/>
      </c>
      <c r="T563" s="28" t="str">
        <f aca="false">IF(OR($J563="",$N563&lt;&gt;"Concluída",$O563=""),"",MAX(0,$O563-$J563))</f>
        <v/>
      </c>
      <c r="U563" s="33" t="str">
        <f aca="true">IF($E563="","",IF($N563="Cancelada","Cancelada",IF($N563="Concluída",IF($R563=1,"No prazo","Concluída com atraso"),IF($J563="","Na carteira",IF($J563&lt;TODAY(),"VENCIDA",IF($J563=TODAY(),"Hoje","Programada"))))))</f>
        <v/>
      </c>
    </row>
    <row r="564" customFormat="false" ht="15.75" hidden="false" customHeight="true" outlineLevel="0" collapsed="false">
      <c r="A564" s="28" t="str">
        <f aca="false">IF($E564="","",COUNTA($E$4:$E564))</f>
        <v/>
      </c>
      <c r="B564" s="29"/>
      <c r="C564" s="29"/>
      <c r="D564" s="29"/>
      <c r="E564" s="29"/>
      <c r="F564" s="30"/>
      <c r="G564" s="29"/>
      <c r="H564" s="30"/>
      <c r="I564" s="29"/>
      <c r="J564" s="31"/>
      <c r="K564" s="31"/>
      <c r="L564" s="30"/>
      <c r="M564" s="29"/>
      <c r="N564" s="30"/>
      <c r="O564" s="31"/>
      <c r="P564" s="32" t="str">
        <f aca="false">IF($J564="","",$J564-WEEKDAY($J564,3))</f>
        <v/>
      </c>
      <c r="Q564" s="32" t="str">
        <f aca="false">IF($J564="","",IF($K564="",$J564,$K564))</f>
        <v/>
      </c>
      <c r="R564" s="28" t="str">
        <f aca="false">IF($E564="","",IF(OR($N564&lt;&gt;"Concluída",$O564="",$J564=""),0,IF($O564&lt;=$J564,1,0)))</f>
        <v/>
      </c>
      <c r="S564" s="28" t="str">
        <f aca="false">IF($E564="","",IF(OR($N564&lt;&gt;"Concluída",$O564="",$Q564=""),0,IF($O564&lt;=$Q564,1,0)))</f>
        <v/>
      </c>
      <c r="T564" s="28" t="str">
        <f aca="false">IF(OR($J564="",$N564&lt;&gt;"Concluída",$O564=""),"",MAX(0,$O564-$J564))</f>
        <v/>
      </c>
      <c r="U564" s="33" t="str">
        <f aca="true">IF($E564="","",IF($N564="Cancelada","Cancelada",IF($N564="Concluída",IF($R564=1,"No prazo","Concluída com atraso"),IF($J564="","Na carteira",IF($J564&lt;TODAY(),"VENCIDA",IF($J564=TODAY(),"Hoje","Programada"))))))</f>
        <v/>
      </c>
    </row>
    <row r="565" customFormat="false" ht="15.75" hidden="false" customHeight="true" outlineLevel="0" collapsed="false">
      <c r="A565" s="28" t="str">
        <f aca="false">IF($E565="","",COUNTA($E$4:$E565))</f>
        <v/>
      </c>
      <c r="B565" s="34"/>
      <c r="C565" s="34"/>
      <c r="D565" s="34"/>
      <c r="E565" s="34"/>
      <c r="F565" s="35"/>
      <c r="G565" s="34"/>
      <c r="H565" s="35"/>
      <c r="I565" s="34"/>
      <c r="J565" s="36"/>
      <c r="K565" s="36"/>
      <c r="L565" s="35"/>
      <c r="M565" s="34"/>
      <c r="N565" s="35"/>
      <c r="O565" s="36"/>
      <c r="P565" s="32" t="str">
        <f aca="false">IF($J565="","",$J565-WEEKDAY($J565,3))</f>
        <v/>
      </c>
      <c r="Q565" s="32" t="str">
        <f aca="false">IF($J565="","",IF($K565="",$J565,$K565))</f>
        <v/>
      </c>
      <c r="R565" s="28" t="str">
        <f aca="false">IF($E565="","",IF(OR($N565&lt;&gt;"Concluída",$O565="",$J565=""),0,IF($O565&lt;=$J565,1,0)))</f>
        <v/>
      </c>
      <c r="S565" s="28" t="str">
        <f aca="false">IF($E565="","",IF(OR($N565&lt;&gt;"Concluída",$O565="",$Q565=""),0,IF($O565&lt;=$Q565,1,0)))</f>
        <v/>
      </c>
      <c r="T565" s="28" t="str">
        <f aca="false">IF(OR($J565="",$N565&lt;&gt;"Concluída",$O565=""),"",MAX(0,$O565-$J565))</f>
        <v/>
      </c>
      <c r="U565" s="33" t="str">
        <f aca="true">IF($E565="","",IF($N565="Cancelada","Cancelada",IF($N565="Concluída",IF($R565=1,"No prazo","Concluída com atraso"),IF($J565="","Na carteira",IF($J565&lt;TODAY(),"VENCIDA",IF($J565=TODAY(),"Hoje","Programada"))))))</f>
        <v/>
      </c>
    </row>
    <row r="566" customFormat="false" ht="15.75" hidden="false" customHeight="true" outlineLevel="0" collapsed="false">
      <c r="A566" s="28" t="str">
        <f aca="false">IF($E566="","",COUNTA($E$4:$E566))</f>
        <v/>
      </c>
      <c r="B566" s="29"/>
      <c r="C566" s="29"/>
      <c r="D566" s="29"/>
      <c r="E566" s="29"/>
      <c r="F566" s="30"/>
      <c r="G566" s="29"/>
      <c r="H566" s="30"/>
      <c r="I566" s="29"/>
      <c r="J566" s="31"/>
      <c r="K566" s="31"/>
      <c r="L566" s="30"/>
      <c r="M566" s="29"/>
      <c r="N566" s="30"/>
      <c r="O566" s="31"/>
      <c r="P566" s="32" t="str">
        <f aca="false">IF($J566="","",$J566-WEEKDAY($J566,3))</f>
        <v/>
      </c>
      <c r="Q566" s="32" t="str">
        <f aca="false">IF($J566="","",IF($K566="",$J566,$K566))</f>
        <v/>
      </c>
      <c r="R566" s="28" t="str">
        <f aca="false">IF($E566="","",IF(OR($N566&lt;&gt;"Concluída",$O566="",$J566=""),0,IF($O566&lt;=$J566,1,0)))</f>
        <v/>
      </c>
      <c r="S566" s="28" t="str">
        <f aca="false">IF($E566="","",IF(OR($N566&lt;&gt;"Concluída",$O566="",$Q566=""),0,IF($O566&lt;=$Q566,1,0)))</f>
        <v/>
      </c>
      <c r="T566" s="28" t="str">
        <f aca="false">IF(OR($J566="",$N566&lt;&gt;"Concluída",$O566=""),"",MAX(0,$O566-$J566))</f>
        <v/>
      </c>
      <c r="U566" s="33" t="str">
        <f aca="true">IF($E566="","",IF($N566="Cancelada","Cancelada",IF($N566="Concluída",IF($R566=1,"No prazo","Concluída com atraso"),IF($J566="","Na carteira",IF($J566&lt;TODAY(),"VENCIDA",IF($J566=TODAY(),"Hoje","Programada"))))))</f>
        <v/>
      </c>
    </row>
    <row r="567" customFormat="false" ht="15.75" hidden="false" customHeight="true" outlineLevel="0" collapsed="false">
      <c r="A567" s="28" t="str">
        <f aca="false">IF($E567="","",COUNTA($E$4:$E567))</f>
        <v/>
      </c>
      <c r="B567" s="34"/>
      <c r="C567" s="34"/>
      <c r="D567" s="34"/>
      <c r="E567" s="34"/>
      <c r="F567" s="35"/>
      <c r="G567" s="34"/>
      <c r="H567" s="35"/>
      <c r="I567" s="34"/>
      <c r="J567" s="36"/>
      <c r="K567" s="36"/>
      <c r="L567" s="35"/>
      <c r="M567" s="34"/>
      <c r="N567" s="35"/>
      <c r="O567" s="36"/>
      <c r="P567" s="32" t="str">
        <f aca="false">IF($J567="","",$J567-WEEKDAY($J567,3))</f>
        <v/>
      </c>
      <c r="Q567" s="32" t="str">
        <f aca="false">IF($J567="","",IF($K567="",$J567,$K567))</f>
        <v/>
      </c>
      <c r="R567" s="28" t="str">
        <f aca="false">IF($E567="","",IF(OR($N567&lt;&gt;"Concluída",$O567="",$J567=""),0,IF($O567&lt;=$J567,1,0)))</f>
        <v/>
      </c>
      <c r="S567" s="28" t="str">
        <f aca="false">IF($E567="","",IF(OR($N567&lt;&gt;"Concluída",$O567="",$Q567=""),0,IF($O567&lt;=$Q567,1,0)))</f>
        <v/>
      </c>
      <c r="T567" s="28" t="str">
        <f aca="false">IF(OR($J567="",$N567&lt;&gt;"Concluída",$O567=""),"",MAX(0,$O567-$J567))</f>
        <v/>
      </c>
      <c r="U567" s="33" t="str">
        <f aca="true">IF($E567="","",IF($N567="Cancelada","Cancelada",IF($N567="Concluída",IF($R567=1,"No prazo","Concluída com atraso"),IF($J567="","Na carteira",IF($J567&lt;TODAY(),"VENCIDA",IF($J567=TODAY(),"Hoje","Programada"))))))</f>
        <v/>
      </c>
    </row>
    <row r="568" customFormat="false" ht="15.75" hidden="false" customHeight="true" outlineLevel="0" collapsed="false">
      <c r="A568" s="28" t="str">
        <f aca="false">IF($E568="","",COUNTA($E$4:$E568))</f>
        <v/>
      </c>
      <c r="B568" s="29"/>
      <c r="C568" s="29"/>
      <c r="D568" s="29"/>
      <c r="E568" s="29"/>
      <c r="F568" s="30"/>
      <c r="G568" s="29"/>
      <c r="H568" s="30"/>
      <c r="I568" s="29"/>
      <c r="J568" s="31"/>
      <c r="K568" s="31"/>
      <c r="L568" s="30"/>
      <c r="M568" s="29"/>
      <c r="N568" s="30"/>
      <c r="O568" s="31"/>
      <c r="P568" s="32" t="str">
        <f aca="false">IF($J568="","",$J568-WEEKDAY($J568,3))</f>
        <v/>
      </c>
      <c r="Q568" s="32" t="str">
        <f aca="false">IF($J568="","",IF($K568="",$J568,$K568))</f>
        <v/>
      </c>
      <c r="R568" s="28" t="str">
        <f aca="false">IF($E568="","",IF(OR($N568&lt;&gt;"Concluída",$O568="",$J568=""),0,IF($O568&lt;=$J568,1,0)))</f>
        <v/>
      </c>
      <c r="S568" s="28" t="str">
        <f aca="false">IF($E568="","",IF(OR($N568&lt;&gt;"Concluída",$O568="",$Q568=""),0,IF($O568&lt;=$Q568,1,0)))</f>
        <v/>
      </c>
      <c r="T568" s="28" t="str">
        <f aca="false">IF(OR($J568="",$N568&lt;&gt;"Concluída",$O568=""),"",MAX(0,$O568-$J568))</f>
        <v/>
      </c>
      <c r="U568" s="33" t="str">
        <f aca="true">IF($E568="","",IF($N568="Cancelada","Cancelada",IF($N568="Concluída",IF($R568=1,"No prazo","Concluída com atraso"),IF($J568="","Na carteira",IF($J568&lt;TODAY(),"VENCIDA",IF($J568=TODAY(),"Hoje","Programada"))))))</f>
        <v/>
      </c>
    </row>
    <row r="569" customFormat="false" ht="15.75" hidden="false" customHeight="true" outlineLevel="0" collapsed="false">
      <c r="A569" s="28" t="str">
        <f aca="false">IF($E569="","",COUNTA($E$4:$E569))</f>
        <v/>
      </c>
      <c r="B569" s="34"/>
      <c r="C569" s="34"/>
      <c r="D569" s="34"/>
      <c r="E569" s="34"/>
      <c r="F569" s="35"/>
      <c r="G569" s="34"/>
      <c r="H569" s="35"/>
      <c r="I569" s="34"/>
      <c r="J569" s="36"/>
      <c r="K569" s="36"/>
      <c r="L569" s="35"/>
      <c r="M569" s="34"/>
      <c r="N569" s="35"/>
      <c r="O569" s="36"/>
      <c r="P569" s="32" t="str">
        <f aca="false">IF($J569="","",$J569-WEEKDAY($J569,3))</f>
        <v/>
      </c>
      <c r="Q569" s="32" t="str">
        <f aca="false">IF($J569="","",IF($K569="",$J569,$K569))</f>
        <v/>
      </c>
      <c r="R569" s="28" t="str">
        <f aca="false">IF($E569="","",IF(OR($N569&lt;&gt;"Concluída",$O569="",$J569=""),0,IF($O569&lt;=$J569,1,0)))</f>
        <v/>
      </c>
      <c r="S569" s="28" t="str">
        <f aca="false">IF($E569="","",IF(OR($N569&lt;&gt;"Concluída",$O569="",$Q569=""),0,IF($O569&lt;=$Q569,1,0)))</f>
        <v/>
      </c>
      <c r="T569" s="28" t="str">
        <f aca="false">IF(OR($J569="",$N569&lt;&gt;"Concluída",$O569=""),"",MAX(0,$O569-$J569))</f>
        <v/>
      </c>
      <c r="U569" s="33" t="str">
        <f aca="true">IF($E569="","",IF($N569="Cancelada","Cancelada",IF($N569="Concluída",IF($R569=1,"No prazo","Concluída com atraso"),IF($J569="","Na carteira",IF($J569&lt;TODAY(),"VENCIDA",IF($J569=TODAY(),"Hoje","Programada"))))))</f>
        <v/>
      </c>
    </row>
    <row r="570" customFormat="false" ht="15.75" hidden="false" customHeight="true" outlineLevel="0" collapsed="false">
      <c r="A570" s="28" t="str">
        <f aca="false">IF($E570="","",COUNTA($E$4:$E570))</f>
        <v/>
      </c>
      <c r="B570" s="29"/>
      <c r="C570" s="29"/>
      <c r="D570" s="29"/>
      <c r="E570" s="29"/>
      <c r="F570" s="30"/>
      <c r="G570" s="29"/>
      <c r="H570" s="30"/>
      <c r="I570" s="29"/>
      <c r="J570" s="31"/>
      <c r="K570" s="31"/>
      <c r="L570" s="30"/>
      <c r="M570" s="29"/>
      <c r="N570" s="30"/>
      <c r="O570" s="31"/>
      <c r="P570" s="32" t="str">
        <f aca="false">IF($J570="","",$J570-WEEKDAY($J570,3))</f>
        <v/>
      </c>
      <c r="Q570" s="32" t="str">
        <f aca="false">IF($J570="","",IF($K570="",$J570,$K570))</f>
        <v/>
      </c>
      <c r="R570" s="28" t="str">
        <f aca="false">IF($E570="","",IF(OR($N570&lt;&gt;"Concluída",$O570="",$J570=""),0,IF($O570&lt;=$J570,1,0)))</f>
        <v/>
      </c>
      <c r="S570" s="28" t="str">
        <f aca="false">IF($E570="","",IF(OR($N570&lt;&gt;"Concluída",$O570="",$Q570=""),0,IF($O570&lt;=$Q570,1,0)))</f>
        <v/>
      </c>
      <c r="T570" s="28" t="str">
        <f aca="false">IF(OR($J570="",$N570&lt;&gt;"Concluída",$O570=""),"",MAX(0,$O570-$J570))</f>
        <v/>
      </c>
      <c r="U570" s="33" t="str">
        <f aca="true">IF($E570="","",IF($N570="Cancelada","Cancelada",IF($N570="Concluída",IF($R570=1,"No prazo","Concluída com atraso"),IF($J570="","Na carteira",IF($J570&lt;TODAY(),"VENCIDA",IF($J570=TODAY(),"Hoje","Programada"))))))</f>
        <v/>
      </c>
    </row>
    <row r="571" customFormat="false" ht="15.75" hidden="false" customHeight="true" outlineLevel="0" collapsed="false">
      <c r="A571" s="28" t="str">
        <f aca="false">IF($E571="","",COUNTA($E$4:$E571))</f>
        <v/>
      </c>
      <c r="B571" s="34"/>
      <c r="C571" s="34"/>
      <c r="D571" s="34"/>
      <c r="E571" s="34"/>
      <c r="F571" s="35"/>
      <c r="G571" s="34"/>
      <c r="H571" s="35"/>
      <c r="I571" s="34"/>
      <c r="J571" s="36"/>
      <c r="K571" s="36"/>
      <c r="L571" s="35"/>
      <c r="M571" s="34"/>
      <c r="N571" s="35"/>
      <c r="O571" s="36"/>
      <c r="P571" s="32" t="str">
        <f aca="false">IF($J571="","",$J571-WEEKDAY($J571,3))</f>
        <v/>
      </c>
      <c r="Q571" s="32" t="str">
        <f aca="false">IF($J571="","",IF($K571="",$J571,$K571))</f>
        <v/>
      </c>
      <c r="R571" s="28" t="str">
        <f aca="false">IF($E571="","",IF(OR($N571&lt;&gt;"Concluída",$O571="",$J571=""),0,IF($O571&lt;=$J571,1,0)))</f>
        <v/>
      </c>
      <c r="S571" s="28" t="str">
        <f aca="false">IF($E571="","",IF(OR($N571&lt;&gt;"Concluída",$O571="",$Q571=""),0,IF($O571&lt;=$Q571,1,0)))</f>
        <v/>
      </c>
      <c r="T571" s="28" t="str">
        <f aca="false">IF(OR($J571="",$N571&lt;&gt;"Concluída",$O571=""),"",MAX(0,$O571-$J571))</f>
        <v/>
      </c>
      <c r="U571" s="33" t="str">
        <f aca="true">IF($E571="","",IF($N571="Cancelada","Cancelada",IF($N571="Concluída",IF($R571=1,"No prazo","Concluída com atraso"),IF($J571="","Na carteira",IF($J571&lt;TODAY(),"VENCIDA",IF($J571=TODAY(),"Hoje","Programada"))))))</f>
        <v/>
      </c>
    </row>
    <row r="572" customFormat="false" ht="15.75" hidden="false" customHeight="true" outlineLevel="0" collapsed="false">
      <c r="A572" s="28" t="str">
        <f aca="false">IF($E572="","",COUNTA($E$4:$E572))</f>
        <v/>
      </c>
      <c r="B572" s="29"/>
      <c r="C572" s="29"/>
      <c r="D572" s="29"/>
      <c r="E572" s="29"/>
      <c r="F572" s="30"/>
      <c r="G572" s="29"/>
      <c r="H572" s="30"/>
      <c r="I572" s="29"/>
      <c r="J572" s="31"/>
      <c r="K572" s="31"/>
      <c r="L572" s="30"/>
      <c r="M572" s="29"/>
      <c r="N572" s="30"/>
      <c r="O572" s="31"/>
      <c r="P572" s="32" t="str">
        <f aca="false">IF($J572="","",$J572-WEEKDAY($J572,3))</f>
        <v/>
      </c>
      <c r="Q572" s="32" t="str">
        <f aca="false">IF($J572="","",IF($K572="",$J572,$K572))</f>
        <v/>
      </c>
      <c r="R572" s="28" t="str">
        <f aca="false">IF($E572="","",IF(OR($N572&lt;&gt;"Concluída",$O572="",$J572=""),0,IF($O572&lt;=$J572,1,0)))</f>
        <v/>
      </c>
      <c r="S572" s="28" t="str">
        <f aca="false">IF($E572="","",IF(OR($N572&lt;&gt;"Concluída",$O572="",$Q572=""),0,IF($O572&lt;=$Q572,1,0)))</f>
        <v/>
      </c>
      <c r="T572" s="28" t="str">
        <f aca="false">IF(OR($J572="",$N572&lt;&gt;"Concluída",$O572=""),"",MAX(0,$O572-$J572))</f>
        <v/>
      </c>
      <c r="U572" s="33" t="str">
        <f aca="true">IF($E572="","",IF($N572="Cancelada","Cancelada",IF($N572="Concluída",IF($R572=1,"No prazo","Concluída com atraso"),IF($J572="","Na carteira",IF($J572&lt;TODAY(),"VENCIDA",IF($J572=TODAY(),"Hoje","Programada"))))))</f>
        <v/>
      </c>
    </row>
    <row r="573" customFormat="false" ht="15.75" hidden="false" customHeight="true" outlineLevel="0" collapsed="false">
      <c r="A573" s="28" t="str">
        <f aca="false">IF($E573="","",COUNTA($E$4:$E573))</f>
        <v/>
      </c>
      <c r="B573" s="34"/>
      <c r="C573" s="34"/>
      <c r="D573" s="34"/>
      <c r="E573" s="34"/>
      <c r="F573" s="35"/>
      <c r="G573" s="34"/>
      <c r="H573" s="35"/>
      <c r="I573" s="34"/>
      <c r="J573" s="36"/>
      <c r="K573" s="36"/>
      <c r="L573" s="35"/>
      <c r="M573" s="34"/>
      <c r="N573" s="35"/>
      <c r="O573" s="36"/>
      <c r="P573" s="32" t="str">
        <f aca="false">IF($J573="","",$J573-WEEKDAY($J573,3))</f>
        <v/>
      </c>
      <c r="Q573" s="32" t="str">
        <f aca="false">IF($J573="","",IF($K573="",$J573,$K573))</f>
        <v/>
      </c>
      <c r="R573" s="28" t="str">
        <f aca="false">IF($E573="","",IF(OR($N573&lt;&gt;"Concluída",$O573="",$J573=""),0,IF($O573&lt;=$J573,1,0)))</f>
        <v/>
      </c>
      <c r="S573" s="28" t="str">
        <f aca="false">IF($E573="","",IF(OR($N573&lt;&gt;"Concluída",$O573="",$Q573=""),0,IF($O573&lt;=$Q573,1,0)))</f>
        <v/>
      </c>
      <c r="T573" s="28" t="str">
        <f aca="false">IF(OR($J573="",$N573&lt;&gt;"Concluída",$O573=""),"",MAX(0,$O573-$J573))</f>
        <v/>
      </c>
      <c r="U573" s="33" t="str">
        <f aca="true">IF($E573="","",IF($N573="Cancelada","Cancelada",IF($N573="Concluída",IF($R573=1,"No prazo","Concluída com atraso"),IF($J573="","Na carteira",IF($J573&lt;TODAY(),"VENCIDA",IF($J573=TODAY(),"Hoje","Programada"))))))</f>
        <v/>
      </c>
    </row>
    <row r="574" customFormat="false" ht="15.75" hidden="false" customHeight="true" outlineLevel="0" collapsed="false">
      <c r="A574" s="28" t="str">
        <f aca="false">IF($E574="","",COUNTA($E$4:$E574))</f>
        <v/>
      </c>
      <c r="B574" s="29"/>
      <c r="C574" s="29"/>
      <c r="D574" s="29"/>
      <c r="E574" s="29"/>
      <c r="F574" s="30"/>
      <c r="G574" s="29"/>
      <c r="H574" s="30"/>
      <c r="I574" s="29"/>
      <c r="J574" s="31"/>
      <c r="K574" s="31"/>
      <c r="L574" s="30"/>
      <c r="M574" s="29"/>
      <c r="N574" s="30"/>
      <c r="O574" s="31"/>
      <c r="P574" s="32" t="str">
        <f aca="false">IF($J574="","",$J574-WEEKDAY($J574,3))</f>
        <v/>
      </c>
      <c r="Q574" s="32" t="str">
        <f aca="false">IF($J574="","",IF($K574="",$J574,$K574))</f>
        <v/>
      </c>
      <c r="R574" s="28" t="str">
        <f aca="false">IF($E574="","",IF(OR($N574&lt;&gt;"Concluída",$O574="",$J574=""),0,IF($O574&lt;=$J574,1,0)))</f>
        <v/>
      </c>
      <c r="S574" s="28" t="str">
        <f aca="false">IF($E574="","",IF(OR($N574&lt;&gt;"Concluída",$O574="",$Q574=""),0,IF($O574&lt;=$Q574,1,0)))</f>
        <v/>
      </c>
      <c r="T574" s="28" t="str">
        <f aca="false">IF(OR($J574="",$N574&lt;&gt;"Concluída",$O574=""),"",MAX(0,$O574-$J574))</f>
        <v/>
      </c>
      <c r="U574" s="33" t="str">
        <f aca="true">IF($E574="","",IF($N574="Cancelada","Cancelada",IF($N574="Concluída",IF($R574=1,"No prazo","Concluída com atraso"),IF($J574="","Na carteira",IF($J574&lt;TODAY(),"VENCIDA",IF($J574=TODAY(),"Hoje","Programada"))))))</f>
        <v/>
      </c>
    </row>
    <row r="575" customFormat="false" ht="15.75" hidden="false" customHeight="true" outlineLevel="0" collapsed="false">
      <c r="A575" s="28" t="str">
        <f aca="false">IF($E575="","",COUNTA($E$4:$E575))</f>
        <v/>
      </c>
      <c r="B575" s="34"/>
      <c r="C575" s="34"/>
      <c r="D575" s="34"/>
      <c r="E575" s="34"/>
      <c r="F575" s="35"/>
      <c r="G575" s="34"/>
      <c r="H575" s="35"/>
      <c r="I575" s="34"/>
      <c r="J575" s="36"/>
      <c r="K575" s="36"/>
      <c r="L575" s="35"/>
      <c r="M575" s="34"/>
      <c r="N575" s="35"/>
      <c r="O575" s="36"/>
      <c r="P575" s="32" t="str">
        <f aca="false">IF($J575="","",$J575-WEEKDAY($J575,3))</f>
        <v/>
      </c>
      <c r="Q575" s="32" t="str">
        <f aca="false">IF($J575="","",IF($K575="",$J575,$K575))</f>
        <v/>
      </c>
      <c r="R575" s="28" t="str">
        <f aca="false">IF($E575="","",IF(OR($N575&lt;&gt;"Concluída",$O575="",$J575=""),0,IF($O575&lt;=$J575,1,0)))</f>
        <v/>
      </c>
      <c r="S575" s="28" t="str">
        <f aca="false">IF($E575="","",IF(OR($N575&lt;&gt;"Concluída",$O575="",$Q575=""),0,IF($O575&lt;=$Q575,1,0)))</f>
        <v/>
      </c>
      <c r="T575" s="28" t="str">
        <f aca="false">IF(OR($J575="",$N575&lt;&gt;"Concluída",$O575=""),"",MAX(0,$O575-$J575))</f>
        <v/>
      </c>
      <c r="U575" s="33" t="str">
        <f aca="true">IF($E575="","",IF($N575="Cancelada","Cancelada",IF($N575="Concluída",IF($R575=1,"No prazo","Concluída com atraso"),IF($J575="","Na carteira",IF($J575&lt;TODAY(),"VENCIDA",IF($J575=TODAY(),"Hoje","Programada"))))))</f>
        <v/>
      </c>
    </row>
    <row r="576" customFormat="false" ht="15.75" hidden="false" customHeight="true" outlineLevel="0" collapsed="false">
      <c r="A576" s="28" t="str">
        <f aca="false">IF($E576="","",COUNTA($E$4:$E576))</f>
        <v/>
      </c>
      <c r="B576" s="29"/>
      <c r="C576" s="29"/>
      <c r="D576" s="29"/>
      <c r="E576" s="29"/>
      <c r="F576" s="30"/>
      <c r="G576" s="29"/>
      <c r="H576" s="30"/>
      <c r="I576" s="29"/>
      <c r="J576" s="31"/>
      <c r="K576" s="31"/>
      <c r="L576" s="30"/>
      <c r="M576" s="29"/>
      <c r="N576" s="30"/>
      <c r="O576" s="31"/>
      <c r="P576" s="32" t="str">
        <f aca="false">IF($J576="","",$J576-WEEKDAY($J576,3))</f>
        <v/>
      </c>
      <c r="Q576" s="32" t="str">
        <f aca="false">IF($J576="","",IF($K576="",$J576,$K576))</f>
        <v/>
      </c>
      <c r="R576" s="28" t="str">
        <f aca="false">IF($E576="","",IF(OR($N576&lt;&gt;"Concluída",$O576="",$J576=""),0,IF($O576&lt;=$J576,1,0)))</f>
        <v/>
      </c>
      <c r="S576" s="28" t="str">
        <f aca="false">IF($E576="","",IF(OR($N576&lt;&gt;"Concluída",$O576="",$Q576=""),0,IF($O576&lt;=$Q576,1,0)))</f>
        <v/>
      </c>
      <c r="T576" s="28" t="str">
        <f aca="false">IF(OR($J576="",$N576&lt;&gt;"Concluída",$O576=""),"",MAX(0,$O576-$J576))</f>
        <v/>
      </c>
      <c r="U576" s="33" t="str">
        <f aca="true">IF($E576="","",IF($N576="Cancelada","Cancelada",IF($N576="Concluída",IF($R576=1,"No prazo","Concluída com atraso"),IF($J576="","Na carteira",IF($J576&lt;TODAY(),"VENCIDA",IF($J576=TODAY(),"Hoje","Programada"))))))</f>
        <v/>
      </c>
    </row>
    <row r="577" customFormat="false" ht="15.75" hidden="false" customHeight="true" outlineLevel="0" collapsed="false">
      <c r="A577" s="28" t="str">
        <f aca="false">IF($E577="","",COUNTA($E$4:$E577))</f>
        <v/>
      </c>
      <c r="B577" s="34"/>
      <c r="C577" s="34"/>
      <c r="D577" s="34"/>
      <c r="E577" s="34"/>
      <c r="F577" s="35"/>
      <c r="G577" s="34"/>
      <c r="H577" s="35"/>
      <c r="I577" s="34"/>
      <c r="J577" s="36"/>
      <c r="K577" s="36"/>
      <c r="L577" s="35"/>
      <c r="M577" s="34"/>
      <c r="N577" s="35"/>
      <c r="O577" s="36"/>
      <c r="P577" s="32" t="str">
        <f aca="false">IF($J577="","",$J577-WEEKDAY($J577,3))</f>
        <v/>
      </c>
      <c r="Q577" s="32" t="str">
        <f aca="false">IF($J577="","",IF($K577="",$J577,$K577))</f>
        <v/>
      </c>
      <c r="R577" s="28" t="str">
        <f aca="false">IF($E577="","",IF(OR($N577&lt;&gt;"Concluída",$O577="",$J577=""),0,IF($O577&lt;=$J577,1,0)))</f>
        <v/>
      </c>
      <c r="S577" s="28" t="str">
        <f aca="false">IF($E577="","",IF(OR($N577&lt;&gt;"Concluída",$O577="",$Q577=""),0,IF($O577&lt;=$Q577,1,0)))</f>
        <v/>
      </c>
      <c r="T577" s="28" t="str">
        <f aca="false">IF(OR($J577="",$N577&lt;&gt;"Concluída",$O577=""),"",MAX(0,$O577-$J577))</f>
        <v/>
      </c>
      <c r="U577" s="33" t="str">
        <f aca="true">IF($E577="","",IF($N577="Cancelada","Cancelada",IF($N577="Concluída",IF($R577=1,"No prazo","Concluída com atraso"),IF($J577="","Na carteira",IF($J577&lt;TODAY(),"VENCIDA",IF($J577=TODAY(),"Hoje","Programada"))))))</f>
        <v/>
      </c>
    </row>
    <row r="578" customFormat="false" ht="15.75" hidden="false" customHeight="true" outlineLevel="0" collapsed="false">
      <c r="A578" s="28" t="str">
        <f aca="false">IF($E578="","",COUNTA($E$4:$E578))</f>
        <v/>
      </c>
      <c r="B578" s="29"/>
      <c r="C578" s="29"/>
      <c r="D578" s="29"/>
      <c r="E578" s="29"/>
      <c r="F578" s="30"/>
      <c r="G578" s="29"/>
      <c r="H578" s="30"/>
      <c r="I578" s="29"/>
      <c r="J578" s="31"/>
      <c r="K578" s="31"/>
      <c r="L578" s="30"/>
      <c r="M578" s="29"/>
      <c r="N578" s="30"/>
      <c r="O578" s="31"/>
      <c r="P578" s="32" t="str">
        <f aca="false">IF($J578="","",$J578-WEEKDAY($J578,3))</f>
        <v/>
      </c>
      <c r="Q578" s="32" t="str">
        <f aca="false">IF($J578="","",IF($K578="",$J578,$K578))</f>
        <v/>
      </c>
      <c r="R578" s="28" t="str">
        <f aca="false">IF($E578="","",IF(OR($N578&lt;&gt;"Concluída",$O578="",$J578=""),0,IF($O578&lt;=$J578,1,0)))</f>
        <v/>
      </c>
      <c r="S578" s="28" t="str">
        <f aca="false">IF($E578="","",IF(OR($N578&lt;&gt;"Concluída",$O578="",$Q578=""),0,IF($O578&lt;=$Q578,1,0)))</f>
        <v/>
      </c>
      <c r="T578" s="28" t="str">
        <f aca="false">IF(OR($J578="",$N578&lt;&gt;"Concluída",$O578=""),"",MAX(0,$O578-$J578))</f>
        <v/>
      </c>
      <c r="U578" s="33" t="str">
        <f aca="true">IF($E578="","",IF($N578="Cancelada","Cancelada",IF($N578="Concluída",IF($R578=1,"No prazo","Concluída com atraso"),IF($J578="","Na carteira",IF($J578&lt;TODAY(),"VENCIDA",IF($J578=TODAY(),"Hoje","Programada"))))))</f>
        <v/>
      </c>
    </row>
    <row r="579" customFormat="false" ht="15.75" hidden="false" customHeight="true" outlineLevel="0" collapsed="false">
      <c r="A579" s="28" t="str">
        <f aca="false">IF($E579="","",COUNTA($E$4:$E579))</f>
        <v/>
      </c>
      <c r="B579" s="34"/>
      <c r="C579" s="34"/>
      <c r="D579" s="34"/>
      <c r="E579" s="34"/>
      <c r="F579" s="35"/>
      <c r="G579" s="34"/>
      <c r="H579" s="35"/>
      <c r="I579" s="34"/>
      <c r="J579" s="36"/>
      <c r="K579" s="36"/>
      <c r="L579" s="35"/>
      <c r="M579" s="34"/>
      <c r="N579" s="35"/>
      <c r="O579" s="36"/>
      <c r="P579" s="32" t="str">
        <f aca="false">IF($J579="","",$J579-WEEKDAY($J579,3))</f>
        <v/>
      </c>
      <c r="Q579" s="32" t="str">
        <f aca="false">IF($J579="","",IF($K579="",$J579,$K579))</f>
        <v/>
      </c>
      <c r="R579" s="28" t="str">
        <f aca="false">IF($E579="","",IF(OR($N579&lt;&gt;"Concluída",$O579="",$J579=""),0,IF($O579&lt;=$J579,1,0)))</f>
        <v/>
      </c>
      <c r="S579" s="28" t="str">
        <f aca="false">IF($E579="","",IF(OR($N579&lt;&gt;"Concluída",$O579="",$Q579=""),0,IF($O579&lt;=$Q579,1,0)))</f>
        <v/>
      </c>
      <c r="T579" s="28" t="str">
        <f aca="false">IF(OR($J579="",$N579&lt;&gt;"Concluída",$O579=""),"",MAX(0,$O579-$J579))</f>
        <v/>
      </c>
      <c r="U579" s="33" t="str">
        <f aca="true">IF($E579="","",IF($N579="Cancelada","Cancelada",IF($N579="Concluída",IF($R579=1,"No prazo","Concluída com atraso"),IF($J579="","Na carteira",IF($J579&lt;TODAY(),"VENCIDA",IF($J579=TODAY(),"Hoje","Programada"))))))</f>
        <v/>
      </c>
    </row>
    <row r="580" customFormat="false" ht="15.75" hidden="false" customHeight="true" outlineLevel="0" collapsed="false">
      <c r="A580" s="28" t="str">
        <f aca="false">IF($E580="","",COUNTA($E$4:$E580))</f>
        <v/>
      </c>
      <c r="B580" s="29"/>
      <c r="C580" s="29"/>
      <c r="D580" s="29"/>
      <c r="E580" s="29"/>
      <c r="F580" s="30"/>
      <c r="G580" s="29"/>
      <c r="H580" s="30"/>
      <c r="I580" s="29"/>
      <c r="J580" s="31"/>
      <c r="K580" s="31"/>
      <c r="L580" s="30"/>
      <c r="M580" s="29"/>
      <c r="N580" s="30"/>
      <c r="O580" s="31"/>
      <c r="P580" s="32" t="str">
        <f aca="false">IF($J580="","",$J580-WEEKDAY($J580,3))</f>
        <v/>
      </c>
      <c r="Q580" s="32" t="str">
        <f aca="false">IF($J580="","",IF($K580="",$J580,$K580))</f>
        <v/>
      </c>
      <c r="R580" s="28" t="str">
        <f aca="false">IF($E580="","",IF(OR($N580&lt;&gt;"Concluída",$O580="",$J580=""),0,IF($O580&lt;=$J580,1,0)))</f>
        <v/>
      </c>
      <c r="S580" s="28" t="str">
        <f aca="false">IF($E580="","",IF(OR($N580&lt;&gt;"Concluída",$O580="",$Q580=""),0,IF($O580&lt;=$Q580,1,0)))</f>
        <v/>
      </c>
      <c r="T580" s="28" t="str">
        <f aca="false">IF(OR($J580="",$N580&lt;&gt;"Concluída",$O580=""),"",MAX(0,$O580-$J580))</f>
        <v/>
      </c>
      <c r="U580" s="33" t="str">
        <f aca="true">IF($E580="","",IF($N580="Cancelada","Cancelada",IF($N580="Concluída",IF($R580=1,"No prazo","Concluída com atraso"),IF($J580="","Na carteira",IF($J580&lt;TODAY(),"VENCIDA",IF($J580=TODAY(),"Hoje","Programada"))))))</f>
        <v/>
      </c>
    </row>
    <row r="581" customFormat="false" ht="15.75" hidden="false" customHeight="true" outlineLevel="0" collapsed="false">
      <c r="A581" s="28" t="str">
        <f aca="false">IF($E581="","",COUNTA($E$4:$E581))</f>
        <v/>
      </c>
      <c r="B581" s="34"/>
      <c r="C581" s="34"/>
      <c r="D581" s="34"/>
      <c r="E581" s="34"/>
      <c r="F581" s="35"/>
      <c r="G581" s="34"/>
      <c r="H581" s="35"/>
      <c r="I581" s="34"/>
      <c r="J581" s="36"/>
      <c r="K581" s="36"/>
      <c r="L581" s="35"/>
      <c r="M581" s="34"/>
      <c r="N581" s="35"/>
      <c r="O581" s="36"/>
      <c r="P581" s="32" t="str">
        <f aca="false">IF($J581="","",$J581-WEEKDAY($J581,3))</f>
        <v/>
      </c>
      <c r="Q581" s="32" t="str">
        <f aca="false">IF($J581="","",IF($K581="",$J581,$K581))</f>
        <v/>
      </c>
      <c r="R581" s="28" t="str">
        <f aca="false">IF($E581="","",IF(OR($N581&lt;&gt;"Concluída",$O581="",$J581=""),0,IF($O581&lt;=$J581,1,0)))</f>
        <v/>
      </c>
      <c r="S581" s="28" t="str">
        <f aca="false">IF($E581="","",IF(OR($N581&lt;&gt;"Concluída",$O581="",$Q581=""),0,IF($O581&lt;=$Q581,1,0)))</f>
        <v/>
      </c>
      <c r="T581" s="28" t="str">
        <f aca="false">IF(OR($J581="",$N581&lt;&gt;"Concluída",$O581=""),"",MAX(0,$O581-$J581))</f>
        <v/>
      </c>
      <c r="U581" s="33" t="str">
        <f aca="true">IF($E581="","",IF($N581="Cancelada","Cancelada",IF($N581="Concluída",IF($R581=1,"No prazo","Concluída com atraso"),IF($J581="","Na carteira",IF($J581&lt;TODAY(),"VENCIDA",IF($J581=TODAY(),"Hoje","Programada"))))))</f>
        <v/>
      </c>
    </row>
    <row r="582" customFormat="false" ht="15.75" hidden="false" customHeight="true" outlineLevel="0" collapsed="false">
      <c r="A582" s="28" t="str">
        <f aca="false">IF($E582="","",COUNTA($E$4:$E582))</f>
        <v/>
      </c>
      <c r="B582" s="29"/>
      <c r="C582" s="29"/>
      <c r="D582" s="29"/>
      <c r="E582" s="29"/>
      <c r="F582" s="30"/>
      <c r="G582" s="29"/>
      <c r="H582" s="30"/>
      <c r="I582" s="29"/>
      <c r="J582" s="31"/>
      <c r="K582" s="31"/>
      <c r="L582" s="30"/>
      <c r="M582" s="29"/>
      <c r="N582" s="30"/>
      <c r="O582" s="31"/>
      <c r="P582" s="32" t="str">
        <f aca="false">IF($J582="","",$J582-WEEKDAY($J582,3))</f>
        <v/>
      </c>
      <c r="Q582" s="32" t="str">
        <f aca="false">IF($J582="","",IF($K582="",$J582,$K582))</f>
        <v/>
      </c>
      <c r="R582" s="28" t="str">
        <f aca="false">IF($E582="","",IF(OR($N582&lt;&gt;"Concluída",$O582="",$J582=""),0,IF($O582&lt;=$J582,1,0)))</f>
        <v/>
      </c>
      <c r="S582" s="28" t="str">
        <f aca="false">IF($E582="","",IF(OR($N582&lt;&gt;"Concluída",$O582="",$Q582=""),0,IF($O582&lt;=$Q582,1,0)))</f>
        <v/>
      </c>
      <c r="T582" s="28" t="str">
        <f aca="false">IF(OR($J582="",$N582&lt;&gt;"Concluída",$O582=""),"",MAX(0,$O582-$J582))</f>
        <v/>
      </c>
      <c r="U582" s="33" t="str">
        <f aca="true">IF($E582="","",IF($N582="Cancelada","Cancelada",IF($N582="Concluída",IF($R582=1,"No prazo","Concluída com atraso"),IF($J582="","Na carteira",IF($J582&lt;TODAY(),"VENCIDA",IF($J582=TODAY(),"Hoje","Programada"))))))</f>
        <v/>
      </c>
    </row>
    <row r="583" customFormat="false" ht="15.75" hidden="false" customHeight="true" outlineLevel="0" collapsed="false">
      <c r="A583" s="28" t="str">
        <f aca="false">IF($E583="","",COUNTA($E$4:$E583))</f>
        <v/>
      </c>
      <c r="B583" s="34"/>
      <c r="C583" s="34"/>
      <c r="D583" s="34"/>
      <c r="E583" s="34"/>
      <c r="F583" s="35"/>
      <c r="G583" s="34"/>
      <c r="H583" s="35"/>
      <c r="I583" s="34"/>
      <c r="J583" s="36"/>
      <c r="K583" s="36"/>
      <c r="L583" s="35"/>
      <c r="M583" s="34"/>
      <c r="N583" s="35"/>
      <c r="O583" s="36"/>
      <c r="P583" s="32" t="str">
        <f aca="false">IF($J583="","",$J583-WEEKDAY($J583,3))</f>
        <v/>
      </c>
      <c r="Q583" s="32" t="str">
        <f aca="false">IF($J583="","",IF($K583="",$J583,$K583))</f>
        <v/>
      </c>
      <c r="R583" s="28" t="str">
        <f aca="false">IF($E583="","",IF(OR($N583&lt;&gt;"Concluída",$O583="",$J583=""),0,IF($O583&lt;=$J583,1,0)))</f>
        <v/>
      </c>
      <c r="S583" s="28" t="str">
        <f aca="false">IF($E583="","",IF(OR($N583&lt;&gt;"Concluída",$O583="",$Q583=""),0,IF($O583&lt;=$Q583,1,0)))</f>
        <v/>
      </c>
      <c r="T583" s="28" t="str">
        <f aca="false">IF(OR($J583="",$N583&lt;&gt;"Concluída",$O583=""),"",MAX(0,$O583-$J583))</f>
        <v/>
      </c>
      <c r="U583" s="33" t="str">
        <f aca="true">IF($E583="","",IF($N583="Cancelada","Cancelada",IF($N583="Concluída",IF($R583=1,"No prazo","Concluída com atraso"),IF($J583="","Na carteira",IF($J583&lt;TODAY(),"VENCIDA",IF($J583=TODAY(),"Hoje","Programada"))))))</f>
        <v/>
      </c>
    </row>
    <row r="584" customFormat="false" ht="15.75" hidden="false" customHeight="true" outlineLevel="0" collapsed="false">
      <c r="A584" s="28" t="str">
        <f aca="false">IF($E584="","",COUNTA($E$4:$E584))</f>
        <v/>
      </c>
      <c r="B584" s="29"/>
      <c r="C584" s="29"/>
      <c r="D584" s="29"/>
      <c r="E584" s="29"/>
      <c r="F584" s="30"/>
      <c r="G584" s="29"/>
      <c r="H584" s="30"/>
      <c r="I584" s="29"/>
      <c r="J584" s="31"/>
      <c r="K584" s="31"/>
      <c r="L584" s="30"/>
      <c r="M584" s="29"/>
      <c r="N584" s="30"/>
      <c r="O584" s="31"/>
      <c r="P584" s="32" t="str">
        <f aca="false">IF($J584="","",$J584-WEEKDAY($J584,3))</f>
        <v/>
      </c>
      <c r="Q584" s="32" t="str">
        <f aca="false">IF($J584="","",IF($K584="",$J584,$K584))</f>
        <v/>
      </c>
      <c r="R584" s="28" t="str">
        <f aca="false">IF($E584="","",IF(OR($N584&lt;&gt;"Concluída",$O584="",$J584=""),0,IF($O584&lt;=$J584,1,0)))</f>
        <v/>
      </c>
      <c r="S584" s="28" t="str">
        <f aca="false">IF($E584="","",IF(OR($N584&lt;&gt;"Concluída",$O584="",$Q584=""),0,IF($O584&lt;=$Q584,1,0)))</f>
        <v/>
      </c>
      <c r="T584" s="28" t="str">
        <f aca="false">IF(OR($J584="",$N584&lt;&gt;"Concluída",$O584=""),"",MAX(0,$O584-$J584))</f>
        <v/>
      </c>
      <c r="U584" s="33" t="str">
        <f aca="true">IF($E584="","",IF($N584="Cancelada","Cancelada",IF($N584="Concluída",IF($R584=1,"No prazo","Concluída com atraso"),IF($J584="","Na carteira",IF($J584&lt;TODAY(),"VENCIDA",IF($J584=TODAY(),"Hoje","Programada"))))))</f>
        <v/>
      </c>
    </row>
    <row r="585" customFormat="false" ht="15.75" hidden="false" customHeight="true" outlineLevel="0" collapsed="false">
      <c r="A585" s="28" t="str">
        <f aca="false">IF($E585="","",COUNTA($E$4:$E585))</f>
        <v/>
      </c>
      <c r="B585" s="34"/>
      <c r="C585" s="34"/>
      <c r="D585" s="34"/>
      <c r="E585" s="34"/>
      <c r="F585" s="35"/>
      <c r="G585" s="34"/>
      <c r="H585" s="35"/>
      <c r="I585" s="34"/>
      <c r="J585" s="36"/>
      <c r="K585" s="36"/>
      <c r="L585" s="35"/>
      <c r="M585" s="34"/>
      <c r="N585" s="35"/>
      <c r="O585" s="36"/>
      <c r="P585" s="32" t="str">
        <f aca="false">IF($J585="","",$J585-WEEKDAY($J585,3))</f>
        <v/>
      </c>
      <c r="Q585" s="32" t="str">
        <f aca="false">IF($J585="","",IF($K585="",$J585,$K585))</f>
        <v/>
      </c>
      <c r="R585" s="28" t="str">
        <f aca="false">IF($E585="","",IF(OR($N585&lt;&gt;"Concluída",$O585="",$J585=""),0,IF($O585&lt;=$J585,1,0)))</f>
        <v/>
      </c>
      <c r="S585" s="28" t="str">
        <f aca="false">IF($E585="","",IF(OR($N585&lt;&gt;"Concluída",$O585="",$Q585=""),0,IF($O585&lt;=$Q585,1,0)))</f>
        <v/>
      </c>
      <c r="T585" s="28" t="str">
        <f aca="false">IF(OR($J585="",$N585&lt;&gt;"Concluída",$O585=""),"",MAX(0,$O585-$J585))</f>
        <v/>
      </c>
      <c r="U585" s="33" t="str">
        <f aca="true">IF($E585="","",IF($N585="Cancelada","Cancelada",IF($N585="Concluída",IF($R585=1,"No prazo","Concluída com atraso"),IF($J585="","Na carteira",IF($J585&lt;TODAY(),"VENCIDA",IF($J585=TODAY(),"Hoje","Programada"))))))</f>
        <v/>
      </c>
    </row>
    <row r="586" customFormat="false" ht="15.75" hidden="false" customHeight="true" outlineLevel="0" collapsed="false">
      <c r="A586" s="28" t="str">
        <f aca="false">IF($E586="","",COUNTA($E$4:$E586))</f>
        <v/>
      </c>
      <c r="B586" s="29"/>
      <c r="C586" s="29"/>
      <c r="D586" s="29"/>
      <c r="E586" s="29"/>
      <c r="F586" s="30"/>
      <c r="G586" s="29"/>
      <c r="H586" s="30"/>
      <c r="I586" s="29"/>
      <c r="J586" s="31"/>
      <c r="K586" s="31"/>
      <c r="L586" s="30"/>
      <c r="M586" s="29"/>
      <c r="N586" s="30"/>
      <c r="O586" s="31"/>
      <c r="P586" s="32" t="str">
        <f aca="false">IF($J586="","",$J586-WEEKDAY($J586,3))</f>
        <v/>
      </c>
      <c r="Q586" s="32" t="str">
        <f aca="false">IF($J586="","",IF($K586="",$J586,$K586))</f>
        <v/>
      </c>
      <c r="R586" s="28" t="str">
        <f aca="false">IF($E586="","",IF(OR($N586&lt;&gt;"Concluída",$O586="",$J586=""),0,IF($O586&lt;=$J586,1,0)))</f>
        <v/>
      </c>
      <c r="S586" s="28" t="str">
        <f aca="false">IF($E586="","",IF(OR($N586&lt;&gt;"Concluída",$O586="",$Q586=""),0,IF($O586&lt;=$Q586,1,0)))</f>
        <v/>
      </c>
      <c r="T586" s="28" t="str">
        <f aca="false">IF(OR($J586="",$N586&lt;&gt;"Concluída",$O586=""),"",MAX(0,$O586-$J586))</f>
        <v/>
      </c>
      <c r="U586" s="33" t="str">
        <f aca="true">IF($E586="","",IF($N586="Cancelada","Cancelada",IF($N586="Concluída",IF($R586=1,"No prazo","Concluída com atraso"),IF($J586="","Na carteira",IF($J586&lt;TODAY(),"VENCIDA",IF($J586=TODAY(),"Hoje","Programada"))))))</f>
        <v/>
      </c>
    </row>
    <row r="587" customFormat="false" ht="15.75" hidden="false" customHeight="true" outlineLevel="0" collapsed="false">
      <c r="A587" s="28" t="str">
        <f aca="false">IF($E587="","",COUNTA($E$4:$E587))</f>
        <v/>
      </c>
      <c r="B587" s="34"/>
      <c r="C587" s="34"/>
      <c r="D587" s="34"/>
      <c r="E587" s="34"/>
      <c r="F587" s="35"/>
      <c r="G587" s="34"/>
      <c r="H587" s="35"/>
      <c r="I587" s="34"/>
      <c r="J587" s="36"/>
      <c r="K587" s="36"/>
      <c r="L587" s="35"/>
      <c r="M587" s="34"/>
      <c r="N587" s="35"/>
      <c r="O587" s="36"/>
      <c r="P587" s="32" t="str">
        <f aca="false">IF($J587="","",$J587-WEEKDAY($J587,3))</f>
        <v/>
      </c>
      <c r="Q587" s="32" t="str">
        <f aca="false">IF($J587="","",IF($K587="",$J587,$K587))</f>
        <v/>
      </c>
      <c r="R587" s="28" t="str">
        <f aca="false">IF($E587="","",IF(OR($N587&lt;&gt;"Concluída",$O587="",$J587=""),0,IF($O587&lt;=$J587,1,0)))</f>
        <v/>
      </c>
      <c r="S587" s="28" t="str">
        <f aca="false">IF($E587="","",IF(OR($N587&lt;&gt;"Concluída",$O587="",$Q587=""),0,IF($O587&lt;=$Q587,1,0)))</f>
        <v/>
      </c>
      <c r="T587" s="28" t="str">
        <f aca="false">IF(OR($J587="",$N587&lt;&gt;"Concluída",$O587=""),"",MAX(0,$O587-$J587))</f>
        <v/>
      </c>
      <c r="U587" s="33" t="str">
        <f aca="true">IF($E587="","",IF($N587="Cancelada","Cancelada",IF($N587="Concluída",IF($R587=1,"No prazo","Concluída com atraso"),IF($J587="","Na carteira",IF($J587&lt;TODAY(),"VENCIDA",IF($J587=TODAY(),"Hoje","Programada"))))))</f>
        <v/>
      </c>
    </row>
    <row r="588" customFormat="false" ht="15.75" hidden="false" customHeight="true" outlineLevel="0" collapsed="false">
      <c r="A588" s="28" t="str">
        <f aca="false">IF($E588="","",COUNTA($E$4:$E588))</f>
        <v/>
      </c>
      <c r="B588" s="29"/>
      <c r="C588" s="29"/>
      <c r="D588" s="29"/>
      <c r="E588" s="29"/>
      <c r="F588" s="30"/>
      <c r="G588" s="29"/>
      <c r="H588" s="30"/>
      <c r="I588" s="29"/>
      <c r="J588" s="31"/>
      <c r="K588" s="31"/>
      <c r="L588" s="30"/>
      <c r="M588" s="29"/>
      <c r="N588" s="30"/>
      <c r="O588" s="31"/>
      <c r="P588" s="32" t="str">
        <f aca="false">IF($J588="","",$J588-WEEKDAY($J588,3))</f>
        <v/>
      </c>
      <c r="Q588" s="32" t="str">
        <f aca="false">IF($J588="","",IF($K588="",$J588,$K588))</f>
        <v/>
      </c>
      <c r="R588" s="28" t="str">
        <f aca="false">IF($E588="","",IF(OR($N588&lt;&gt;"Concluída",$O588="",$J588=""),0,IF($O588&lt;=$J588,1,0)))</f>
        <v/>
      </c>
      <c r="S588" s="28" t="str">
        <f aca="false">IF($E588="","",IF(OR($N588&lt;&gt;"Concluída",$O588="",$Q588=""),0,IF($O588&lt;=$Q588,1,0)))</f>
        <v/>
      </c>
      <c r="T588" s="28" t="str">
        <f aca="false">IF(OR($J588="",$N588&lt;&gt;"Concluída",$O588=""),"",MAX(0,$O588-$J588))</f>
        <v/>
      </c>
      <c r="U588" s="33" t="str">
        <f aca="true">IF($E588="","",IF($N588="Cancelada","Cancelada",IF($N588="Concluída",IF($R588=1,"No prazo","Concluída com atraso"),IF($J588="","Na carteira",IF($J588&lt;TODAY(),"VENCIDA",IF($J588=TODAY(),"Hoje","Programada"))))))</f>
        <v/>
      </c>
    </row>
    <row r="589" customFormat="false" ht="15.75" hidden="false" customHeight="true" outlineLevel="0" collapsed="false">
      <c r="A589" s="28" t="str">
        <f aca="false">IF($E589="","",COUNTA($E$4:$E589))</f>
        <v/>
      </c>
      <c r="B589" s="34"/>
      <c r="C589" s="34"/>
      <c r="D589" s="34"/>
      <c r="E589" s="34"/>
      <c r="F589" s="35"/>
      <c r="G589" s="34"/>
      <c r="H589" s="35"/>
      <c r="I589" s="34"/>
      <c r="J589" s="36"/>
      <c r="K589" s="36"/>
      <c r="L589" s="35"/>
      <c r="M589" s="34"/>
      <c r="N589" s="35"/>
      <c r="O589" s="36"/>
      <c r="P589" s="32" t="str">
        <f aca="false">IF($J589="","",$J589-WEEKDAY($J589,3))</f>
        <v/>
      </c>
      <c r="Q589" s="32" t="str">
        <f aca="false">IF($J589="","",IF($K589="",$J589,$K589))</f>
        <v/>
      </c>
      <c r="R589" s="28" t="str">
        <f aca="false">IF($E589="","",IF(OR($N589&lt;&gt;"Concluída",$O589="",$J589=""),0,IF($O589&lt;=$J589,1,0)))</f>
        <v/>
      </c>
      <c r="S589" s="28" t="str">
        <f aca="false">IF($E589="","",IF(OR($N589&lt;&gt;"Concluída",$O589="",$Q589=""),0,IF($O589&lt;=$Q589,1,0)))</f>
        <v/>
      </c>
      <c r="T589" s="28" t="str">
        <f aca="false">IF(OR($J589="",$N589&lt;&gt;"Concluída",$O589=""),"",MAX(0,$O589-$J589))</f>
        <v/>
      </c>
      <c r="U589" s="33" t="str">
        <f aca="true">IF($E589="","",IF($N589="Cancelada","Cancelada",IF($N589="Concluída",IF($R589=1,"No prazo","Concluída com atraso"),IF($J589="","Na carteira",IF($J589&lt;TODAY(),"VENCIDA",IF($J589=TODAY(),"Hoje","Programada"))))))</f>
        <v/>
      </c>
    </row>
    <row r="590" customFormat="false" ht="15.75" hidden="false" customHeight="true" outlineLevel="0" collapsed="false">
      <c r="A590" s="28" t="str">
        <f aca="false">IF($E590="","",COUNTA($E$4:$E590))</f>
        <v/>
      </c>
      <c r="B590" s="29"/>
      <c r="C590" s="29"/>
      <c r="D590" s="29"/>
      <c r="E590" s="29"/>
      <c r="F590" s="30"/>
      <c r="G590" s="29"/>
      <c r="H590" s="30"/>
      <c r="I590" s="29"/>
      <c r="J590" s="31"/>
      <c r="K590" s="31"/>
      <c r="L590" s="30"/>
      <c r="M590" s="29"/>
      <c r="N590" s="30"/>
      <c r="O590" s="31"/>
      <c r="P590" s="32" t="str">
        <f aca="false">IF($J590="","",$J590-WEEKDAY($J590,3))</f>
        <v/>
      </c>
      <c r="Q590" s="32" t="str">
        <f aca="false">IF($J590="","",IF($K590="",$J590,$K590))</f>
        <v/>
      </c>
      <c r="R590" s="28" t="str">
        <f aca="false">IF($E590="","",IF(OR($N590&lt;&gt;"Concluída",$O590="",$J590=""),0,IF($O590&lt;=$J590,1,0)))</f>
        <v/>
      </c>
      <c r="S590" s="28" t="str">
        <f aca="false">IF($E590="","",IF(OR($N590&lt;&gt;"Concluída",$O590="",$Q590=""),0,IF($O590&lt;=$Q590,1,0)))</f>
        <v/>
      </c>
      <c r="T590" s="28" t="str">
        <f aca="false">IF(OR($J590="",$N590&lt;&gt;"Concluída",$O590=""),"",MAX(0,$O590-$J590))</f>
        <v/>
      </c>
      <c r="U590" s="33" t="str">
        <f aca="true">IF($E590="","",IF($N590="Cancelada","Cancelada",IF($N590="Concluída",IF($R590=1,"No prazo","Concluída com atraso"),IF($J590="","Na carteira",IF($J590&lt;TODAY(),"VENCIDA",IF($J590=TODAY(),"Hoje","Programada"))))))</f>
        <v/>
      </c>
    </row>
    <row r="591" customFormat="false" ht="15.75" hidden="false" customHeight="true" outlineLevel="0" collapsed="false">
      <c r="A591" s="28" t="str">
        <f aca="false">IF($E591="","",COUNTA($E$4:$E591))</f>
        <v/>
      </c>
      <c r="B591" s="34"/>
      <c r="C591" s="34"/>
      <c r="D591" s="34"/>
      <c r="E591" s="34"/>
      <c r="F591" s="35"/>
      <c r="G591" s="34"/>
      <c r="H591" s="35"/>
      <c r="I591" s="34"/>
      <c r="J591" s="36"/>
      <c r="K591" s="36"/>
      <c r="L591" s="35"/>
      <c r="M591" s="34"/>
      <c r="N591" s="35"/>
      <c r="O591" s="36"/>
      <c r="P591" s="32" t="str">
        <f aca="false">IF($J591="","",$J591-WEEKDAY($J591,3))</f>
        <v/>
      </c>
      <c r="Q591" s="32" t="str">
        <f aca="false">IF($J591="","",IF($K591="",$J591,$K591))</f>
        <v/>
      </c>
      <c r="R591" s="28" t="str">
        <f aca="false">IF($E591="","",IF(OR($N591&lt;&gt;"Concluída",$O591="",$J591=""),0,IF($O591&lt;=$J591,1,0)))</f>
        <v/>
      </c>
      <c r="S591" s="28" t="str">
        <f aca="false">IF($E591="","",IF(OR($N591&lt;&gt;"Concluída",$O591="",$Q591=""),0,IF($O591&lt;=$Q591,1,0)))</f>
        <v/>
      </c>
      <c r="T591" s="28" t="str">
        <f aca="false">IF(OR($J591="",$N591&lt;&gt;"Concluída",$O591=""),"",MAX(0,$O591-$J591))</f>
        <v/>
      </c>
      <c r="U591" s="33" t="str">
        <f aca="true">IF($E591="","",IF($N591="Cancelada","Cancelada",IF($N591="Concluída",IF($R591=1,"No prazo","Concluída com atraso"),IF($J591="","Na carteira",IF($J591&lt;TODAY(),"VENCIDA",IF($J591=TODAY(),"Hoje","Programada"))))))</f>
        <v/>
      </c>
    </row>
    <row r="592" customFormat="false" ht="15.75" hidden="false" customHeight="true" outlineLevel="0" collapsed="false">
      <c r="A592" s="28" t="str">
        <f aca="false">IF($E592="","",COUNTA($E$4:$E592))</f>
        <v/>
      </c>
      <c r="B592" s="29"/>
      <c r="C592" s="29"/>
      <c r="D592" s="29"/>
      <c r="E592" s="29"/>
      <c r="F592" s="30"/>
      <c r="G592" s="29"/>
      <c r="H592" s="30"/>
      <c r="I592" s="29"/>
      <c r="J592" s="31"/>
      <c r="K592" s="31"/>
      <c r="L592" s="30"/>
      <c r="M592" s="29"/>
      <c r="N592" s="30"/>
      <c r="O592" s="31"/>
      <c r="P592" s="32" t="str">
        <f aca="false">IF($J592="","",$J592-WEEKDAY($J592,3))</f>
        <v/>
      </c>
      <c r="Q592" s="32" t="str">
        <f aca="false">IF($J592="","",IF($K592="",$J592,$K592))</f>
        <v/>
      </c>
      <c r="R592" s="28" t="str">
        <f aca="false">IF($E592="","",IF(OR($N592&lt;&gt;"Concluída",$O592="",$J592=""),0,IF($O592&lt;=$J592,1,0)))</f>
        <v/>
      </c>
      <c r="S592" s="28" t="str">
        <f aca="false">IF($E592="","",IF(OR($N592&lt;&gt;"Concluída",$O592="",$Q592=""),0,IF($O592&lt;=$Q592,1,0)))</f>
        <v/>
      </c>
      <c r="T592" s="28" t="str">
        <f aca="false">IF(OR($J592="",$N592&lt;&gt;"Concluída",$O592=""),"",MAX(0,$O592-$J592))</f>
        <v/>
      </c>
      <c r="U592" s="33" t="str">
        <f aca="true">IF($E592="","",IF($N592="Cancelada","Cancelada",IF($N592="Concluída",IF($R592=1,"No prazo","Concluída com atraso"),IF($J592="","Na carteira",IF($J592&lt;TODAY(),"VENCIDA",IF($J592=TODAY(),"Hoje","Programada"))))))</f>
        <v/>
      </c>
    </row>
    <row r="593" customFormat="false" ht="15.75" hidden="false" customHeight="true" outlineLevel="0" collapsed="false">
      <c r="A593" s="28" t="str">
        <f aca="false">IF($E593="","",COUNTA($E$4:$E593))</f>
        <v/>
      </c>
      <c r="B593" s="34"/>
      <c r="C593" s="34"/>
      <c r="D593" s="34"/>
      <c r="E593" s="34"/>
      <c r="F593" s="35"/>
      <c r="G593" s="34"/>
      <c r="H593" s="35"/>
      <c r="I593" s="34"/>
      <c r="J593" s="36"/>
      <c r="K593" s="36"/>
      <c r="L593" s="35"/>
      <c r="M593" s="34"/>
      <c r="N593" s="35"/>
      <c r="O593" s="36"/>
      <c r="P593" s="32" t="str">
        <f aca="false">IF($J593="","",$J593-WEEKDAY($J593,3))</f>
        <v/>
      </c>
      <c r="Q593" s="32" t="str">
        <f aca="false">IF($J593="","",IF($K593="",$J593,$K593))</f>
        <v/>
      </c>
      <c r="R593" s="28" t="str">
        <f aca="false">IF($E593="","",IF(OR($N593&lt;&gt;"Concluída",$O593="",$J593=""),0,IF($O593&lt;=$J593,1,0)))</f>
        <v/>
      </c>
      <c r="S593" s="28" t="str">
        <f aca="false">IF($E593="","",IF(OR($N593&lt;&gt;"Concluída",$O593="",$Q593=""),0,IF($O593&lt;=$Q593,1,0)))</f>
        <v/>
      </c>
      <c r="T593" s="28" t="str">
        <f aca="false">IF(OR($J593="",$N593&lt;&gt;"Concluída",$O593=""),"",MAX(0,$O593-$J593))</f>
        <v/>
      </c>
      <c r="U593" s="33" t="str">
        <f aca="true">IF($E593="","",IF($N593="Cancelada","Cancelada",IF($N593="Concluída",IF($R593=1,"No prazo","Concluída com atraso"),IF($J593="","Na carteira",IF($J593&lt;TODAY(),"VENCIDA",IF($J593=TODAY(),"Hoje","Programada"))))))</f>
        <v/>
      </c>
    </row>
    <row r="594" customFormat="false" ht="15.75" hidden="false" customHeight="true" outlineLevel="0" collapsed="false">
      <c r="A594" s="28" t="str">
        <f aca="false">IF($E594="","",COUNTA($E$4:$E594))</f>
        <v/>
      </c>
      <c r="B594" s="29"/>
      <c r="C594" s="29"/>
      <c r="D594" s="29"/>
      <c r="E594" s="29"/>
      <c r="F594" s="30"/>
      <c r="G594" s="29"/>
      <c r="H594" s="30"/>
      <c r="I594" s="29"/>
      <c r="J594" s="31"/>
      <c r="K594" s="31"/>
      <c r="L594" s="30"/>
      <c r="M594" s="29"/>
      <c r="N594" s="30"/>
      <c r="O594" s="31"/>
      <c r="P594" s="32" t="str">
        <f aca="false">IF($J594="","",$J594-WEEKDAY($J594,3))</f>
        <v/>
      </c>
      <c r="Q594" s="32" t="str">
        <f aca="false">IF($J594="","",IF($K594="",$J594,$K594))</f>
        <v/>
      </c>
      <c r="R594" s="28" t="str">
        <f aca="false">IF($E594="","",IF(OR($N594&lt;&gt;"Concluída",$O594="",$J594=""),0,IF($O594&lt;=$J594,1,0)))</f>
        <v/>
      </c>
      <c r="S594" s="28" t="str">
        <f aca="false">IF($E594="","",IF(OR($N594&lt;&gt;"Concluída",$O594="",$Q594=""),0,IF($O594&lt;=$Q594,1,0)))</f>
        <v/>
      </c>
      <c r="T594" s="28" t="str">
        <f aca="false">IF(OR($J594="",$N594&lt;&gt;"Concluída",$O594=""),"",MAX(0,$O594-$J594))</f>
        <v/>
      </c>
      <c r="U594" s="33" t="str">
        <f aca="true">IF($E594="","",IF($N594="Cancelada","Cancelada",IF($N594="Concluída",IF($R594=1,"No prazo","Concluída com atraso"),IF($J594="","Na carteira",IF($J594&lt;TODAY(),"VENCIDA",IF($J594=TODAY(),"Hoje","Programada"))))))</f>
        <v/>
      </c>
    </row>
    <row r="595" customFormat="false" ht="15.75" hidden="false" customHeight="true" outlineLevel="0" collapsed="false">
      <c r="A595" s="28" t="str">
        <f aca="false">IF($E595="","",COUNTA($E$4:$E595))</f>
        <v/>
      </c>
      <c r="B595" s="34"/>
      <c r="C595" s="34"/>
      <c r="D595" s="34"/>
      <c r="E595" s="34"/>
      <c r="F595" s="35"/>
      <c r="G595" s="34"/>
      <c r="H595" s="35"/>
      <c r="I595" s="34"/>
      <c r="J595" s="36"/>
      <c r="K595" s="36"/>
      <c r="L595" s="35"/>
      <c r="M595" s="34"/>
      <c r="N595" s="35"/>
      <c r="O595" s="36"/>
      <c r="P595" s="32" t="str">
        <f aca="false">IF($J595="","",$J595-WEEKDAY($J595,3))</f>
        <v/>
      </c>
      <c r="Q595" s="32" t="str">
        <f aca="false">IF($J595="","",IF($K595="",$J595,$K595))</f>
        <v/>
      </c>
      <c r="R595" s="28" t="str">
        <f aca="false">IF($E595="","",IF(OR($N595&lt;&gt;"Concluída",$O595="",$J595=""),0,IF($O595&lt;=$J595,1,0)))</f>
        <v/>
      </c>
      <c r="S595" s="28" t="str">
        <f aca="false">IF($E595="","",IF(OR($N595&lt;&gt;"Concluída",$O595="",$Q595=""),0,IF($O595&lt;=$Q595,1,0)))</f>
        <v/>
      </c>
      <c r="T595" s="28" t="str">
        <f aca="false">IF(OR($J595="",$N595&lt;&gt;"Concluída",$O595=""),"",MAX(0,$O595-$J595))</f>
        <v/>
      </c>
      <c r="U595" s="33" t="str">
        <f aca="true">IF($E595="","",IF($N595="Cancelada","Cancelada",IF($N595="Concluída",IF($R595=1,"No prazo","Concluída com atraso"),IF($J595="","Na carteira",IF($J595&lt;TODAY(),"VENCIDA",IF($J595=TODAY(),"Hoje","Programada"))))))</f>
        <v/>
      </c>
    </row>
    <row r="596" customFormat="false" ht="15.75" hidden="false" customHeight="true" outlineLevel="0" collapsed="false">
      <c r="A596" s="28" t="str">
        <f aca="false">IF($E596="","",COUNTA($E$4:$E596))</f>
        <v/>
      </c>
      <c r="B596" s="29"/>
      <c r="C596" s="29"/>
      <c r="D596" s="29"/>
      <c r="E596" s="29"/>
      <c r="F596" s="30"/>
      <c r="G596" s="29"/>
      <c r="H596" s="30"/>
      <c r="I596" s="29"/>
      <c r="J596" s="31"/>
      <c r="K596" s="31"/>
      <c r="L596" s="30"/>
      <c r="M596" s="29"/>
      <c r="N596" s="30"/>
      <c r="O596" s="31"/>
      <c r="P596" s="32" t="str">
        <f aca="false">IF($J596="","",$J596-WEEKDAY($J596,3))</f>
        <v/>
      </c>
      <c r="Q596" s="32" t="str">
        <f aca="false">IF($J596="","",IF($K596="",$J596,$K596))</f>
        <v/>
      </c>
      <c r="R596" s="28" t="str">
        <f aca="false">IF($E596="","",IF(OR($N596&lt;&gt;"Concluída",$O596="",$J596=""),0,IF($O596&lt;=$J596,1,0)))</f>
        <v/>
      </c>
      <c r="S596" s="28" t="str">
        <f aca="false">IF($E596="","",IF(OR($N596&lt;&gt;"Concluída",$O596="",$Q596=""),0,IF($O596&lt;=$Q596,1,0)))</f>
        <v/>
      </c>
      <c r="T596" s="28" t="str">
        <f aca="false">IF(OR($J596="",$N596&lt;&gt;"Concluída",$O596=""),"",MAX(0,$O596-$J596))</f>
        <v/>
      </c>
      <c r="U596" s="33" t="str">
        <f aca="true">IF($E596="","",IF($N596="Cancelada","Cancelada",IF($N596="Concluída",IF($R596=1,"No prazo","Concluída com atraso"),IF($J596="","Na carteira",IF($J596&lt;TODAY(),"VENCIDA",IF($J596=TODAY(),"Hoje","Programada"))))))</f>
        <v/>
      </c>
    </row>
    <row r="597" customFormat="false" ht="15.75" hidden="false" customHeight="true" outlineLevel="0" collapsed="false">
      <c r="A597" s="28" t="str">
        <f aca="false">IF($E597="","",COUNTA($E$4:$E597))</f>
        <v/>
      </c>
      <c r="B597" s="34"/>
      <c r="C597" s="34"/>
      <c r="D597" s="34"/>
      <c r="E597" s="34"/>
      <c r="F597" s="35"/>
      <c r="G597" s="34"/>
      <c r="H597" s="35"/>
      <c r="I597" s="34"/>
      <c r="J597" s="36"/>
      <c r="K597" s="36"/>
      <c r="L597" s="35"/>
      <c r="M597" s="34"/>
      <c r="N597" s="35"/>
      <c r="O597" s="36"/>
      <c r="P597" s="32" t="str">
        <f aca="false">IF($J597="","",$J597-WEEKDAY($J597,3))</f>
        <v/>
      </c>
      <c r="Q597" s="32" t="str">
        <f aca="false">IF($J597="","",IF($K597="",$J597,$K597))</f>
        <v/>
      </c>
      <c r="R597" s="28" t="str">
        <f aca="false">IF($E597="","",IF(OR($N597&lt;&gt;"Concluída",$O597="",$J597=""),0,IF($O597&lt;=$J597,1,0)))</f>
        <v/>
      </c>
      <c r="S597" s="28" t="str">
        <f aca="false">IF($E597="","",IF(OR($N597&lt;&gt;"Concluída",$O597="",$Q597=""),0,IF($O597&lt;=$Q597,1,0)))</f>
        <v/>
      </c>
      <c r="T597" s="28" t="str">
        <f aca="false">IF(OR($J597="",$N597&lt;&gt;"Concluída",$O597=""),"",MAX(0,$O597-$J597))</f>
        <v/>
      </c>
      <c r="U597" s="33" t="str">
        <f aca="true">IF($E597="","",IF($N597="Cancelada","Cancelada",IF($N597="Concluída",IF($R597=1,"No prazo","Concluída com atraso"),IF($J597="","Na carteira",IF($J597&lt;TODAY(),"VENCIDA",IF($J597=TODAY(),"Hoje","Programada"))))))</f>
        <v/>
      </c>
    </row>
    <row r="598" customFormat="false" ht="15.75" hidden="false" customHeight="true" outlineLevel="0" collapsed="false">
      <c r="A598" s="28" t="str">
        <f aca="false">IF($E598="","",COUNTA($E$4:$E598))</f>
        <v/>
      </c>
      <c r="B598" s="29"/>
      <c r="C598" s="29"/>
      <c r="D598" s="29"/>
      <c r="E598" s="29"/>
      <c r="F598" s="30"/>
      <c r="G598" s="29"/>
      <c r="H598" s="30"/>
      <c r="I598" s="29"/>
      <c r="J598" s="31"/>
      <c r="K598" s="31"/>
      <c r="L598" s="30"/>
      <c r="M598" s="29"/>
      <c r="N598" s="30"/>
      <c r="O598" s="31"/>
      <c r="P598" s="32" t="str">
        <f aca="false">IF($J598="","",$J598-WEEKDAY($J598,3))</f>
        <v/>
      </c>
      <c r="Q598" s="32" t="str">
        <f aca="false">IF($J598="","",IF($K598="",$J598,$K598))</f>
        <v/>
      </c>
      <c r="R598" s="28" t="str">
        <f aca="false">IF($E598="","",IF(OR($N598&lt;&gt;"Concluída",$O598="",$J598=""),0,IF($O598&lt;=$J598,1,0)))</f>
        <v/>
      </c>
      <c r="S598" s="28" t="str">
        <f aca="false">IF($E598="","",IF(OR($N598&lt;&gt;"Concluída",$O598="",$Q598=""),0,IF($O598&lt;=$Q598,1,0)))</f>
        <v/>
      </c>
      <c r="T598" s="28" t="str">
        <f aca="false">IF(OR($J598="",$N598&lt;&gt;"Concluída",$O598=""),"",MAX(0,$O598-$J598))</f>
        <v/>
      </c>
      <c r="U598" s="33" t="str">
        <f aca="true">IF($E598="","",IF($N598="Cancelada","Cancelada",IF($N598="Concluída",IF($R598=1,"No prazo","Concluída com atraso"),IF($J598="","Na carteira",IF($J598&lt;TODAY(),"VENCIDA",IF($J598=TODAY(),"Hoje","Programada"))))))</f>
        <v/>
      </c>
    </row>
    <row r="599" customFormat="false" ht="15.75" hidden="false" customHeight="true" outlineLevel="0" collapsed="false">
      <c r="A599" s="28" t="str">
        <f aca="false">IF($E599="","",COUNTA($E$4:$E599))</f>
        <v/>
      </c>
      <c r="B599" s="34"/>
      <c r="C599" s="34"/>
      <c r="D599" s="34"/>
      <c r="E599" s="34"/>
      <c r="F599" s="35"/>
      <c r="G599" s="34"/>
      <c r="H599" s="35"/>
      <c r="I599" s="34"/>
      <c r="J599" s="36"/>
      <c r="K599" s="36"/>
      <c r="L599" s="35"/>
      <c r="M599" s="34"/>
      <c r="N599" s="35"/>
      <c r="O599" s="36"/>
      <c r="P599" s="32" t="str">
        <f aca="false">IF($J599="","",$J599-WEEKDAY($J599,3))</f>
        <v/>
      </c>
      <c r="Q599" s="32" t="str">
        <f aca="false">IF($J599="","",IF($K599="",$J599,$K599))</f>
        <v/>
      </c>
      <c r="R599" s="28" t="str">
        <f aca="false">IF($E599="","",IF(OR($N599&lt;&gt;"Concluída",$O599="",$J599=""),0,IF($O599&lt;=$J599,1,0)))</f>
        <v/>
      </c>
      <c r="S599" s="28" t="str">
        <f aca="false">IF($E599="","",IF(OR($N599&lt;&gt;"Concluída",$O599="",$Q599=""),0,IF($O599&lt;=$Q599,1,0)))</f>
        <v/>
      </c>
      <c r="T599" s="28" t="str">
        <f aca="false">IF(OR($J599="",$N599&lt;&gt;"Concluída",$O599=""),"",MAX(0,$O599-$J599))</f>
        <v/>
      </c>
      <c r="U599" s="33" t="str">
        <f aca="true">IF($E599="","",IF($N599="Cancelada","Cancelada",IF($N599="Concluída",IF($R599=1,"No prazo","Concluída com atraso"),IF($J599="","Na carteira",IF($J599&lt;TODAY(),"VENCIDA",IF($J599=TODAY(),"Hoje","Programada"))))))</f>
        <v/>
      </c>
    </row>
    <row r="600" customFormat="false" ht="15.75" hidden="false" customHeight="true" outlineLevel="0" collapsed="false">
      <c r="A600" s="28" t="str">
        <f aca="false">IF($E600="","",COUNTA($E$4:$E600))</f>
        <v/>
      </c>
      <c r="B600" s="29"/>
      <c r="C600" s="29"/>
      <c r="D600" s="29"/>
      <c r="E600" s="29"/>
      <c r="F600" s="30"/>
      <c r="G600" s="29"/>
      <c r="H600" s="30"/>
      <c r="I600" s="29"/>
      <c r="J600" s="31"/>
      <c r="K600" s="31"/>
      <c r="L600" s="30"/>
      <c r="M600" s="29"/>
      <c r="N600" s="30"/>
      <c r="O600" s="31"/>
      <c r="P600" s="32" t="str">
        <f aca="false">IF($J600="","",$J600-WEEKDAY($J600,3))</f>
        <v/>
      </c>
      <c r="Q600" s="32" t="str">
        <f aca="false">IF($J600="","",IF($K600="",$J600,$K600))</f>
        <v/>
      </c>
      <c r="R600" s="28" t="str">
        <f aca="false">IF($E600="","",IF(OR($N600&lt;&gt;"Concluída",$O600="",$J600=""),0,IF($O600&lt;=$J600,1,0)))</f>
        <v/>
      </c>
      <c r="S600" s="28" t="str">
        <f aca="false">IF($E600="","",IF(OR($N600&lt;&gt;"Concluída",$O600="",$Q600=""),0,IF($O600&lt;=$Q600,1,0)))</f>
        <v/>
      </c>
      <c r="T600" s="28" t="str">
        <f aca="false">IF(OR($J600="",$N600&lt;&gt;"Concluída",$O600=""),"",MAX(0,$O600-$J600))</f>
        <v/>
      </c>
      <c r="U600" s="33" t="str">
        <f aca="true">IF($E600="","",IF($N600="Cancelada","Cancelada",IF($N600="Concluída",IF($R600=1,"No prazo","Concluída com atraso"),IF($J600="","Na carteira",IF($J600&lt;TODAY(),"VENCIDA",IF($J600=TODAY(),"Hoje","Programada"))))))</f>
        <v/>
      </c>
    </row>
    <row r="601" customFormat="false" ht="15.75" hidden="false" customHeight="true" outlineLevel="0" collapsed="false">
      <c r="A601" s="28" t="str">
        <f aca="false">IF($E601="","",COUNTA($E$4:$E601))</f>
        <v/>
      </c>
      <c r="B601" s="34"/>
      <c r="C601" s="34"/>
      <c r="D601" s="34"/>
      <c r="E601" s="34"/>
      <c r="F601" s="35"/>
      <c r="G601" s="34"/>
      <c r="H601" s="35"/>
      <c r="I601" s="34"/>
      <c r="J601" s="36"/>
      <c r="K601" s="36"/>
      <c r="L601" s="35"/>
      <c r="M601" s="34"/>
      <c r="N601" s="35"/>
      <c r="O601" s="36"/>
      <c r="P601" s="32" t="str">
        <f aca="false">IF($J601="","",$J601-WEEKDAY($J601,3))</f>
        <v/>
      </c>
      <c r="Q601" s="32" t="str">
        <f aca="false">IF($J601="","",IF($K601="",$J601,$K601))</f>
        <v/>
      </c>
      <c r="R601" s="28" t="str">
        <f aca="false">IF($E601="","",IF(OR($N601&lt;&gt;"Concluída",$O601="",$J601=""),0,IF($O601&lt;=$J601,1,0)))</f>
        <v/>
      </c>
      <c r="S601" s="28" t="str">
        <f aca="false">IF($E601="","",IF(OR($N601&lt;&gt;"Concluída",$O601="",$Q601=""),0,IF($O601&lt;=$Q601,1,0)))</f>
        <v/>
      </c>
      <c r="T601" s="28" t="str">
        <f aca="false">IF(OR($J601="",$N601&lt;&gt;"Concluída",$O601=""),"",MAX(0,$O601-$J601))</f>
        <v/>
      </c>
      <c r="U601" s="33" t="str">
        <f aca="true">IF($E601="","",IF($N601="Cancelada","Cancelada",IF($N601="Concluída",IF($R601=1,"No prazo","Concluída com atraso"),IF($J601="","Na carteira",IF($J601&lt;TODAY(),"VENCIDA",IF($J601=TODAY(),"Hoje","Programada"))))))</f>
        <v/>
      </c>
    </row>
    <row r="602" customFormat="false" ht="15.75" hidden="false" customHeight="true" outlineLevel="0" collapsed="false">
      <c r="A602" s="28" t="str">
        <f aca="false">IF($E602="","",COUNTA($E$4:$E602))</f>
        <v/>
      </c>
      <c r="B602" s="29"/>
      <c r="C602" s="29"/>
      <c r="D602" s="29"/>
      <c r="E602" s="29"/>
      <c r="F602" s="30"/>
      <c r="G602" s="29"/>
      <c r="H602" s="30"/>
      <c r="I602" s="29"/>
      <c r="J602" s="31"/>
      <c r="K602" s="31"/>
      <c r="L602" s="30"/>
      <c r="M602" s="29"/>
      <c r="N602" s="30"/>
      <c r="O602" s="31"/>
      <c r="P602" s="32" t="str">
        <f aca="false">IF($J602="","",$J602-WEEKDAY($J602,3))</f>
        <v/>
      </c>
      <c r="Q602" s="32" t="str">
        <f aca="false">IF($J602="","",IF($K602="",$J602,$K602))</f>
        <v/>
      </c>
      <c r="R602" s="28" t="str">
        <f aca="false">IF($E602="","",IF(OR($N602&lt;&gt;"Concluída",$O602="",$J602=""),0,IF($O602&lt;=$J602,1,0)))</f>
        <v/>
      </c>
      <c r="S602" s="28" t="str">
        <f aca="false">IF($E602="","",IF(OR($N602&lt;&gt;"Concluída",$O602="",$Q602=""),0,IF($O602&lt;=$Q602,1,0)))</f>
        <v/>
      </c>
      <c r="T602" s="28" t="str">
        <f aca="false">IF(OR($J602="",$N602&lt;&gt;"Concluída",$O602=""),"",MAX(0,$O602-$J602))</f>
        <v/>
      </c>
      <c r="U602" s="33" t="str">
        <f aca="true">IF($E602="","",IF($N602="Cancelada","Cancelada",IF($N602="Concluída",IF($R602=1,"No prazo","Concluída com atraso"),IF($J602="","Na carteira",IF($J602&lt;TODAY(),"VENCIDA",IF($J602=TODAY(),"Hoje","Programada"))))))</f>
        <v/>
      </c>
    </row>
    <row r="603" customFormat="false" ht="15.75" hidden="false" customHeight="true" outlineLevel="0" collapsed="false">
      <c r="A603" s="28" t="str">
        <f aca="false">IF($E603="","",COUNTA($E$4:$E603))</f>
        <v/>
      </c>
      <c r="B603" s="34"/>
      <c r="C603" s="34"/>
      <c r="D603" s="34"/>
      <c r="E603" s="34"/>
      <c r="F603" s="35"/>
      <c r="G603" s="34"/>
      <c r="H603" s="35"/>
      <c r="I603" s="34"/>
      <c r="J603" s="36"/>
      <c r="K603" s="36"/>
      <c r="L603" s="35"/>
      <c r="M603" s="34"/>
      <c r="N603" s="35"/>
      <c r="O603" s="36"/>
      <c r="P603" s="32" t="str">
        <f aca="false">IF($J603="","",$J603-WEEKDAY($J603,3))</f>
        <v/>
      </c>
      <c r="Q603" s="32" t="str">
        <f aca="false">IF($J603="","",IF($K603="",$J603,$K603))</f>
        <v/>
      </c>
      <c r="R603" s="28" t="str">
        <f aca="false">IF($E603="","",IF(OR($N603&lt;&gt;"Concluída",$O603="",$J603=""),0,IF($O603&lt;=$J603,1,0)))</f>
        <v/>
      </c>
      <c r="S603" s="28" t="str">
        <f aca="false">IF($E603="","",IF(OR($N603&lt;&gt;"Concluída",$O603="",$Q603=""),0,IF($O603&lt;=$Q603,1,0)))</f>
        <v/>
      </c>
      <c r="T603" s="28" t="str">
        <f aca="false">IF(OR($J603="",$N603&lt;&gt;"Concluída",$O603=""),"",MAX(0,$O603-$J603))</f>
        <v/>
      </c>
      <c r="U603" s="33" t="str">
        <f aca="true">IF($E603="","",IF($N603="Cancelada","Cancelada",IF($N603="Concluída",IF($R603=1,"No prazo","Concluída com atraso"),IF($J603="","Na carteira",IF($J603&lt;TODAY(),"VENCIDA",IF($J603=TODAY(),"Hoje","Programada"))))))</f>
        <v/>
      </c>
    </row>
    <row r="604" customFormat="false" ht="15.75" hidden="false" customHeight="true" outlineLevel="0" collapsed="false">
      <c r="A604" s="28" t="str">
        <f aca="false">IF($E604="","",COUNTA($E$4:$E604))</f>
        <v/>
      </c>
      <c r="B604" s="29"/>
      <c r="C604" s="29"/>
      <c r="D604" s="29"/>
      <c r="E604" s="29"/>
      <c r="F604" s="30"/>
      <c r="G604" s="29"/>
      <c r="H604" s="30"/>
      <c r="I604" s="29"/>
      <c r="J604" s="31"/>
      <c r="K604" s="31"/>
      <c r="L604" s="30"/>
      <c r="M604" s="29"/>
      <c r="N604" s="30"/>
      <c r="O604" s="31"/>
      <c r="P604" s="32" t="str">
        <f aca="false">IF($J604="","",$J604-WEEKDAY($J604,3))</f>
        <v/>
      </c>
      <c r="Q604" s="32" t="str">
        <f aca="false">IF($J604="","",IF($K604="",$J604,$K604))</f>
        <v/>
      </c>
      <c r="R604" s="28" t="str">
        <f aca="false">IF($E604="","",IF(OR($N604&lt;&gt;"Concluída",$O604="",$J604=""),0,IF($O604&lt;=$J604,1,0)))</f>
        <v/>
      </c>
      <c r="S604" s="28" t="str">
        <f aca="false">IF($E604="","",IF(OR($N604&lt;&gt;"Concluída",$O604="",$Q604=""),0,IF($O604&lt;=$Q604,1,0)))</f>
        <v/>
      </c>
      <c r="T604" s="28" t="str">
        <f aca="false">IF(OR($J604="",$N604&lt;&gt;"Concluída",$O604=""),"",MAX(0,$O604-$J604))</f>
        <v/>
      </c>
      <c r="U604" s="33" t="str">
        <f aca="true">IF($E604="","",IF($N604="Cancelada","Cancelada",IF($N604="Concluída",IF($R604=1,"No prazo","Concluída com atraso"),IF($J604="","Na carteira",IF($J604&lt;TODAY(),"VENCIDA",IF($J604=TODAY(),"Hoje","Programada"))))))</f>
        <v/>
      </c>
    </row>
    <row r="605" customFormat="false" ht="15.75" hidden="false" customHeight="true" outlineLevel="0" collapsed="false">
      <c r="A605" s="28" t="str">
        <f aca="false">IF($E605="","",COUNTA($E$4:$E605))</f>
        <v/>
      </c>
      <c r="B605" s="34"/>
      <c r="C605" s="34"/>
      <c r="D605" s="34"/>
      <c r="E605" s="34"/>
      <c r="F605" s="35"/>
      <c r="G605" s="34"/>
      <c r="H605" s="35"/>
      <c r="I605" s="34"/>
      <c r="J605" s="36"/>
      <c r="K605" s="36"/>
      <c r="L605" s="35"/>
      <c r="M605" s="34"/>
      <c r="N605" s="35"/>
      <c r="O605" s="36"/>
      <c r="P605" s="32" t="str">
        <f aca="false">IF($J605="","",$J605-WEEKDAY($J605,3))</f>
        <v/>
      </c>
      <c r="Q605" s="32" t="str">
        <f aca="false">IF($J605="","",IF($K605="",$J605,$K605))</f>
        <v/>
      </c>
      <c r="R605" s="28" t="str">
        <f aca="false">IF($E605="","",IF(OR($N605&lt;&gt;"Concluída",$O605="",$J605=""),0,IF($O605&lt;=$J605,1,0)))</f>
        <v/>
      </c>
      <c r="S605" s="28" t="str">
        <f aca="false">IF($E605="","",IF(OR($N605&lt;&gt;"Concluída",$O605="",$Q605=""),0,IF($O605&lt;=$Q605,1,0)))</f>
        <v/>
      </c>
      <c r="T605" s="28" t="str">
        <f aca="false">IF(OR($J605="",$N605&lt;&gt;"Concluída",$O605=""),"",MAX(0,$O605-$J605))</f>
        <v/>
      </c>
      <c r="U605" s="33" t="str">
        <f aca="true">IF($E605="","",IF($N605="Cancelada","Cancelada",IF($N605="Concluída",IF($R605=1,"No prazo","Concluída com atraso"),IF($J605="","Na carteira",IF($J605&lt;TODAY(),"VENCIDA",IF($J605=TODAY(),"Hoje","Programada"))))))</f>
        <v/>
      </c>
    </row>
    <row r="606" customFormat="false" ht="15.75" hidden="false" customHeight="true" outlineLevel="0" collapsed="false">
      <c r="A606" s="28" t="str">
        <f aca="false">IF($E606="","",COUNTA($E$4:$E606))</f>
        <v/>
      </c>
      <c r="B606" s="29"/>
      <c r="C606" s="29"/>
      <c r="D606" s="29"/>
      <c r="E606" s="29"/>
      <c r="F606" s="30"/>
      <c r="G606" s="29"/>
      <c r="H606" s="30"/>
      <c r="I606" s="29"/>
      <c r="J606" s="31"/>
      <c r="K606" s="31"/>
      <c r="L606" s="30"/>
      <c r="M606" s="29"/>
      <c r="N606" s="30"/>
      <c r="O606" s="31"/>
      <c r="P606" s="32" t="str">
        <f aca="false">IF($J606="","",$J606-WEEKDAY($J606,3))</f>
        <v/>
      </c>
      <c r="Q606" s="32" t="str">
        <f aca="false">IF($J606="","",IF($K606="",$J606,$K606))</f>
        <v/>
      </c>
      <c r="R606" s="28" t="str">
        <f aca="false">IF($E606="","",IF(OR($N606&lt;&gt;"Concluída",$O606="",$J606=""),0,IF($O606&lt;=$J606,1,0)))</f>
        <v/>
      </c>
      <c r="S606" s="28" t="str">
        <f aca="false">IF($E606="","",IF(OR($N606&lt;&gt;"Concluída",$O606="",$Q606=""),0,IF($O606&lt;=$Q606,1,0)))</f>
        <v/>
      </c>
      <c r="T606" s="28" t="str">
        <f aca="false">IF(OR($J606="",$N606&lt;&gt;"Concluída",$O606=""),"",MAX(0,$O606-$J606))</f>
        <v/>
      </c>
      <c r="U606" s="33" t="str">
        <f aca="true">IF($E606="","",IF($N606="Cancelada","Cancelada",IF($N606="Concluída",IF($R606=1,"No prazo","Concluída com atraso"),IF($J606="","Na carteira",IF($J606&lt;TODAY(),"VENCIDA",IF($J606=TODAY(),"Hoje","Programada"))))))</f>
        <v/>
      </c>
    </row>
    <row r="607" customFormat="false" ht="15.75" hidden="false" customHeight="true" outlineLevel="0" collapsed="false">
      <c r="A607" s="28" t="str">
        <f aca="false">IF($E607="","",COUNTA($E$4:$E607))</f>
        <v/>
      </c>
      <c r="B607" s="34"/>
      <c r="C607" s="34"/>
      <c r="D607" s="34"/>
      <c r="E607" s="34"/>
      <c r="F607" s="35"/>
      <c r="G607" s="34"/>
      <c r="H607" s="35"/>
      <c r="I607" s="34"/>
      <c r="J607" s="36"/>
      <c r="K607" s="36"/>
      <c r="L607" s="35"/>
      <c r="M607" s="34"/>
      <c r="N607" s="35"/>
      <c r="O607" s="36"/>
      <c r="P607" s="32" t="str">
        <f aca="false">IF($J607="","",$J607-WEEKDAY($J607,3))</f>
        <v/>
      </c>
      <c r="Q607" s="32" t="str">
        <f aca="false">IF($J607="","",IF($K607="",$J607,$K607))</f>
        <v/>
      </c>
      <c r="R607" s="28" t="str">
        <f aca="false">IF($E607="","",IF(OR($N607&lt;&gt;"Concluída",$O607="",$J607=""),0,IF($O607&lt;=$J607,1,0)))</f>
        <v/>
      </c>
      <c r="S607" s="28" t="str">
        <f aca="false">IF($E607="","",IF(OR($N607&lt;&gt;"Concluída",$O607="",$Q607=""),0,IF($O607&lt;=$Q607,1,0)))</f>
        <v/>
      </c>
      <c r="T607" s="28" t="str">
        <f aca="false">IF(OR($J607="",$N607&lt;&gt;"Concluída",$O607=""),"",MAX(0,$O607-$J607))</f>
        <v/>
      </c>
      <c r="U607" s="33" t="str">
        <f aca="true">IF($E607="","",IF($N607="Cancelada","Cancelada",IF($N607="Concluída",IF($R607=1,"No prazo","Concluída com atraso"),IF($J607="","Na carteira",IF($J607&lt;TODAY(),"VENCIDA",IF($J607=TODAY(),"Hoje","Programada"))))))</f>
        <v/>
      </c>
    </row>
    <row r="608" customFormat="false" ht="15.75" hidden="false" customHeight="true" outlineLevel="0" collapsed="false">
      <c r="A608" s="28" t="str">
        <f aca="false">IF($E608="","",COUNTA($E$4:$E608))</f>
        <v/>
      </c>
      <c r="B608" s="29"/>
      <c r="C608" s="29"/>
      <c r="D608" s="29"/>
      <c r="E608" s="29"/>
      <c r="F608" s="30"/>
      <c r="G608" s="29"/>
      <c r="H608" s="30"/>
      <c r="I608" s="29"/>
      <c r="J608" s="31"/>
      <c r="K608" s="31"/>
      <c r="L608" s="30"/>
      <c r="M608" s="29"/>
      <c r="N608" s="30"/>
      <c r="O608" s="31"/>
      <c r="P608" s="32" t="str">
        <f aca="false">IF($J608="","",$J608-WEEKDAY($J608,3))</f>
        <v/>
      </c>
      <c r="Q608" s="32" t="str">
        <f aca="false">IF($J608="","",IF($K608="",$J608,$K608))</f>
        <v/>
      </c>
      <c r="R608" s="28" t="str">
        <f aca="false">IF($E608="","",IF(OR($N608&lt;&gt;"Concluída",$O608="",$J608=""),0,IF($O608&lt;=$J608,1,0)))</f>
        <v/>
      </c>
      <c r="S608" s="28" t="str">
        <f aca="false">IF($E608="","",IF(OR($N608&lt;&gt;"Concluída",$O608="",$Q608=""),0,IF($O608&lt;=$Q608,1,0)))</f>
        <v/>
      </c>
      <c r="T608" s="28" t="str">
        <f aca="false">IF(OR($J608="",$N608&lt;&gt;"Concluída",$O608=""),"",MAX(0,$O608-$J608))</f>
        <v/>
      </c>
      <c r="U608" s="33" t="str">
        <f aca="true">IF($E608="","",IF($N608="Cancelada","Cancelada",IF($N608="Concluída",IF($R608=1,"No prazo","Concluída com atraso"),IF($J608="","Na carteira",IF($J608&lt;TODAY(),"VENCIDA",IF($J608=TODAY(),"Hoje","Programada"))))))</f>
        <v/>
      </c>
    </row>
    <row r="609" customFormat="false" ht="15.75" hidden="false" customHeight="true" outlineLevel="0" collapsed="false">
      <c r="A609" s="28" t="str">
        <f aca="false">IF($E609="","",COUNTA($E$4:$E609))</f>
        <v/>
      </c>
      <c r="B609" s="34"/>
      <c r="C609" s="34"/>
      <c r="D609" s="34"/>
      <c r="E609" s="34"/>
      <c r="F609" s="35"/>
      <c r="G609" s="34"/>
      <c r="H609" s="35"/>
      <c r="I609" s="34"/>
      <c r="J609" s="36"/>
      <c r="K609" s="36"/>
      <c r="L609" s="35"/>
      <c r="M609" s="34"/>
      <c r="N609" s="35"/>
      <c r="O609" s="36"/>
      <c r="P609" s="32" t="str">
        <f aca="false">IF($J609="","",$J609-WEEKDAY($J609,3))</f>
        <v/>
      </c>
      <c r="Q609" s="32" t="str">
        <f aca="false">IF($J609="","",IF($K609="",$J609,$K609))</f>
        <v/>
      </c>
      <c r="R609" s="28" t="str">
        <f aca="false">IF($E609="","",IF(OR($N609&lt;&gt;"Concluída",$O609="",$J609=""),0,IF($O609&lt;=$J609,1,0)))</f>
        <v/>
      </c>
      <c r="S609" s="28" t="str">
        <f aca="false">IF($E609="","",IF(OR($N609&lt;&gt;"Concluída",$O609="",$Q609=""),0,IF($O609&lt;=$Q609,1,0)))</f>
        <v/>
      </c>
      <c r="T609" s="28" t="str">
        <f aca="false">IF(OR($J609="",$N609&lt;&gt;"Concluída",$O609=""),"",MAX(0,$O609-$J609))</f>
        <v/>
      </c>
      <c r="U609" s="33" t="str">
        <f aca="true">IF($E609="","",IF($N609="Cancelada","Cancelada",IF($N609="Concluída",IF($R609=1,"No prazo","Concluída com atraso"),IF($J609="","Na carteira",IF($J609&lt;TODAY(),"VENCIDA",IF($J609=TODAY(),"Hoje","Programada"))))))</f>
        <v/>
      </c>
    </row>
    <row r="610" customFormat="false" ht="15.75" hidden="false" customHeight="true" outlineLevel="0" collapsed="false">
      <c r="A610" s="28" t="str">
        <f aca="false">IF($E610="","",COUNTA($E$4:$E610))</f>
        <v/>
      </c>
      <c r="B610" s="29"/>
      <c r="C610" s="29"/>
      <c r="D610" s="29"/>
      <c r="E610" s="29"/>
      <c r="F610" s="30"/>
      <c r="G610" s="29"/>
      <c r="H610" s="30"/>
      <c r="I610" s="29"/>
      <c r="J610" s="31"/>
      <c r="K610" s="31"/>
      <c r="L610" s="30"/>
      <c r="M610" s="29"/>
      <c r="N610" s="30"/>
      <c r="O610" s="31"/>
      <c r="P610" s="32" t="str">
        <f aca="false">IF($J610="","",$J610-WEEKDAY($J610,3))</f>
        <v/>
      </c>
      <c r="Q610" s="32" t="str">
        <f aca="false">IF($J610="","",IF($K610="",$J610,$K610))</f>
        <v/>
      </c>
      <c r="R610" s="28" t="str">
        <f aca="false">IF($E610="","",IF(OR($N610&lt;&gt;"Concluída",$O610="",$J610=""),0,IF($O610&lt;=$J610,1,0)))</f>
        <v/>
      </c>
      <c r="S610" s="28" t="str">
        <f aca="false">IF($E610="","",IF(OR($N610&lt;&gt;"Concluída",$O610="",$Q610=""),0,IF($O610&lt;=$Q610,1,0)))</f>
        <v/>
      </c>
      <c r="T610" s="28" t="str">
        <f aca="false">IF(OR($J610="",$N610&lt;&gt;"Concluída",$O610=""),"",MAX(0,$O610-$J610))</f>
        <v/>
      </c>
      <c r="U610" s="33" t="str">
        <f aca="true">IF($E610="","",IF($N610="Cancelada","Cancelada",IF($N610="Concluída",IF($R610=1,"No prazo","Concluída com atraso"),IF($J610="","Na carteira",IF($J610&lt;TODAY(),"VENCIDA",IF($J610=TODAY(),"Hoje","Programada"))))))</f>
        <v/>
      </c>
    </row>
    <row r="611" customFormat="false" ht="15.75" hidden="false" customHeight="true" outlineLevel="0" collapsed="false">
      <c r="A611" s="28" t="str">
        <f aca="false">IF($E611="","",COUNTA($E$4:$E611))</f>
        <v/>
      </c>
      <c r="B611" s="34"/>
      <c r="C611" s="34"/>
      <c r="D611" s="34"/>
      <c r="E611" s="34"/>
      <c r="F611" s="35"/>
      <c r="G611" s="34"/>
      <c r="H611" s="35"/>
      <c r="I611" s="34"/>
      <c r="J611" s="36"/>
      <c r="K611" s="36"/>
      <c r="L611" s="35"/>
      <c r="M611" s="34"/>
      <c r="N611" s="35"/>
      <c r="O611" s="36"/>
      <c r="P611" s="32" t="str">
        <f aca="false">IF($J611="","",$J611-WEEKDAY($J611,3))</f>
        <v/>
      </c>
      <c r="Q611" s="32" t="str">
        <f aca="false">IF($J611="","",IF($K611="",$J611,$K611))</f>
        <v/>
      </c>
      <c r="R611" s="28" t="str">
        <f aca="false">IF($E611="","",IF(OR($N611&lt;&gt;"Concluída",$O611="",$J611=""),0,IF($O611&lt;=$J611,1,0)))</f>
        <v/>
      </c>
      <c r="S611" s="28" t="str">
        <f aca="false">IF($E611="","",IF(OR($N611&lt;&gt;"Concluída",$O611="",$Q611=""),0,IF($O611&lt;=$Q611,1,0)))</f>
        <v/>
      </c>
      <c r="T611" s="28" t="str">
        <f aca="false">IF(OR($J611="",$N611&lt;&gt;"Concluída",$O611=""),"",MAX(0,$O611-$J611))</f>
        <v/>
      </c>
      <c r="U611" s="33" t="str">
        <f aca="true">IF($E611="","",IF($N611="Cancelada","Cancelada",IF($N611="Concluída",IF($R611=1,"No prazo","Concluída com atraso"),IF($J611="","Na carteira",IF($J611&lt;TODAY(),"VENCIDA",IF($J611=TODAY(),"Hoje","Programada"))))))</f>
        <v/>
      </c>
    </row>
    <row r="612" customFormat="false" ht="15.75" hidden="false" customHeight="true" outlineLevel="0" collapsed="false">
      <c r="A612" s="28" t="str">
        <f aca="false">IF($E612="","",COUNTA($E$4:$E612))</f>
        <v/>
      </c>
      <c r="B612" s="29"/>
      <c r="C612" s="29"/>
      <c r="D612" s="29"/>
      <c r="E612" s="29"/>
      <c r="F612" s="30"/>
      <c r="G612" s="29"/>
      <c r="H612" s="30"/>
      <c r="I612" s="29"/>
      <c r="J612" s="31"/>
      <c r="K612" s="31"/>
      <c r="L612" s="30"/>
      <c r="M612" s="29"/>
      <c r="N612" s="30"/>
      <c r="O612" s="31"/>
      <c r="P612" s="32" t="str">
        <f aca="false">IF($J612="","",$J612-WEEKDAY($J612,3))</f>
        <v/>
      </c>
      <c r="Q612" s="32" t="str">
        <f aca="false">IF($J612="","",IF($K612="",$J612,$K612))</f>
        <v/>
      </c>
      <c r="R612" s="28" t="str">
        <f aca="false">IF($E612="","",IF(OR($N612&lt;&gt;"Concluída",$O612="",$J612=""),0,IF($O612&lt;=$J612,1,0)))</f>
        <v/>
      </c>
      <c r="S612" s="28" t="str">
        <f aca="false">IF($E612="","",IF(OR($N612&lt;&gt;"Concluída",$O612="",$Q612=""),0,IF($O612&lt;=$Q612,1,0)))</f>
        <v/>
      </c>
      <c r="T612" s="28" t="str">
        <f aca="false">IF(OR($J612="",$N612&lt;&gt;"Concluída",$O612=""),"",MAX(0,$O612-$J612))</f>
        <v/>
      </c>
      <c r="U612" s="33" t="str">
        <f aca="true">IF($E612="","",IF($N612="Cancelada","Cancelada",IF($N612="Concluída",IF($R612=1,"No prazo","Concluída com atraso"),IF($J612="","Na carteira",IF($J612&lt;TODAY(),"VENCIDA",IF($J612=TODAY(),"Hoje","Programada"))))))</f>
        <v/>
      </c>
    </row>
    <row r="613" customFormat="false" ht="15.75" hidden="false" customHeight="true" outlineLevel="0" collapsed="false">
      <c r="A613" s="28" t="str">
        <f aca="false">IF($E613="","",COUNTA($E$4:$E613))</f>
        <v/>
      </c>
      <c r="B613" s="34"/>
      <c r="C613" s="34"/>
      <c r="D613" s="34"/>
      <c r="E613" s="34"/>
      <c r="F613" s="35"/>
      <c r="G613" s="34"/>
      <c r="H613" s="35"/>
      <c r="I613" s="34"/>
      <c r="J613" s="36"/>
      <c r="K613" s="36"/>
      <c r="L613" s="35"/>
      <c r="M613" s="34"/>
      <c r="N613" s="35"/>
      <c r="O613" s="36"/>
      <c r="P613" s="32" t="str">
        <f aca="false">IF($J613="","",$J613-WEEKDAY($J613,3))</f>
        <v/>
      </c>
      <c r="Q613" s="32" t="str">
        <f aca="false">IF($J613="","",IF($K613="",$J613,$K613))</f>
        <v/>
      </c>
      <c r="R613" s="28" t="str">
        <f aca="false">IF($E613="","",IF(OR($N613&lt;&gt;"Concluída",$O613="",$J613=""),0,IF($O613&lt;=$J613,1,0)))</f>
        <v/>
      </c>
      <c r="S613" s="28" t="str">
        <f aca="false">IF($E613="","",IF(OR($N613&lt;&gt;"Concluída",$O613="",$Q613=""),0,IF($O613&lt;=$Q613,1,0)))</f>
        <v/>
      </c>
      <c r="T613" s="28" t="str">
        <f aca="false">IF(OR($J613="",$N613&lt;&gt;"Concluída",$O613=""),"",MAX(0,$O613-$J613))</f>
        <v/>
      </c>
      <c r="U613" s="33" t="str">
        <f aca="true">IF($E613="","",IF($N613="Cancelada","Cancelada",IF($N613="Concluída",IF($R613=1,"No prazo","Concluída com atraso"),IF($J613="","Na carteira",IF($J613&lt;TODAY(),"VENCIDA",IF($J613=TODAY(),"Hoje","Programada"))))))</f>
        <v/>
      </c>
    </row>
    <row r="614" customFormat="false" ht="15.75" hidden="false" customHeight="true" outlineLevel="0" collapsed="false">
      <c r="A614" s="28" t="str">
        <f aca="false">IF($E614="","",COUNTA($E$4:$E614))</f>
        <v/>
      </c>
      <c r="B614" s="29"/>
      <c r="C614" s="29"/>
      <c r="D614" s="29"/>
      <c r="E614" s="29"/>
      <c r="F614" s="30"/>
      <c r="G614" s="29"/>
      <c r="H614" s="30"/>
      <c r="I614" s="29"/>
      <c r="J614" s="31"/>
      <c r="K614" s="31"/>
      <c r="L614" s="30"/>
      <c r="M614" s="29"/>
      <c r="N614" s="30"/>
      <c r="O614" s="31"/>
      <c r="P614" s="32" t="str">
        <f aca="false">IF($J614="","",$J614-WEEKDAY($J614,3))</f>
        <v/>
      </c>
      <c r="Q614" s="32" t="str">
        <f aca="false">IF($J614="","",IF($K614="",$J614,$K614))</f>
        <v/>
      </c>
      <c r="R614" s="28" t="str">
        <f aca="false">IF($E614="","",IF(OR($N614&lt;&gt;"Concluída",$O614="",$J614=""),0,IF($O614&lt;=$J614,1,0)))</f>
        <v/>
      </c>
      <c r="S614" s="28" t="str">
        <f aca="false">IF($E614="","",IF(OR($N614&lt;&gt;"Concluída",$O614="",$Q614=""),0,IF($O614&lt;=$Q614,1,0)))</f>
        <v/>
      </c>
      <c r="T614" s="28" t="str">
        <f aca="false">IF(OR($J614="",$N614&lt;&gt;"Concluída",$O614=""),"",MAX(0,$O614-$J614))</f>
        <v/>
      </c>
      <c r="U614" s="33" t="str">
        <f aca="true">IF($E614="","",IF($N614="Cancelada","Cancelada",IF($N614="Concluída",IF($R614=1,"No prazo","Concluída com atraso"),IF($J614="","Na carteira",IF($J614&lt;TODAY(),"VENCIDA",IF($J614=TODAY(),"Hoje","Programada"))))))</f>
        <v/>
      </c>
    </row>
    <row r="615" customFormat="false" ht="15.75" hidden="false" customHeight="true" outlineLevel="0" collapsed="false">
      <c r="A615" s="28" t="str">
        <f aca="false">IF($E615="","",COUNTA($E$4:$E615))</f>
        <v/>
      </c>
      <c r="B615" s="34"/>
      <c r="C615" s="34"/>
      <c r="D615" s="34"/>
      <c r="E615" s="34"/>
      <c r="F615" s="35"/>
      <c r="G615" s="34"/>
      <c r="H615" s="35"/>
      <c r="I615" s="34"/>
      <c r="J615" s="36"/>
      <c r="K615" s="36"/>
      <c r="L615" s="35"/>
      <c r="M615" s="34"/>
      <c r="N615" s="35"/>
      <c r="O615" s="36"/>
      <c r="P615" s="32" t="str">
        <f aca="false">IF($J615="","",$J615-WEEKDAY($J615,3))</f>
        <v/>
      </c>
      <c r="Q615" s="32" t="str">
        <f aca="false">IF($J615="","",IF($K615="",$J615,$K615))</f>
        <v/>
      </c>
      <c r="R615" s="28" t="str">
        <f aca="false">IF($E615="","",IF(OR($N615&lt;&gt;"Concluída",$O615="",$J615=""),0,IF($O615&lt;=$J615,1,0)))</f>
        <v/>
      </c>
      <c r="S615" s="28" t="str">
        <f aca="false">IF($E615="","",IF(OR($N615&lt;&gt;"Concluída",$O615="",$Q615=""),0,IF($O615&lt;=$Q615,1,0)))</f>
        <v/>
      </c>
      <c r="T615" s="28" t="str">
        <f aca="false">IF(OR($J615="",$N615&lt;&gt;"Concluída",$O615=""),"",MAX(0,$O615-$J615))</f>
        <v/>
      </c>
      <c r="U615" s="33" t="str">
        <f aca="true">IF($E615="","",IF($N615="Cancelada","Cancelada",IF($N615="Concluída",IF($R615=1,"No prazo","Concluída com atraso"),IF($J615="","Na carteira",IF($J615&lt;TODAY(),"VENCIDA",IF($J615=TODAY(),"Hoje","Programada"))))))</f>
        <v/>
      </c>
    </row>
    <row r="616" customFormat="false" ht="15.75" hidden="false" customHeight="true" outlineLevel="0" collapsed="false">
      <c r="A616" s="28" t="str">
        <f aca="false">IF($E616="","",COUNTA($E$4:$E616))</f>
        <v/>
      </c>
      <c r="B616" s="29"/>
      <c r="C616" s="29"/>
      <c r="D616" s="29"/>
      <c r="E616" s="29"/>
      <c r="F616" s="30"/>
      <c r="G616" s="29"/>
      <c r="H616" s="30"/>
      <c r="I616" s="29"/>
      <c r="J616" s="31"/>
      <c r="K616" s="31"/>
      <c r="L616" s="30"/>
      <c r="M616" s="29"/>
      <c r="N616" s="30"/>
      <c r="O616" s="31"/>
      <c r="P616" s="32" t="str">
        <f aca="false">IF($J616="","",$J616-WEEKDAY($J616,3))</f>
        <v/>
      </c>
      <c r="Q616" s="32" t="str">
        <f aca="false">IF($J616="","",IF($K616="",$J616,$K616))</f>
        <v/>
      </c>
      <c r="R616" s="28" t="str">
        <f aca="false">IF($E616="","",IF(OR($N616&lt;&gt;"Concluída",$O616="",$J616=""),0,IF($O616&lt;=$J616,1,0)))</f>
        <v/>
      </c>
      <c r="S616" s="28" t="str">
        <f aca="false">IF($E616="","",IF(OR($N616&lt;&gt;"Concluída",$O616="",$Q616=""),0,IF($O616&lt;=$Q616,1,0)))</f>
        <v/>
      </c>
      <c r="T616" s="28" t="str">
        <f aca="false">IF(OR($J616="",$N616&lt;&gt;"Concluída",$O616=""),"",MAX(0,$O616-$J616))</f>
        <v/>
      </c>
      <c r="U616" s="33" t="str">
        <f aca="true">IF($E616="","",IF($N616="Cancelada","Cancelada",IF($N616="Concluída",IF($R616=1,"No prazo","Concluída com atraso"),IF($J616="","Na carteira",IF($J616&lt;TODAY(),"VENCIDA",IF($J616=TODAY(),"Hoje","Programada"))))))</f>
        <v/>
      </c>
    </row>
    <row r="617" customFormat="false" ht="15.75" hidden="false" customHeight="true" outlineLevel="0" collapsed="false">
      <c r="A617" s="28" t="str">
        <f aca="false">IF($E617="","",COUNTA($E$4:$E617))</f>
        <v/>
      </c>
      <c r="B617" s="34"/>
      <c r="C617" s="34"/>
      <c r="D617" s="34"/>
      <c r="E617" s="34"/>
      <c r="F617" s="35"/>
      <c r="G617" s="34"/>
      <c r="H617" s="35"/>
      <c r="I617" s="34"/>
      <c r="J617" s="36"/>
      <c r="K617" s="36"/>
      <c r="L617" s="35"/>
      <c r="M617" s="34"/>
      <c r="N617" s="35"/>
      <c r="O617" s="36"/>
      <c r="P617" s="32" t="str">
        <f aca="false">IF($J617="","",$J617-WEEKDAY($J617,3))</f>
        <v/>
      </c>
      <c r="Q617" s="32" t="str">
        <f aca="false">IF($J617="","",IF($K617="",$J617,$K617))</f>
        <v/>
      </c>
      <c r="R617" s="28" t="str">
        <f aca="false">IF($E617="","",IF(OR($N617&lt;&gt;"Concluída",$O617="",$J617=""),0,IF($O617&lt;=$J617,1,0)))</f>
        <v/>
      </c>
      <c r="S617" s="28" t="str">
        <f aca="false">IF($E617="","",IF(OR($N617&lt;&gt;"Concluída",$O617="",$Q617=""),0,IF($O617&lt;=$Q617,1,0)))</f>
        <v/>
      </c>
      <c r="T617" s="28" t="str">
        <f aca="false">IF(OR($J617="",$N617&lt;&gt;"Concluída",$O617=""),"",MAX(0,$O617-$J617))</f>
        <v/>
      </c>
      <c r="U617" s="33" t="str">
        <f aca="true">IF($E617="","",IF($N617="Cancelada","Cancelada",IF($N617="Concluída",IF($R617=1,"No prazo","Concluída com atraso"),IF($J617="","Na carteira",IF($J617&lt;TODAY(),"VENCIDA",IF($J617=TODAY(),"Hoje","Programada"))))))</f>
        <v/>
      </c>
    </row>
    <row r="618" customFormat="false" ht="15.75" hidden="false" customHeight="true" outlineLevel="0" collapsed="false">
      <c r="A618" s="28" t="str">
        <f aca="false">IF($E618="","",COUNTA($E$4:$E618))</f>
        <v/>
      </c>
      <c r="B618" s="29"/>
      <c r="C618" s="29"/>
      <c r="D618" s="29"/>
      <c r="E618" s="29"/>
      <c r="F618" s="30"/>
      <c r="G618" s="29"/>
      <c r="H618" s="30"/>
      <c r="I618" s="29"/>
      <c r="J618" s="31"/>
      <c r="K618" s="31"/>
      <c r="L618" s="30"/>
      <c r="M618" s="29"/>
      <c r="N618" s="30"/>
      <c r="O618" s="31"/>
      <c r="P618" s="32" t="str">
        <f aca="false">IF($J618="","",$J618-WEEKDAY($J618,3))</f>
        <v/>
      </c>
      <c r="Q618" s="32" t="str">
        <f aca="false">IF($J618="","",IF($K618="",$J618,$K618))</f>
        <v/>
      </c>
      <c r="R618" s="28" t="str">
        <f aca="false">IF($E618="","",IF(OR($N618&lt;&gt;"Concluída",$O618="",$J618=""),0,IF($O618&lt;=$J618,1,0)))</f>
        <v/>
      </c>
      <c r="S618" s="28" t="str">
        <f aca="false">IF($E618="","",IF(OR($N618&lt;&gt;"Concluída",$O618="",$Q618=""),0,IF($O618&lt;=$Q618,1,0)))</f>
        <v/>
      </c>
      <c r="T618" s="28" t="str">
        <f aca="false">IF(OR($J618="",$N618&lt;&gt;"Concluída",$O618=""),"",MAX(0,$O618-$J618))</f>
        <v/>
      </c>
      <c r="U618" s="33" t="str">
        <f aca="true">IF($E618="","",IF($N618="Cancelada","Cancelada",IF($N618="Concluída",IF($R618=1,"No prazo","Concluída com atraso"),IF($J618="","Na carteira",IF($J618&lt;TODAY(),"VENCIDA",IF($J618=TODAY(),"Hoje","Programada"))))))</f>
        <v/>
      </c>
    </row>
    <row r="619" customFormat="false" ht="15.75" hidden="false" customHeight="true" outlineLevel="0" collapsed="false">
      <c r="A619" s="28" t="str">
        <f aca="false">IF($E619="","",COUNTA($E$4:$E619))</f>
        <v/>
      </c>
      <c r="B619" s="34"/>
      <c r="C619" s="34"/>
      <c r="D619" s="34"/>
      <c r="E619" s="34"/>
      <c r="F619" s="35"/>
      <c r="G619" s="34"/>
      <c r="H619" s="35"/>
      <c r="I619" s="34"/>
      <c r="J619" s="36"/>
      <c r="K619" s="36"/>
      <c r="L619" s="35"/>
      <c r="M619" s="34"/>
      <c r="N619" s="35"/>
      <c r="O619" s="36"/>
      <c r="P619" s="32" t="str">
        <f aca="false">IF($J619="","",$J619-WEEKDAY($J619,3))</f>
        <v/>
      </c>
      <c r="Q619" s="32" t="str">
        <f aca="false">IF($J619="","",IF($K619="",$J619,$K619))</f>
        <v/>
      </c>
      <c r="R619" s="28" t="str">
        <f aca="false">IF($E619="","",IF(OR($N619&lt;&gt;"Concluída",$O619="",$J619=""),0,IF($O619&lt;=$J619,1,0)))</f>
        <v/>
      </c>
      <c r="S619" s="28" t="str">
        <f aca="false">IF($E619="","",IF(OR($N619&lt;&gt;"Concluída",$O619="",$Q619=""),0,IF($O619&lt;=$Q619,1,0)))</f>
        <v/>
      </c>
      <c r="T619" s="28" t="str">
        <f aca="false">IF(OR($J619="",$N619&lt;&gt;"Concluída",$O619=""),"",MAX(0,$O619-$J619))</f>
        <v/>
      </c>
      <c r="U619" s="33" t="str">
        <f aca="true">IF($E619="","",IF($N619="Cancelada","Cancelada",IF($N619="Concluída",IF($R619=1,"No prazo","Concluída com atraso"),IF($J619="","Na carteira",IF($J619&lt;TODAY(),"VENCIDA",IF($J619=TODAY(),"Hoje","Programada"))))))</f>
        <v/>
      </c>
    </row>
    <row r="620" customFormat="false" ht="15.75" hidden="false" customHeight="true" outlineLevel="0" collapsed="false">
      <c r="A620" s="28" t="str">
        <f aca="false">IF($E620="","",COUNTA($E$4:$E620))</f>
        <v/>
      </c>
      <c r="B620" s="29"/>
      <c r="C620" s="29"/>
      <c r="D620" s="29"/>
      <c r="E620" s="29"/>
      <c r="F620" s="30"/>
      <c r="G620" s="29"/>
      <c r="H620" s="30"/>
      <c r="I620" s="29"/>
      <c r="J620" s="31"/>
      <c r="K620" s="31"/>
      <c r="L620" s="30"/>
      <c r="M620" s="29"/>
      <c r="N620" s="30"/>
      <c r="O620" s="31"/>
      <c r="P620" s="32" t="str">
        <f aca="false">IF($J620="","",$J620-WEEKDAY($J620,3))</f>
        <v/>
      </c>
      <c r="Q620" s="32" t="str">
        <f aca="false">IF($J620="","",IF($K620="",$J620,$K620))</f>
        <v/>
      </c>
      <c r="R620" s="28" t="str">
        <f aca="false">IF($E620="","",IF(OR($N620&lt;&gt;"Concluída",$O620="",$J620=""),0,IF($O620&lt;=$J620,1,0)))</f>
        <v/>
      </c>
      <c r="S620" s="28" t="str">
        <f aca="false">IF($E620="","",IF(OR($N620&lt;&gt;"Concluída",$O620="",$Q620=""),0,IF($O620&lt;=$Q620,1,0)))</f>
        <v/>
      </c>
      <c r="T620" s="28" t="str">
        <f aca="false">IF(OR($J620="",$N620&lt;&gt;"Concluída",$O620=""),"",MAX(0,$O620-$J620))</f>
        <v/>
      </c>
      <c r="U620" s="33" t="str">
        <f aca="true">IF($E620="","",IF($N620="Cancelada","Cancelada",IF($N620="Concluída",IF($R620=1,"No prazo","Concluída com atraso"),IF($J620="","Na carteira",IF($J620&lt;TODAY(),"VENCIDA",IF($J620=TODAY(),"Hoje","Programada"))))))</f>
        <v/>
      </c>
    </row>
    <row r="621" customFormat="false" ht="15.75" hidden="false" customHeight="true" outlineLevel="0" collapsed="false">
      <c r="A621" s="28" t="str">
        <f aca="false">IF($E621="","",COUNTA($E$4:$E621))</f>
        <v/>
      </c>
      <c r="B621" s="34"/>
      <c r="C621" s="34"/>
      <c r="D621" s="34"/>
      <c r="E621" s="34"/>
      <c r="F621" s="35"/>
      <c r="G621" s="34"/>
      <c r="H621" s="35"/>
      <c r="I621" s="34"/>
      <c r="J621" s="36"/>
      <c r="K621" s="36"/>
      <c r="L621" s="35"/>
      <c r="M621" s="34"/>
      <c r="N621" s="35"/>
      <c r="O621" s="36"/>
      <c r="P621" s="32" t="str">
        <f aca="false">IF($J621="","",$J621-WEEKDAY($J621,3))</f>
        <v/>
      </c>
      <c r="Q621" s="32" t="str">
        <f aca="false">IF($J621="","",IF($K621="",$J621,$K621))</f>
        <v/>
      </c>
      <c r="R621" s="28" t="str">
        <f aca="false">IF($E621="","",IF(OR($N621&lt;&gt;"Concluída",$O621="",$J621=""),0,IF($O621&lt;=$J621,1,0)))</f>
        <v/>
      </c>
      <c r="S621" s="28" t="str">
        <f aca="false">IF($E621="","",IF(OR($N621&lt;&gt;"Concluída",$O621="",$Q621=""),0,IF($O621&lt;=$Q621,1,0)))</f>
        <v/>
      </c>
      <c r="T621" s="28" t="str">
        <f aca="false">IF(OR($J621="",$N621&lt;&gt;"Concluída",$O621=""),"",MAX(0,$O621-$J621))</f>
        <v/>
      </c>
      <c r="U621" s="33" t="str">
        <f aca="true">IF($E621="","",IF($N621="Cancelada","Cancelada",IF($N621="Concluída",IF($R621=1,"No prazo","Concluída com atraso"),IF($J621="","Na carteira",IF($J621&lt;TODAY(),"VENCIDA",IF($J621=TODAY(),"Hoje","Programada"))))))</f>
        <v/>
      </c>
    </row>
    <row r="622" customFormat="false" ht="15.75" hidden="false" customHeight="true" outlineLevel="0" collapsed="false">
      <c r="A622" s="28" t="str">
        <f aca="false">IF($E622="","",COUNTA($E$4:$E622))</f>
        <v/>
      </c>
      <c r="B622" s="29"/>
      <c r="C622" s="29"/>
      <c r="D622" s="29"/>
      <c r="E622" s="29"/>
      <c r="F622" s="30"/>
      <c r="G622" s="29"/>
      <c r="H622" s="30"/>
      <c r="I622" s="29"/>
      <c r="J622" s="31"/>
      <c r="K622" s="31"/>
      <c r="L622" s="30"/>
      <c r="M622" s="29"/>
      <c r="N622" s="30"/>
      <c r="O622" s="31"/>
      <c r="P622" s="32" t="str">
        <f aca="false">IF($J622="","",$J622-WEEKDAY($J622,3))</f>
        <v/>
      </c>
      <c r="Q622" s="32" t="str">
        <f aca="false">IF($J622="","",IF($K622="",$J622,$K622))</f>
        <v/>
      </c>
      <c r="R622" s="28" t="str">
        <f aca="false">IF($E622="","",IF(OR($N622&lt;&gt;"Concluída",$O622="",$J622=""),0,IF($O622&lt;=$J622,1,0)))</f>
        <v/>
      </c>
      <c r="S622" s="28" t="str">
        <f aca="false">IF($E622="","",IF(OR($N622&lt;&gt;"Concluída",$O622="",$Q622=""),0,IF($O622&lt;=$Q622,1,0)))</f>
        <v/>
      </c>
      <c r="T622" s="28" t="str">
        <f aca="false">IF(OR($J622="",$N622&lt;&gt;"Concluída",$O622=""),"",MAX(0,$O622-$J622))</f>
        <v/>
      </c>
      <c r="U622" s="33" t="str">
        <f aca="true">IF($E622="","",IF($N622="Cancelada","Cancelada",IF($N622="Concluída",IF($R622=1,"No prazo","Concluída com atraso"),IF($J622="","Na carteira",IF($J622&lt;TODAY(),"VENCIDA",IF($J622=TODAY(),"Hoje","Programada"))))))</f>
        <v/>
      </c>
    </row>
    <row r="623" customFormat="false" ht="15.75" hidden="false" customHeight="true" outlineLevel="0" collapsed="false">
      <c r="A623" s="28" t="str">
        <f aca="false">IF($E623="","",COUNTA($E$4:$E623))</f>
        <v/>
      </c>
      <c r="B623" s="34"/>
      <c r="C623" s="34"/>
      <c r="D623" s="34"/>
      <c r="E623" s="34"/>
      <c r="F623" s="35"/>
      <c r="G623" s="34"/>
      <c r="H623" s="35"/>
      <c r="I623" s="34"/>
      <c r="J623" s="36"/>
      <c r="K623" s="36"/>
      <c r="L623" s="35"/>
      <c r="M623" s="34"/>
      <c r="N623" s="35"/>
      <c r="O623" s="36"/>
      <c r="P623" s="32" t="str">
        <f aca="false">IF($J623="","",$J623-WEEKDAY($J623,3))</f>
        <v/>
      </c>
      <c r="Q623" s="32" t="str">
        <f aca="false">IF($J623="","",IF($K623="",$J623,$K623))</f>
        <v/>
      </c>
      <c r="R623" s="28" t="str">
        <f aca="false">IF($E623="","",IF(OR($N623&lt;&gt;"Concluída",$O623="",$J623=""),0,IF($O623&lt;=$J623,1,0)))</f>
        <v/>
      </c>
      <c r="S623" s="28" t="str">
        <f aca="false">IF($E623="","",IF(OR($N623&lt;&gt;"Concluída",$O623="",$Q623=""),0,IF($O623&lt;=$Q623,1,0)))</f>
        <v/>
      </c>
      <c r="T623" s="28" t="str">
        <f aca="false">IF(OR($J623="",$N623&lt;&gt;"Concluída",$O623=""),"",MAX(0,$O623-$J623))</f>
        <v/>
      </c>
      <c r="U623" s="33" t="str">
        <f aca="true">IF($E623="","",IF($N623="Cancelada","Cancelada",IF($N623="Concluída",IF($R623=1,"No prazo","Concluída com atraso"),IF($J623="","Na carteira",IF($J623&lt;TODAY(),"VENCIDA",IF($J623=TODAY(),"Hoje","Programada"))))))</f>
        <v/>
      </c>
    </row>
    <row r="624" customFormat="false" ht="15.75" hidden="false" customHeight="true" outlineLevel="0" collapsed="false">
      <c r="A624" s="28" t="str">
        <f aca="false">IF($E624="","",COUNTA($E$4:$E624))</f>
        <v/>
      </c>
      <c r="B624" s="29"/>
      <c r="C624" s="29"/>
      <c r="D624" s="29"/>
      <c r="E624" s="29"/>
      <c r="F624" s="30"/>
      <c r="G624" s="29"/>
      <c r="H624" s="30"/>
      <c r="I624" s="29"/>
      <c r="J624" s="31"/>
      <c r="K624" s="31"/>
      <c r="L624" s="30"/>
      <c r="M624" s="29"/>
      <c r="N624" s="30"/>
      <c r="O624" s="31"/>
      <c r="P624" s="32" t="str">
        <f aca="false">IF($J624="","",$J624-WEEKDAY($J624,3))</f>
        <v/>
      </c>
      <c r="Q624" s="32" t="str">
        <f aca="false">IF($J624="","",IF($K624="",$J624,$K624))</f>
        <v/>
      </c>
      <c r="R624" s="28" t="str">
        <f aca="false">IF($E624="","",IF(OR($N624&lt;&gt;"Concluída",$O624="",$J624=""),0,IF($O624&lt;=$J624,1,0)))</f>
        <v/>
      </c>
      <c r="S624" s="28" t="str">
        <f aca="false">IF($E624="","",IF(OR($N624&lt;&gt;"Concluída",$O624="",$Q624=""),0,IF($O624&lt;=$Q624,1,0)))</f>
        <v/>
      </c>
      <c r="T624" s="28" t="str">
        <f aca="false">IF(OR($J624="",$N624&lt;&gt;"Concluída",$O624=""),"",MAX(0,$O624-$J624))</f>
        <v/>
      </c>
      <c r="U624" s="33" t="str">
        <f aca="true">IF($E624="","",IF($N624="Cancelada","Cancelada",IF($N624="Concluída",IF($R624=1,"No prazo","Concluída com atraso"),IF($J624="","Na carteira",IF($J624&lt;TODAY(),"VENCIDA",IF($J624=TODAY(),"Hoje","Programada"))))))</f>
        <v/>
      </c>
    </row>
    <row r="625" customFormat="false" ht="15.75" hidden="false" customHeight="true" outlineLevel="0" collapsed="false">
      <c r="A625" s="28" t="str">
        <f aca="false">IF($E625="","",COUNTA($E$4:$E625))</f>
        <v/>
      </c>
      <c r="B625" s="34"/>
      <c r="C625" s="34"/>
      <c r="D625" s="34"/>
      <c r="E625" s="34"/>
      <c r="F625" s="35"/>
      <c r="G625" s="34"/>
      <c r="H625" s="35"/>
      <c r="I625" s="34"/>
      <c r="J625" s="36"/>
      <c r="K625" s="36"/>
      <c r="L625" s="35"/>
      <c r="M625" s="34"/>
      <c r="N625" s="35"/>
      <c r="O625" s="36"/>
      <c r="P625" s="32" t="str">
        <f aca="false">IF($J625="","",$J625-WEEKDAY($J625,3))</f>
        <v/>
      </c>
      <c r="Q625" s="32" t="str">
        <f aca="false">IF($J625="","",IF($K625="",$J625,$K625))</f>
        <v/>
      </c>
      <c r="R625" s="28" t="str">
        <f aca="false">IF($E625="","",IF(OR($N625&lt;&gt;"Concluída",$O625="",$J625=""),0,IF($O625&lt;=$J625,1,0)))</f>
        <v/>
      </c>
      <c r="S625" s="28" t="str">
        <f aca="false">IF($E625="","",IF(OR($N625&lt;&gt;"Concluída",$O625="",$Q625=""),0,IF($O625&lt;=$Q625,1,0)))</f>
        <v/>
      </c>
      <c r="T625" s="28" t="str">
        <f aca="false">IF(OR($J625="",$N625&lt;&gt;"Concluída",$O625=""),"",MAX(0,$O625-$J625))</f>
        <v/>
      </c>
      <c r="U625" s="33" t="str">
        <f aca="true">IF($E625="","",IF($N625="Cancelada","Cancelada",IF($N625="Concluída",IF($R625=1,"No prazo","Concluída com atraso"),IF($J625="","Na carteira",IF($J625&lt;TODAY(),"VENCIDA",IF($J625=TODAY(),"Hoje","Programada"))))))</f>
        <v/>
      </c>
    </row>
    <row r="626" customFormat="false" ht="15.75" hidden="false" customHeight="true" outlineLevel="0" collapsed="false">
      <c r="A626" s="28" t="str">
        <f aca="false">IF($E626="","",COUNTA($E$4:$E626))</f>
        <v/>
      </c>
      <c r="B626" s="29"/>
      <c r="C626" s="29"/>
      <c r="D626" s="29"/>
      <c r="E626" s="29"/>
      <c r="F626" s="30"/>
      <c r="G626" s="29"/>
      <c r="H626" s="30"/>
      <c r="I626" s="29"/>
      <c r="J626" s="31"/>
      <c r="K626" s="31"/>
      <c r="L626" s="30"/>
      <c r="M626" s="29"/>
      <c r="N626" s="30"/>
      <c r="O626" s="31"/>
      <c r="P626" s="32" t="str">
        <f aca="false">IF($J626="","",$J626-WEEKDAY($J626,3))</f>
        <v/>
      </c>
      <c r="Q626" s="32" t="str">
        <f aca="false">IF($J626="","",IF($K626="",$J626,$K626))</f>
        <v/>
      </c>
      <c r="R626" s="28" t="str">
        <f aca="false">IF($E626="","",IF(OR($N626&lt;&gt;"Concluída",$O626="",$J626=""),0,IF($O626&lt;=$J626,1,0)))</f>
        <v/>
      </c>
      <c r="S626" s="28" t="str">
        <f aca="false">IF($E626="","",IF(OR($N626&lt;&gt;"Concluída",$O626="",$Q626=""),0,IF($O626&lt;=$Q626,1,0)))</f>
        <v/>
      </c>
      <c r="T626" s="28" t="str">
        <f aca="false">IF(OR($J626="",$N626&lt;&gt;"Concluída",$O626=""),"",MAX(0,$O626-$J626))</f>
        <v/>
      </c>
      <c r="U626" s="33" t="str">
        <f aca="true">IF($E626="","",IF($N626="Cancelada","Cancelada",IF($N626="Concluída",IF($R626=1,"No prazo","Concluída com atraso"),IF($J626="","Na carteira",IF($J626&lt;TODAY(),"VENCIDA",IF($J626=TODAY(),"Hoje","Programada"))))))</f>
        <v/>
      </c>
    </row>
    <row r="627" customFormat="false" ht="15.75" hidden="false" customHeight="true" outlineLevel="0" collapsed="false">
      <c r="A627" s="28" t="str">
        <f aca="false">IF($E627="","",COUNTA($E$4:$E627))</f>
        <v/>
      </c>
      <c r="B627" s="34"/>
      <c r="C627" s="34"/>
      <c r="D627" s="34"/>
      <c r="E627" s="34"/>
      <c r="F627" s="35"/>
      <c r="G627" s="34"/>
      <c r="H627" s="35"/>
      <c r="I627" s="34"/>
      <c r="J627" s="36"/>
      <c r="K627" s="36"/>
      <c r="L627" s="35"/>
      <c r="M627" s="34"/>
      <c r="N627" s="35"/>
      <c r="O627" s="36"/>
      <c r="P627" s="32" t="str">
        <f aca="false">IF($J627="","",$J627-WEEKDAY($J627,3))</f>
        <v/>
      </c>
      <c r="Q627" s="32" t="str">
        <f aca="false">IF($J627="","",IF($K627="",$J627,$K627))</f>
        <v/>
      </c>
      <c r="R627" s="28" t="str">
        <f aca="false">IF($E627="","",IF(OR($N627&lt;&gt;"Concluída",$O627="",$J627=""),0,IF($O627&lt;=$J627,1,0)))</f>
        <v/>
      </c>
      <c r="S627" s="28" t="str">
        <f aca="false">IF($E627="","",IF(OR($N627&lt;&gt;"Concluída",$O627="",$Q627=""),0,IF($O627&lt;=$Q627,1,0)))</f>
        <v/>
      </c>
      <c r="T627" s="28" t="str">
        <f aca="false">IF(OR($J627="",$N627&lt;&gt;"Concluída",$O627=""),"",MAX(0,$O627-$J627))</f>
        <v/>
      </c>
      <c r="U627" s="33" t="str">
        <f aca="true">IF($E627="","",IF($N627="Cancelada","Cancelada",IF($N627="Concluída",IF($R627=1,"No prazo","Concluída com atraso"),IF($J627="","Na carteira",IF($J627&lt;TODAY(),"VENCIDA",IF($J627=TODAY(),"Hoje","Programada"))))))</f>
        <v/>
      </c>
    </row>
    <row r="628" customFormat="false" ht="15.75" hidden="false" customHeight="true" outlineLevel="0" collapsed="false">
      <c r="A628" s="28" t="str">
        <f aca="false">IF($E628="","",COUNTA($E$4:$E628))</f>
        <v/>
      </c>
      <c r="B628" s="29"/>
      <c r="C628" s="29"/>
      <c r="D628" s="29"/>
      <c r="E628" s="29"/>
      <c r="F628" s="30"/>
      <c r="G628" s="29"/>
      <c r="H628" s="30"/>
      <c r="I628" s="29"/>
      <c r="J628" s="31"/>
      <c r="K628" s="31"/>
      <c r="L628" s="30"/>
      <c r="M628" s="29"/>
      <c r="N628" s="30"/>
      <c r="O628" s="31"/>
      <c r="P628" s="32" t="str">
        <f aca="false">IF($J628="","",$J628-WEEKDAY($J628,3))</f>
        <v/>
      </c>
      <c r="Q628" s="32" t="str">
        <f aca="false">IF($J628="","",IF($K628="",$J628,$K628))</f>
        <v/>
      </c>
      <c r="R628" s="28" t="str">
        <f aca="false">IF($E628="","",IF(OR($N628&lt;&gt;"Concluída",$O628="",$J628=""),0,IF($O628&lt;=$J628,1,0)))</f>
        <v/>
      </c>
      <c r="S628" s="28" t="str">
        <f aca="false">IF($E628="","",IF(OR($N628&lt;&gt;"Concluída",$O628="",$Q628=""),0,IF($O628&lt;=$Q628,1,0)))</f>
        <v/>
      </c>
      <c r="T628" s="28" t="str">
        <f aca="false">IF(OR($J628="",$N628&lt;&gt;"Concluída",$O628=""),"",MAX(0,$O628-$J628))</f>
        <v/>
      </c>
      <c r="U628" s="33" t="str">
        <f aca="true">IF($E628="","",IF($N628="Cancelada","Cancelada",IF($N628="Concluída",IF($R628=1,"No prazo","Concluída com atraso"),IF($J628="","Na carteira",IF($J628&lt;TODAY(),"VENCIDA",IF($J628=TODAY(),"Hoje","Programada"))))))</f>
        <v/>
      </c>
    </row>
    <row r="629" customFormat="false" ht="15.75" hidden="false" customHeight="true" outlineLevel="0" collapsed="false">
      <c r="A629" s="28" t="str">
        <f aca="false">IF($E629="","",COUNTA($E$4:$E629))</f>
        <v/>
      </c>
      <c r="B629" s="34"/>
      <c r="C629" s="34"/>
      <c r="D629" s="34"/>
      <c r="E629" s="34"/>
      <c r="F629" s="35"/>
      <c r="G629" s="34"/>
      <c r="H629" s="35"/>
      <c r="I629" s="34"/>
      <c r="J629" s="36"/>
      <c r="K629" s="36"/>
      <c r="L629" s="35"/>
      <c r="M629" s="34"/>
      <c r="N629" s="35"/>
      <c r="O629" s="36"/>
      <c r="P629" s="32" t="str">
        <f aca="false">IF($J629="","",$J629-WEEKDAY($J629,3))</f>
        <v/>
      </c>
      <c r="Q629" s="32" t="str">
        <f aca="false">IF($J629="","",IF($K629="",$J629,$K629))</f>
        <v/>
      </c>
      <c r="R629" s="28" t="str">
        <f aca="false">IF($E629="","",IF(OR($N629&lt;&gt;"Concluída",$O629="",$J629=""),0,IF($O629&lt;=$J629,1,0)))</f>
        <v/>
      </c>
      <c r="S629" s="28" t="str">
        <f aca="false">IF($E629="","",IF(OR($N629&lt;&gt;"Concluída",$O629="",$Q629=""),0,IF($O629&lt;=$Q629,1,0)))</f>
        <v/>
      </c>
      <c r="T629" s="28" t="str">
        <f aca="false">IF(OR($J629="",$N629&lt;&gt;"Concluída",$O629=""),"",MAX(0,$O629-$J629))</f>
        <v/>
      </c>
      <c r="U629" s="33" t="str">
        <f aca="true">IF($E629="","",IF($N629="Cancelada","Cancelada",IF($N629="Concluída",IF($R629=1,"No prazo","Concluída com atraso"),IF($J629="","Na carteira",IF($J629&lt;TODAY(),"VENCIDA",IF($J629=TODAY(),"Hoje","Programada"))))))</f>
        <v/>
      </c>
    </row>
    <row r="630" customFormat="false" ht="15.75" hidden="false" customHeight="true" outlineLevel="0" collapsed="false">
      <c r="A630" s="28" t="str">
        <f aca="false">IF($E630="","",COUNTA($E$4:$E630))</f>
        <v/>
      </c>
      <c r="B630" s="29"/>
      <c r="C630" s="29"/>
      <c r="D630" s="29"/>
      <c r="E630" s="29"/>
      <c r="F630" s="30"/>
      <c r="G630" s="29"/>
      <c r="H630" s="30"/>
      <c r="I630" s="29"/>
      <c r="J630" s="31"/>
      <c r="K630" s="31"/>
      <c r="L630" s="30"/>
      <c r="M630" s="29"/>
      <c r="N630" s="30"/>
      <c r="O630" s="31"/>
      <c r="P630" s="32" t="str">
        <f aca="false">IF($J630="","",$J630-WEEKDAY($J630,3))</f>
        <v/>
      </c>
      <c r="Q630" s="32" t="str">
        <f aca="false">IF($J630="","",IF($K630="",$J630,$K630))</f>
        <v/>
      </c>
      <c r="R630" s="28" t="str">
        <f aca="false">IF($E630="","",IF(OR($N630&lt;&gt;"Concluída",$O630="",$J630=""),0,IF($O630&lt;=$J630,1,0)))</f>
        <v/>
      </c>
      <c r="S630" s="28" t="str">
        <f aca="false">IF($E630="","",IF(OR($N630&lt;&gt;"Concluída",$O630="",$Q630=""),0,IF($O630&lt;=$Q630,1,0)))</f>
        <v/>
      </c>
      <c r="T630" s="28" t="str">
        <f aca="false">IF(OR($J630="",$N630&lt;&gt;"Concluída",$O630=""),"",MAX(0,$O630-$J630))</f>
        <v/>
      </c>
      <c r="U630" s="33" t="str">
        <f aca="true">IF($E630="","",IF($N630="Cancelada","Cancelada",IF($N630="Concluída",IF($R630=1,"No prazo","Concluída com atraso"),IF($J630="","Na carteira",IF($J630&lt;TODAY(),"VENCIDA",IF($J630=TODAY(),"Hoje","Programada"))))))</f>
        <v/>
      </c>
    </row>
    <row r="631" customFormat="false" ht="15.75" hidden="false" customHeight="true" outlineLevel="0" collapsed="false">
      <c r="A631" s="28" t="str">
        <f aca="false">IF($E631="","",COUNTA($E$4:$E631))</f>
        <v/>
      </c>
      <c r="B631" s="34"/>
      <c r="C631" s="34"/>
      <c r="D631" s="34"/>
      <c r="E631" s="34"/>
      <c r="F631" s="35"/>
      <c r="G631" s="34"/>
      <c r="H631" s="35"/>
      <c r="I631" s="34"/>
      <c r="J631" s="36"/>
      <c r="K631" s="36"/>
      <c r="L631" s="35"/>
      <c r="M631" s="34"/>
      <c r="N631" s="35"/>
      <c r="O631" s="36"/>
      <c r="P631" s="32" t="str">
        <f aca="false">IF($J631="","",$J631-WEEKDAY($J631,3))</f>
        <v/>
      </c>
      <c r="Q631" s="32" t="str">
        <f aca="false">IF($J631="","",IF($K631="",$J631,$K631))</f>
        <v/>
      </c>
      <c r="R631" s="28" t="str">
        <f aca="false">IF($E631="","",IF(OR($N631&lt;&gt;"Concluída",$O631="",$J631=""),0,IF($O631&lt;=$J631,1,0)))</f>
        <v/>
      </c>
      <c r="S631" s="28" t="str">
        <f aca="false">IF($E631="","",IF(OR($N631&lt;&gt;"Concluída",$O631="",$Q631=""),0,IF($O631&lt;=$Q631,1,0)))</f>
        <v/>
      </c>
      <c r="T631" s="28" t="str">
        <f aca="false">IF(OR($J631="",$N631&lt;&gt;"Concluída",$O631=""),"",MAX(0,$O631-$J631))</f>
        <v/>
      </c>
      <c r="U631" s="33" t="str">
        <f aca="true">IF($E631="","",IF($N631="Cancelada","Cancelada",IF($N631="Concluída",IF($R631=1,"No prazo","Concluída com atraso"),IF($J631="","Na carteira",IF($J631&lt;TODAY(),"VENCIDA",IF($J631=TODAY(),"Hoje","Programada"))))))</f>
        <v/>
      </c>
    </row>
    <row r="632" customFormat="false" ht="15.75" hidden="false" customHeight="true" outlineLevel="0" collapsed="false">
      <c r="A632" s="28" t="str">
        <f aca="false">IF($E632="","",COUNTA($E$4:$E632))</f>
        <v/>
      </c>
      <c r="B632" s="29"/>
      <c r="C632" s="29"/>
      <c r="D632" s="29"/>
      <c r="E632" s="29"/>
      <c r="F632" s="30"/>
      <c r="G632" s="29"/>
      <c r="H632" s="30"/>
      <c r="I632" s="29"/>
      <c r="J632" s="31"/>
      <c r="K632" s="31"/>
      <c r="L632" s="30"/>
      <c r="M632" s="29"/>
      <c r="N632" s="30"/>
      <c r="O632" s="31"/>
      <c r="P632" s="32" t="str">
        <f aca="false">IF($J632="","",$J632-WEEKDAY($J632,3))</f>
        <v/>
      </c>
      <c r="Q632" s="32" t="str">
        <f aca="false">IF($J632="","",IF($K632="",$J632,$K632))</f>
        <v/>
      </c>
      <c r="R632" s="28" t="str">
        <f aca="false">IF($E632="","",IF(OR($N632&lt;&gt;"Concluída",$O632="",$J632=""),0,IF($O632&lt;=$J632,1,0)))</f>
        <v/>
      </c>
      <c r="S632" s="28" t="str">
        <f aca="false">IF($E632="","",IF(OR($N632&lt;&gt;"Concluída",$O632="",$Q632=""),0,IF($O632&lt;=$Q632,1,0)))</f>
        <v/>
      </c>
      <c r="T632" s="28" t="str">
        <f aca="false">IF(OR($J632="",$N632&lt;&gt;"Concluída",$O632=""),"",MAX(0,$O632-$J632))</f>
        <v/>
      </c>
      <c r="U632" s="33" t="str">
        <f aca="true">IF($E632="","",IF($N632="Cancelada","Cancelada",IF($N632="Concluída",IF($R632=1,"No prazo","Concluída com atraso"),IF($J632="","Na carteira",IF($J632&lt;TODAY(),"VENCIDA",IF($J632=TODAY(),"Hoje","Programada"))))))</f>
        <v/>
      </c>
    </row>
    <row r="633" customFormat="false" ht="15.75" hidden="false" customHeight="true" outlineLevel="0" collapsed="false">
      <c r="A633" s="28" t="str">
        <f aca="false">IF($E633="","",COUNTA($E$4:$E633))</f>
        <v/>
      </c>
      <c r="B633" s="34"/>
      <c r="C633" s="34"/>
      <c r="D633" s="34"/>
      <c r="E633" s="34"/>
      <c r="F633" s="35"/>
      <c r="G633" s="34"/>
      <c r="H633" s="35"/>
      <c r="I633" s="34"/>
      <c r="J633" s="36"/>
      <c r="K633" s="36"/>
      <c r="L633" s="35"/>
      <c r="M633" s="34"/>
      <c r="N633" s="35"/>
      <c r="O633" s="36"/>
      <c r="P633" s="32" t="str">
        <f aca="false">IF($J633="","",$J633-WEEKDAY($J633,3))</f>
        <v/>
      </c>
      <c r="Q633" s="32" t="str">
        <f aca="false">IF($J633="","",IF($K633="",$J633,$K633))</f>
        <v/>
      </c>
      <c r="R633" s="28" t="str">
        <f aca="false">IF($E633="","",IF(OR($N633&lt;&gt;"Concluída",$O633="",$J633=""),0,IF($O633&lt;=$J633,1,0)))</f>
        <v/>
      </c>
      <c r="S633" s="28" t="str">
        <f aca="false">IF($E633="","",IF(OR($N633&lt;&gt;"Concluída",$O633="",$Q633=""),0,IF($O633&lt;=$Q633,1,0)))</f>
        <v/>
      </c>
      <c r="T633" s="28" t="str">
        <f aca="false">IF(OR($J633="",$N633&lt;&gt;"Concluída",$O633=""),"",MAX(0,$O633-$J633))</f>
        <v/>
      </c>
      <c r="U633" s="33" t="str">
        <f aca="true">IF($E633="","",IF($N633="Cancelada","Cancelada",IF($N633="Concluída",IF($R633=1,"No prazo","Concluída com atraso"),IF($J633="","Na carteira",IF($J633&lt;TODAY(),"VENCIDA",IF($J633=TODAY(),"Hoje","Programada"))))))</f>
        <v/>
      </c>
    </row>
    <row r="634" customFormat="false" ht="15.75" hidden="false" customHeight="true" outlineLevel="0" collapsed="false">
      <c r="A634" s="28" t="str">
        <f aca="false">IF($E634="","",COUNTA($E$4:$E634))</f>
        <v/>
      </c>
      <c r="B634" s="29"/>
      <c r="C634" s="29"/>
      <c r="D634" s="29"/>
      <c r="E634" s="29"/>
      <c r="F634" s="30"/>
      <c r="G634" s="29"/>
      <c r="H634" s="30"/>
      <c r="I634" s="29"/>
      <c r="J634" s="31"/>
      <c r="K634" s="31"/>
      <c r="L634" s="30"/>
      <c r="M634" s="29"/>
      <c r="N634" s="30"/>
      <c r="O634" s="31"/>
      <c r="P634" s="32" t="str">
        <f aca="false">IF($J634="","",$J634-WEEKDAY($J634,3))</f>
        <v/>
      </c>
      <c r="Q634" s="32" t="str">
        <f aca="false">IF($J634="","",IF($K634="",$J634,$K634))</f>
        <v/>
      </c>
      <c r="R634" s="28" t="str">
        <f aca="false">IF($E634="","",IF(OR($N634&lt;&gt;"Concluída",$O634="",$J634=""),0,IF($O634&lt;=$J634,1,0)))</f>
        <v/>
      </c>
      <c r="S634" s="28" t="str">
        <f aca="false">IF($E634="","",IF(OR($N634&lt;&gt;"Concluída",$O634="",$Q634=""),0,IF($O634&lt;=$Q634,1,0)))</f>
        <v/>
      </c>
      <c r="T634" s="28" t="str">
        <f aca="false">IF(OR($J634="",$N634&lt;&gt;"Concluída",$O634=""),"",MAX(0,$O634-$J634))</f>
        <v/>
      </c>
      <c r="U634" s="33" t="str">
        <f aca="true">IF($E634="","",IF($N634="Cancelada","Cancelada",IF($N634="Concluída",IF($R634=1,"No prazo","Concluída com atraso"),IF($J634="","Na carteira",IF($J634&lt;TODAY(),"VENCIDA",IF($J634=TODAY(),"Hoje","Programada"))))))</f>
        <v/>
      </c>
    </row>
    <row r="635" customFormat="false" ht="15.75" hidden="false" customHeight="true" outlineLevel="0" collapsed="false">
      <c r="A635" s="28" t="str">
        <f aca="false">IF($E635="","",COUNTA($E$4:$E635))</f>
        <v/>
      </c>
      <c r="B635" s="34"/>
      <c r="C635" s="34"/>
      <c r="D635" s="34"/>
      <c r="E635" s="34"/>
      <c r="F635" s="35"/>
      <c r="G635" s="34"/>
      <c r="H635" s="35"/>
      <c r="I635" s="34"/>
      <c r="J635" s="36"/>
      <c r="K635" s="36"/>
      <c r="L635" s="35"/>
      <c r="M635" s="34"/>
      <c r="N635" s="35"/>
      <c r="O635" s="36"/>
      <c r="P635" s="32" t="str">
        <f aca="false">IF($J635="","",$J635-WEEKDAY($J635,3))</f>
        <v/>
      </c>
      <c r="Q635" s="32" t="str">
        <f aca="false">IF($J635="","",IF($K635="",$J635,$K635))</f>
        <v/>
      </c>
      <c r="R635" s="28" t="str">
        <f aca="false">IF($E635="","",IF(OR($N635&lt;&gt;"Concluída",$O635="",$J635=""),0,IF($O635&lt;=$J635,1,0)))</f>
        <v/>
      </c>
      <c r="S635" s="28" t="str">
        <f aca="false">IF($E635="","",IF(OR($N635&lt;&gt;"Concluída",$O635="",$Q635=""),0,IF($O635&lt;=$Q635,1,0)))</f>
        <v/>
      </c>
      <c r="T635" s="28" t="str">
        <f aca="false">IF(OR($J635="",$N635&lt;&gt;"Concluída",$O635=""),"",MAX(0,$O635-$J635))</f>
        <v/>
      </c>
      <c r="U635" s="33" t="str">
        <f aca="true">IF($E635="","",IF($N635="Cancelada","Cancelada",IF($N635="Concluída",IF($R635=1,"No prazo","Concluída com atraso"),IF($J635="","Na carteira",IF($J635&lt;TODAY(),"VENCIDA",IF($J635=TODAY(),"Hoje","Programada"))))))</f>
        <v/>
      </c>
    </row>
    <row r="636" customFormat="false" ht="15.75" hidden="false" customHeight="true" outlineLevel="0" collapsed="false">
      <c r="A636" s="28" t="str">
        <f aca="false">IF($E636="","",COUNTA($E$4:$E636))</f>
        <v/>
      </c>
      <c r="B636" s="29"/>
      <c r="C636" s="29"/>
      <c r="D636" s="29"/>
      <c r="E636" s="29"/>
      <c r="F636" s="30"/>
      <c r="G636" s="29"/>
      <c r="H636" s="30"/>
      <c r="I636" s="29"/>
      <c r="J636" s="31"/>
      <c r="K636" s="31"/>
      <c r="L636" s="30"/>
      <c r="M636" s="29"/>
      <c r="N636" s="30"/>
      <c r="O636" s="31"/>
      <c r="P636" s="32" t="str">
        <f aca="false">IF($J636="","",$J636-WEEKDAY($J636,3))</f>
        <v/>
      </c>
      <c r="Q636" s="32" t="str">
        <f aca="false">IF($J636="","",IF($K636="",$J636,$K636))</f>
        <v/>
      </c>
      <c r="R636" s="28" t="str">
        <f aca="false">IF($E636="","",IF(OR($N636&lt;&gt;"Concluída",$O636="",$J636=""),0,IF($O636&lt;=$J636,1,0)))</f>
        <v/>
      </c>
      <c r="S636" s="28" t="str">
        <f aca="false">IF($E636="","",IF(OR($N636&lt;&gt;"Concluída",$O636="",$Q636=""),0,IF($O636&lt;=$Q636,1,0)))</f>
        <v/>
      </c>
      <c r="T636" s="28" t="str">
        <f aca="false">IF(OR($J636="",$N636&lt;&gt;"Concluída",$O636=""),"",MAX(0,$O636-$J636))</f>
        <v/>
      </c>
      <c r="U636" s="33" t="str">
        <f aca="true">IF($E636="","",IF($N636="Cancelada","Cancelada",IF($N636="Concluída",IF($R636=1,"No prazo","Concluída com atraso"),IF($J636="","Na carteira",IF($J636&lt;TODAY(),"VENCIDA",IF($J636=TODAY(),"Hoje","Programada"))))))</f>
        <v/>
      </c>
    </row>
    <row r="637" customFormat="false" ht="15.75" hidden="false" customHeight="true" outlineLevel="0" collapsed="false">
      <c r="A637" s="28" t="str">
        <f aca="false">IF($E637="","",COUNTA($E$4:$E637))</f>
        <v/>
      </c>
      <c r="B637" s="34"/>
      <c r="C637" s="34"/>
      <c r="D637" s="34"/>
      <c r="E637" s="34"/>
      <c r="F637" s="35"/>
      <c r="G637" s="34"/>
      <c r="H637" s="35"/>
      <c r="I637" s="34"/>
      <c r="J637" s="36"/>
      <c r="K637" s="36"/>
      <c r="L637" s="35"/>
      <c r="M637" s="34"/>
      <c r="N637" s="35"/>
      <c r="O637" s="36"/>
      <c r="P637" s="32" t="str">
        <f aca="false">IF($J637="","",$J637-WEEKDAY($J637,3))</f>
        <v/>
      </c>
      <c r="Q637" s="32" t="str">
        <f aca="false">IF($J637="","",IF($K637="",$J637,$K637))</f>
        <v/>
      </c>
      <c r="R637" s="28" t="str">
        <f aca="false">IF($E637="","",IF(OR($N637&lt;&gt;"Concluída",$O637="",$J637=""),0,IF($O637&lt;=$J637,1,0)))</f>
        <v/>
      </c>
      <c r="S637" s="28" t="str">
        <f aca="false">IF($E637="","",IF(OR($N637&lt;&gt;"Concluída",$O637="",$Q637=""),0,IF($O637&lt;=$Q637,1,0)))</f>
        <v/>
      </c>
      <c r="T637" s="28" t="str">
        <f aca="false">IF(OR($J637="",$N637&lt;&gt;"Concluída",$O637=""),"",MAX(0,$O637-$J637))</f>
        <v/>
      </c>
      <c r="U637" s="33" t="str">
        <f aca="true">IF($E637="","",IF($N637="Cancelada","Cancelada",IF($N637="Concluída",IF($R637=1,"No prazo","Concluída com atraso"),IF($J637="","Na carteira",IF($J637&lt;TODAY(),"VENCIDA",IF($J637=TODAY(),"Hoje","Programada"))))))</f>
        <v/>
      </c>
    </row>
    <row r="638" customFormat="false" ht="15.75" hidden="false" customHeight="true" outlineLevel="0" collapsed="false">
      <c r="A638" s="28" t="str">
        <f aca="false">IF($E638="","",COUNTA($E$4:$E638))</f>
        <v/>
      </c>
      <c r="B638" s="29"/>
      <c r="C638" s="29"/>
      <c r="D638" s="29"/>
      <c r="E638" s="29"/>
      <c r="F638" s="30"/>
      <c r="G638" s="29"/>
      <c r="H638" s="30"/>
      <c r="I638" s="29"/>
      <c r="J638" s="31"/>
      <c r="K638" s="31"/>
      <c r="L638" s="30"/>
      <c r="M638" s="29"/>
      <c r="N638" s="30"/>
      <c r="O638" s="31"/>
      <c r="P638" s="32" t="str">
        <f aca="false">IF($J638="","",$J638-WEEKDAY($J638,3))</f>
        <v/>
      </c>
      <c r="Q638" s="32" t="str">
        <f aca="false">IF($J638="","",IF($K638="",$J638,$K638))</f>
        <v/>
      </c>
      <c r="R638" s="28" t="str">
        <f aca="false">IF($E638="","",IF(OR($N638&lt;&gt;"Concluída",$O638="",$J638=""),0,IF($O638&lt;=$J638,1,0)))</f>
        <v/>
      </c>
      <c r="S638" s="28" t="str">
        <f aca="false">IF($E638="","",IF(OR($N638&lt;&gt;"Concluída",$O638="",$Q638=""),0,IF($O638&lt;=$Q638,1,0)))</f>
        <v/>
      </c>
      <c r="T638" s="28" t="str">
        <f aca="false">IF(OR($J638="",$N638&lt;&gt;"Concluída",$O638=""),"",MAX(0,$O638-$J638))</f>
        <v/>
      </c>
      <c r="U638" s="33" t="str">
        <f aca="true">IF($E638="","",IF($N638="Cancelada","Cancelada",IF($N638="Concluída",IF($R638=1,"No prazo","Concluída com atraso"),IF($J638="","Na carteira",IF($J638&lt;TODAY(),"VENCIDA",IF($J638=TODAY(),"Hoje","Programada"))))))</f>
        <v/>
      </c>
    </row>
    <row r="639" customFormat="false" ht="15.75" hidden="false" customHeight="true" outlineLevel="0" collapsed="false">
      <c r="A639" s="28" t="str">
        <f aca="false">IF($E639="","",COUNTA($E$4:$E639))</f>
        <v/>
      </c>
      <c r="B639" s="34"/>
      <c r="C639" s="34"/>
      <c r="D639" s="34"/>
      <c r="E639" s="34"/>
      <c r="F639" s="35"/>
      <c r="G639" s="34"/>
      <c r="H639" s="35"/>
      <c r="I639" s="34"/>
      <c r="J639" s="36"/>
      <c r="K639" s="36"/>
      <c r="L639" s="35"/>
      <c r="M639" s="34"/>
      <c r="N639" s="35"/>
      <c r="O639" s="36"/>
      <c r="P639" s="32" t="str">
        <f aca="false">IF($J639="","",$J639-WEEKDAY($J639,3))</f>
        <v/>
      </c>
      <c r="Q639" s="32" t="str">
        <f aca="false">IF($J639="","",IF($K639="",$J639,$K639))</f>
        <v/>
      </c>
      <c r="R639" s="28" t="str">
        <f aca="false">IF($E639="","",IF(OR($N639&lt;&gt;"Concluída",$O639="",$J639=""),0,IF($O639&lt;=$J639,1,0)))</f>
        <v/>
      </c>
      <c r="S639" s="28" t="str">
        <f aca="false">IF($E639="","",IF(OR($N639&lt;&gt;"Concluída",$O639="",$Q639=""),0,IF($O639&lt;=$Q639,1,0)))</f>
        <v/>
      </c>
      <c r="T639" s="28" t="str">
        <f aca="false">IF(OR($J639="",$N639&lt;&gt;"Concluída",$O639=""),"",MAX(0,$O639-$J639))</f>
        <v/>
      </c>
      <c r="U639" s="33" t="str">
        <f aca="true">IF($E639="","",IF($N639="Cancelada","Cancelada",IF($N639="Concluída",IF($R639=1,"No prazo","Concluída com atraso"),IF($J639="","Na carteira",IF($J639&lt;TODAY(),"VENCIDA",IF($J639=TODAY(),"Hoje","Programada"))))))</f>
        <v/>
      </c>
    </row>
    <row r="640" customFormat="false" ht="15.75" hidden="false" customHeight="true" outlineLevel="0" collapsed="false">
      <c r="A640" s="28" t="str">
        <f aca="false">IF($E640="","",COUNTA($E$4:$E640))</f>
        <v/>
      </c>
      <c r="B640" s="29"/>
      <c r="C640" s="29"/>
      <c r="D640" s="29"/>
      <c r="E640" s="29"/>
      <c r="F640" s="30"/>
      <c r="G640" s="29"/>
      <c r="H640" s="30"/>
      <c r="I640" s="29"/>
      <c r="J640" s="31"/>
      <c r="K640" s="31"/>
      <c r="L640" s="30"/>
      <c r="M640" s="29"/>
      <c r="N640" s="30"/>
      <c r="O640" s="31"/>
      <c r="P640" s="32" t="str">
        <f aca="false">IF($J640="","",$J640-WEEKDAY($J640,3))</f>
        <v/>
      </c>
      <c r="Q640" s="32" t="str">
        <f aca="false">IF($J640="","",IF($K640="",$J640,$K640))</f>
        <v/>
      </c>
      <c r="R640" s="28" t="str">
        <f aca="false">IF($E640="","",IF(OR($N640&lt;&gt;"Concluída",$O640="",$J640=""),0,IF($O640&lt;=$J640,1,0)))</f>
        <v/>
      </c>
      <c r="S640" s="28" t="str">
        <f aca="false">IF($E640="","",IF(OR($N640&lt;&gt;"Concluída",$O640="",$Q640=""),0,IF($O640&lt;=$Q640,1,0)))</f>
        <v/>
      </c>
      <c r="T640" s="28" t="str">
        <f aca="false">IF(OR($J640="",$N640&lt;&gt;"Concluída",$O640=""),"",MAX(0,$O640-$J640))</f>
        <v/>
      </c>
      <c r="U640" s="33" t="str">
        <f aca="true">IF($E640="","",IF($N640="Cancelada","Cancelada",IF($N640="Concluída",IF($R640=1,"No prazo","Concluída com atraso"),IF($J640="","Na carteira",IF($J640&lt;TODAY(),"VENCIDA",IF($J640=TODAY(),"Hoje","Programada"))))))</f>
        <v/>
      </c>
    </row>
    <row r="641" customFormat="false" ht="15.75" hidden="false" customHeight="true" outlineLevel="0" collapsed="false">
      <c r="A641" s="28" t="str">
        <f aca="false">IF($E641="","",COUNTA($E$4:$E641))</f>
        <v/>
      </c>
      <c r="B641" s="34"/>
      <c r="C641" s="34"/>
      <c r="D641" s="34"/>
      <c r="E641" s="34"/>
      <c r="F641" s="35"/>
      <c r="G641" s="34"/>
      <c r="H641" s="35"/>
      <c r="I641" s="34"/>
      <c r="J641" s="36"/>
      <c r="K641" s="36"/>
      <c r="L641" s="35"/>
      <c r="M641" s="34"/>
      <c r="N641" s="35"/>
      <c r="O641" s="36"/>
      <c r="P641" s="32" t="str">
        <f aca="false">IF($J641="","",$J641-WEEKDAY($J641,3))</f>
        <v/>
      </c>
      <c r="Q641" s="32" t="str">
        <f aca="false">IF($J641="","",IF($K641="",$J641,$K641))</f>
        <v/>
      </c>
      <c r="R641" s="28" t="str">
        <f aca="false">IF($E641="","",IF(OR($N641&lt;&gt;"Concluída",$O641="",$J641=""),0,IF($O641&lt;=$J641,1,0)))</f>
        <v/>
      </c>
      <c r="S641" s="28" t="str">
        <f aca="false">IF($E641="","",IF(OR($N641&lt;&gt;"Concluída",$O641="",$Q641=""),0,IF($O641&lt;=$Q641,1,0)))</f>
        <v/>
      </c>
      <c r="T641" s="28" t="str">
        <f aca="false">IF(OR($J641="",$N641&lt;&gt;"Concluída",$O641=""),"",MAX(0,$O641-$J641))</f>
        <v/>
      </c>
      <c r="U641" s="33" t="str">
        <f aca="true">IF($E641="","",IF($N641="Cancelada","Cancelada",IF($N641="Concluída",IF($R641=1,"No prazo","Concluída com atraso"),IF($J641="","Na carteira",IF($J641&lt;TODAY(),"VENCIDA",IF($J641=TODAY(),"Hoje","Programada"))))))</f>
        <v/>
      </c>
    </row>
    <row r="642" customFormat="false" ht="15.75" hidden="false" customHeight="true" outlineLevel="0" collapsed="false">
      <c r="A642" s="28" t="str">
        <f aca="false">IF($E642="","",COUNTA($E$4:$E642))</f>
        <v/>
      </c>
      <c r="B642" s="29"/>
      <c r="C642" s="29"/>
      <c r="D642" s="29"/>
      <c r="E642" s="29"/>
      <c r="F642" s="30"/>
      <c r="G642" s="29"/>
      <c r="H642" s="30"/>
      <c r="I642" s="29"/>
      <c r="J642" s="31"/>
      <c r="K642" s="31"/>
      <c r="L642" s="30"/>
      <c r="M642" s="29"/>
      <c r="N642" s="30"/>
      <c r="O642" s="31"/>
      <c r="P642" s="32" t="str">
        <f aca="false">IF($J642="","",$J642-WEEKDAY($J642,3))</f>
        <v/>
      </c>
      <c r="Q642" s="32" t="str">
        <f aca="false">IF($J642="","",IF($K642="",$J642,$K642))</f>
        <v/>
      </c>
      <c r="R642" s="28" t="str">
        <f aca="false">IF($E642="","",IF(OR($N642&lt;&gt;"Concluída",$O642="",$J642=""),0,IF($O642&lt;=$J642,1,0)))</f>
        <v/>
      </c>
      <c r="S642" s="28" t="str">
        <f aca="false">IF($E642="","",IF(OR($N642&lt;&gt;"Concluída",$O642="",$Q642=""),0,IF($O642&lt;=$Q642,1,0)))</f>
        <v/>
      </c>
      <c r="T642" s="28" t="str">
        <f aca="false">IF(OR($J642="",$N642&lt;&gt;"Concluída",$O642=""),"",MAX(0,$O642-$J642))</f>
        <v/>
      </c>
      <c r="U642" s="33" t="str">
        <f aca="true">IF($E642="","",IF($N642="Cancelada","Cancelada",IF($N642="Concluída",IF($R642=1,"No prazo","Concluída com atraso"),IF($J642="","Na carteira",IF($J642&lt;TODAY(),"VENCIDA",IF($J642=TODAY(),"Hoje","Programada"))))))</f>
        <v/>
      </c>
    </row>
    <row r="643" customFormat="false" ht="15.75" hidden="false" customHeight="true" outlineLevel="0" collapsed="false">
      <c r="A643" s="28" t="str">
        <f aca="false">IF($E643="","",COUNTA($E$4:$E643))</f>
        <v/>
      </c>
      <c r="B643" s="34"/>
      <c r="C643" s="34"/>
      <c r="D643" s="34"/>
      <c r="E643" s="34"/>
      <c r="F643" s="35"/>
      <c r="G643" s="34"/>
      <c r="H643" s="35"/>
      <c r="I643" s="34"/>
      <c r="J643" s="36"/>
      <c r="K643" s="36"/>
      <c r="L643" s="35"/>
      <c r="M643" s="34"/>
      <c r="N643" s="35"/>
      <c r="O643" s="36"/>
      <c r="P643" s="32" t="str">
        <f aca="false">IF($J643="","",$J643-WEEKDAY($J643,3))</f>
        <v/>
      </c>
      <c r="Q643" s="32" t="str">
        <f aca="false">IF($J643="","",IF($K643="",$J643,$K643))</f>
        <v/>
      </c>
      <c r="R643" s="28" t="str">
        <f aca="false">IF($E643="","",IF(OR($N643&lt;&gt;"Concluída",$O643="",$J643=""),0,IF($O643&lt;=$J643,1,0)))</f>
        <v/>
      </c>
      <c r="S643" s="28" t="str">
        <f aca="false">IF($E643="","",IF(OR($N643&lt;&gt;"Concluída",$O643="",$Q643=""),0,IF($O643&lt;=$Q643,1,0)))</f>
        <v/>
      </c>
      <c r="T643" s="28" t="str">
        <f aca="false">IF(OR($J643="",$N643&lt;&gt;"Concluída",$O643=""),"",MAX(0,$O643-$J643))</f>
        <v/>
      </c>
      <c r="U643" s="33" t="str">
        <f aca="true">IF($E643="","",IF($N643="Cancelada","Cancelada",IF($N643="Concluída",IF($R643=1,"No prazo","Concluída com atraso"),IF($J643="","Na carteira",IF($J643&lt;TODAY(),"VENCIDA",IF($J643=TODAY(),"Hoje","Programada"))))))</f>
        <v/>
      </c>
    </row>
    <row r="644" customFormat="false" ht="15.75" hidden="false" customHeight="true" outlineLevel="0" collapsed="false">
      <c r="A644" s="28" t="str">
        <f aca="false">IF($E644="","",COUNTA($E$4:$E644))</f>
        <v/>
      </c>
      <c r="B644" s="29"/>
      <c r="C644" s="29"/>
      <c r="D644" s="29"/>
      <c r="E644" s="29"/>
      <c r="F644" s="30"/>
      <c r="G644" s="29"/>
      <c r="H644" s="30"/>
      <c r="I644" s="29"/>
      <c r="J644" s="31"/>
      <c r="K644" s="31"/>
      <c r="L644" s="30"/>
      <c r="M644" s="29"/>
      <c r="N644" s="30"/>
      <c r="O644" s="31"/>
      <c r="P644" s="32" t="str">
        <f aca="false">IF($J644="","",$J644-WEEKDAY($J644,3))</f>
        <v/>
      </c>
      <c r="Q644" s="32" t="str">
        <f aca="false">IF($J644="","",IF($K644="",$J644,$K644))</f>
        <v/>
      </c>
      <c r="R644" s="28" t="str">
        <f aca="false">IF($E644="","",IF(OR($N644&lt;&gt;"Concluída",$O644="",$J644=""),0,IF($O644&lt;=$J644,1,0)))</f>
        <v/>
      </c>
      <c r="S644" s="28" t="str">
        <f aca="false">IF($E644="","",IF(OR($N644&lt;&gt;"Concluída",$O644="",$Q644=""),0,IF($O644&lt;=$Q644,1,0)))</f>
        <v/>
      </c>
      <c r="T644" s="28" t="str">
        <f aca="false">IF(OR($J644="",$N644&lt;&gt;"Concluída",$O644=""),"",MAX(0,$O644-$J644))</f>
        <v/>
      </c>
      <c r="U644" s="33" t="str">
        <f aca="true">IF($E644="","",IF($N644="Cancelada","Cancelada",IF($N644="Concluída",IF($R644=1,"No prazo","Concluída com atraso"),IF($J644="","Na carteira",IF($J644&lt;TODAY(),"VENCIDA",IF($J644=TODAY(),"Hoje","Programada"))))))</f>
        <v/>
      </c>
    </row>
    <row r="645" customFormat="false" ht="15.75" hidden="false" customHeight="true" outlineLevel="0" collapsed="false">
      <c r="A645" s="28" t="str">
        <f aca="false">IF($E645="","",COUNTA($E$4:$E645))</f>
        <v/>
      </c>
      <c r="B645" s="34"/>
      <c r="C645" s="34"/>
      <c r="D645" s="34"/>
      <c r="E645" s="34"/>
      <c r="F645" s="35"/>
      <c r="G645" s="34"/>
      <c r="H645" s="35"/>
      <c r="I645" s="34"/>
      <c r="J645" s="36"/>
      <c r="K645" s="36"/>
      <c r="L645" s="35"/>
      <c r="M645" s="34"/>
      <c r="N645" s="35"/>
      <c r="O645" s="36"/>
      <c r="P645" s="32" t="str">
        <f aca="false">IF($J645="","",$J645-WEEKDAY($J645,3))</f>
        <v/>
      </c>
      <c r="Q645" s="32" t="str">
        <f aca="false">IF($J645="","",IF($K645="",$J645,$K645))</f>
        <v/>
      </c>
      <c r="R645" s="28" t="str">
        <f aca="false">IF($E645="","",IF(OR($N645&lt;&gt;"Concluída",$O645="",$J645=""),0,IF($O645&lt;=$J645,1,0)))</f>
        <v/>
      </c>
      <c r="S645" s="28" t="str">
        <f aca="false">IF($E645="","",IF(OR($N645&lt;&gt;"Concluída",$O645="",$Q645=""),0,IF($O645&lt;=$Q645,1,0)))</f>
        <v/>
      </c>
      <c r="T645" s="28" t="str">
        <f aca="false">IF(OR($J645="",$N645&lt;&gt;"Concluída",$O645=""),"",MAX(0,$O645-$J645))</f>
        <v/>
      </c>
      <c r="U645" s="33" t="str">
        <f aca="true">IF($E645="","",IF($N645="Cancelada","Cancelada",IF($N645="Concluída",IF($R645=1,"No prazo","Concluída com atraso"),IF($J645="","Na carteira",IF($J645&lt;TODAY(),"VENCIDA",IF($J645=TODAY(),"Hoje","Programada"))))))</f>
        <v/>
      </c>
    </row>
    <row r="646" customFormat="false" ht="15.75" hidden="false" customHeight="true" outlineLevel="0" collapsed="false">
      <c r="A646" s="28" t="str">
        <f aca="false">IF($E646="","",COUNTA($E$4:$E646))</f>
        <v/>
      </c>
      <c r="B646" s="29"/>
      <c r="C646" s="29"/>
      <c r="D646" s="29"/>
      <c r="E646" s="29"/>
      <c r="F646" s="30"/>
      <c r="G646" s="29"/>
      <c r="H646" s="30"/>
      <c r="I646" s="29"/>
      <c r="J646" s="31"/>
      <c r="K646" s="31"/>
      <c r="L646" s="30"/>
      <c r="M646" s="29"/>
      <c r="N646" s="30"/>
      <c r="O646" s="31"/>
      <c r="P646" s="32" t="str">
        <f aca="false">IF($J646="","",$J646-WEEKDAY($J646,3))</f>
        <v/>
      </c>
      <c r="Q646" s="32" t="str">
        <f aca="false">IF($J646="","",IF($K646="",$J646,$K646))</f>
        <v/>
      </c>
      <c r="R646" s="28" t="str">
        <f aca="false">IF($E646="","",IF(OR($N646&lt;&gt;"Concluída",$O646="",$J646=""),0,IF($O646&lt;=$J646,1,0)))</f>
        <v/>
      </c>
      <c r="S646" s="28" t="str">
        <f aca="false">IF($E646="","",IF(OR($N646&lt;&gt;"Concluída",$O646="",$Q646=""),0,IF($O646&lt;=$Q646,1,0)))</f>
        <v/>
      </c>
      <c r="T646" s="28" t="str">
        <f aca="false">IF(OR($J646="",$N646&lt;&gt;"Concluída",$O646=""),"",MAX(0,$O646-$J646))</f>
        <v/>
      </c>
      <c r="U646" s="33" t="str">
        <f aca="true">IF($E646="","",IF($N646="Cancelada","Cancelada",IF($N646="Concluída",IF($R646=1,"No prazo","Concluída com atraso"),IF($J646="","Na carteira",IF($J646&lt;TODAY(),"VENCIDA",IF($J646=TODAY(),"Hoje","Programada"))))))</f>
        <v/>
      </c>
    </row>
    <row r="647" customFormat="false" ht="15.75" hidden="false" customHeight="true" outlineLevel="0" collapsed="false">
      <c r="A647" s="28" t="str">
        <f aca="false">IF($E647="","",COUNTA($E$4:$E647))</f>
        <v/>
      </c>
      <c r="B647" s="34"/>
      <c r="C647" s="34"/>
      <c r="D647" s="34"/>
      <c r="E647" s="34"/>
      <c r="F647" s="35"/>
      <c r="G647" s="34"/>
      <c r="H647" s="35"/>
      <c r="I647" s="34"/>
      <c r="J647" s="36"/>
      <c r="K647" s="36"/>
      <c r="L647" s="35"/>
      <c r="M647" s="34"/>
      <c r="N647" s="35"/>
      <c r="O647" s="36"/>
      <c r="P647" s="32" t="str">
        <f aca="false">IF($J647="","",$J647-WEEKDAY($J647,3))</f>
        <v/>
      </c>
      <c r="Q647" s="32" t="str">
        <f aca="false">IF($J647="","",IF($K647="",$J647,$K647))</f>
        <v/>
      </c>
      <c r="R647" s="28" t="str">
        <f aca="false">IF($E647="","",IF(OR($N647&lt;&gt;"Concluída",$O647="",$J647=""),0,IF($O647&lt;=$J647,1,0)))</f>
        <v/>
      </c>
      <c r="S647" s="28" t="str">
        <f aca="false">IF($E647="","",IF(OR($N647&lt;&gt;"Concluída",$O647="",$Q647=""),0,IF($O647&lt;=$Q647,1,0)))</f>
        <v/>
      </c>
      <c r="T647" s="28" t="str">
        <f aca="false">IF(OR($J647="",$N647&lt;&gt;"Concluída",$O647=""),"",MAX(0,$O647-$J647))</f>
        <v/>
      </c>
      <c r="U647" s="33" t="str">
        <f aca="true">IF($E647="","",IF($N647="Cancelada","Cancelada",IF($N647="Concluída",IF($R647=1,"No prazo","Concluída com atraso"),IF($J647="","Na carteira",IF($J647&lt;TODAY(),"VENCIDA",IF($J647=TODAY(),"Hoje","Programada"))))))</f>
        <v/>
      </c>
    </row>
    <row r="648" customFormat="false" ht="15.75" hidden="false" customHeight="true" outlineLevel="0" collapsed="false">
      <c r="A648" s="28" t="str">
        <f aca="false">IF($E648="","",COUNTA($E$4:$E648))</f>
        <v/>
      </c>
      <c r="B648" s="29"/>
      <c r="C648" s="29"/>
      <c r="D648" s="29"/>
      <c r="E648" s="29"/>
      <c r="F648" s="30"/>
      <c r="G648" s="29"/>
      <c r="H648" s="30"/>
      <c r="I648" s="29"/>
      <c r="J648" s="31"/>
      <c r="K648" s="31"/>
      <c r="L648" s="30"/>
      <c r="M648" s="29"/>
      <c r="N648" s="30"/>
      <c r="O648" s="31"/>
      <c r="P648" s="32" t="str">
        <f aca="false">IF($J648="","",$J648-WEEKDAY($J648,3))</f>
        <v/>
      </c>
      <c r="Q648" s="32" t="str">
        <f aca="false">IF($J648="","",IF($K648="",$J648,$K648))</f>
        <v/>
      </c>
      <c r="R648" s="28" t="str">
        <f aca="false">IF($E648="","",IF(OR($N648&lt;&gt;"Concluída",$O648="",$J648=""),0,IF($O648&lt;=$J648,1,0)))</f>
        <v/>
      </c>
      <c r="S648" s="28" t="str">
        <f aca="false">IF($E648="","",IF(OR($N648&lt;&gt;"Concluída",$O648="",$Q648=""),0,IF($O648&lt;=$Q648,1,0)))</f>
        <v/>
      </c>
      <c r="T648" s="28" t="str">
        <f aca="false">IF(OR($J648="",$N648&lt;&gt;"Concluída",$O648=""),"",MAX(0,$O648-$J648))</f>
        <v/>
      </c>
      <c r="U648" s="33" t="str">
        <f aca="true">IF($E648="","",IF($N648="Cancelada","Cancelada",IF($N648="Concluída",IF($R648=1,"No prazo","Concluída com atraso"),IF($J648="","Na carteira",IF($J648&lt;TODAY(),"VENCIDA",IF($J648=TODAY(),"Hoje","Programada"))))))</f>
        <v/>
      </c>
    </row>
    <row r="649" customFormat="false" ht="15.75" hidden="false" customHeight="true" outlineLevel="0" collapsed="false">
      <c r="A649" s="28" t="str">
        <f aca="false">IF($E649="","",COUNTA($E$4:$E649))</f>
        <v/>
      </c>
      <c r="B649" s="34"/>
      <c r="C649" s="34"/>
      <c r="D649" s="34"/>
      <c r="E649" s="34"/>
      <c r="F649" s="35"/>
      <c r="G649" s="34"/>
      <c r="H649" s="35"/>
      <c r="I649" s="34"/>
      <c r="J649" s="36"/>
      <c r="K649" s="36"/>
      <c r="L649" s="35"/>
      <c r="M649" s="34"/>
      <c r="N649" s="35"/>
      <c r="O649" s="36"/>
      <c r="P649" s="32" t="str">
        <f aca="false">IF($J649="","",$J649-WEEKDAY($J649,3))</f>
        <v/>
      </c>
      <c r="Q649" s="32" t="str">
        <f aca="false">IF($J649="","",IF($K649="",$J649,$K649))</f>
        <v/>
      </c>
      <c r="R649" s="28" t="str">
        <f aca="false">IF($E649="","",IF(OR($N649&lt;&gt;"Concluída",$O649="",$J649=""),0,IF($O649&lt;=$J649,1,0)))</f>
        <v/>
      </c>
      <c r="S649" s="28" t="str">
        <f aca="false">IF($E649="","",IF(OR($N649&lt;&gt;"Concluída",$O649="",$Q649=""),0,IF($O649&lt;=$Q649,1,0)))</f>
        <v/>
      </c>
      <c r="T649" s="28" t="str">
        <f aca="false">IF(OR($J649="",$N649&lt;&gt;"Concluída",$O649=""),"",MAX(0,$O649-$J649))</f>
        <v/>
      </c>
      <c r="U649" s="33" t="str">
        <f aca="true">IF($E649="","",IF($N649="Cancelada","Cancelada",IF($N649="Concluída",IF($R649=1,"No prazo","Concluída com atraso"),IF($J649="","Na carteira",IF($J649&lt;TODAY(),"VENCIDA",IF($J649=TODAY(),"Hoje","Programada"))))))</f>
        <v/>
      </c>
    </row>
    <row r="650" customFormat="false" ht="15.75" hidden="false" customHeight="true" outlineLevel="0" collapsed="false">
      <c r="A650" s="28" t="str">
        <f aca="false">IF($E650="","",COUNTA($E$4:$E650))</f>
        <v/>
      </c>
      <c r="B650" s="29"/>
      <c r="C650" s="29"/>
      <c r="D650" s="29"/>
      <c r="E650" s="29"/>
      <c r="F650" s="30"/>
      <c r="G650" s="29"/>
      <c r="H650" s="30"/>
      <c r="I650" s="29"/>
      <c r="J650" s="31"/>
      <c r="K650" s="31"/>
      <c r="L650" s="30"/>
      <c r="M650" s="29"/>
      <c r="N650" s="30"/>
      <c r="O650" s="31"/>
      <c r="P650" s="32" t="str">
        <f aca="false">IF($J650="","",$J650-WEEKDAY($J650,3))</f>
        <v/>
      </c>
      <c r="Q650" s="32" t="str">
        <f aca="false">IF($J650="","",IF($K650="",$J650,$K650))</f>
        <v/>
      </c>
      <c r="R650" s="28" t="str">
        <f aca="false">IF($E650="","",IF(OR($N650&lt;&gt;"Concluída",$O650="",$J650=""),0,IF($O650&lt;=$J650,1,0)))</f>
        <v/>
      </c>
      <c r="S650" s="28" t="str">
        <f aca="false">IF($E650="","",IF(OR($N650&lt;&gt;"Concluída",$O650="",$Q650=""),0,IF($O650&lt;=$Q650,1,0)))</f>
        <v/>
      </c>
      <c r="T650" s="28" t="str">
        <f aca="false">IF(OR($J650="",$N650&lt;&gt;"Concluída",$O650=""),"",MAX(0,$O650-$J650))</f>
        <v/>
      </c>
      <c r="U650" s="33" t="str">
        <f aca="true">IF($E650="","",IF($N650="Cancelada","Cancelada",IF($N650="Concluída",IF($R650=1,"No prazo","Concluída com atraso"),IF($J650="","Na carteira",IF($J650&lt;TODAY(),"VENCIDA",IF($J650=TODAY(),"Hoje","Programada"))))))</f>
        <v/>
      </c>
    </row>
    <row r="651" customFormat="false" ht="15.75" hidden="false" customHeight="true" outlineLevel="0" collapsed="false">
      <c r="A651" s="28" t="str">
        <f aca="false">IF($E651="","",COUNTA($E$4:$E651))</f>
        <v/>
      </c>
      <c r="B651" s="34"/>
      <c r="C651" s="34"/>
      <c r="D651" s="34"/>
      <c r="E651" s="34"/>
      <c r="F651" s="35"/>
      <c r="G651" s="34"/>
      <c r="H651" s="35"/>
      <c r="I651" s="34"/>
      <c r="J651" s="36"/>
      <c r="K651" s="36"/>
      <c r="L651" s="35"/>
      <c r="M651" s="34"/>
      <c r="N651" s="35"/>
      <c r="O651" s="36"/>
      <c r="P651" s="32" t="str">
        <f aca="false">IF($J651="","",$J651-WEEKDAY($J651,3))</f>
        <v/>
      </c>
      <c r="Q651" s="32" t="str">
        <f aca="false">IF($J651="","",IF($K651="",$J651,$K651))</f>
        <v/>
      </c>
      <c r="R651" s="28" t="str">
        <f aca="false">IF($E651="","",IF(OR($N651&lt;&gt;"Concluída",$O651="",$J651=""),0,IF($O651&lt;=$J651,1,0)))</f>
        <v/>
      </c>
      <c r="S651" s="28" t="str">
        <f aca="false">IF($E651="","",IF(OR($N651&lt;&gt;"Concluída",$O651="",$Q651=""),0,IF($O651&lt;=$Q651,1,0)))</f>
        <v/>
      </c>
      <c r="T651" s="28" t="str">
        <f aca="false">IF(OR($J651="",$N651&lt;&gt;"Concluída",$O651=""),"",MAX(0,$O651-$J651))</f>
        <v/>
      </c>
      <c r="U651" s="33" t="str">
        <f aca="true">IF($E651="","",IF($N651="Cancelada","Cancelada",IF($N651="Concluída",IF($R651=1,"No prazo","Concluída com atraso"),IF($J651="","Na carteira",IF($J651&lt;TODAY(),"VENCIDA",IF($J651=TODAY(),"Hoje","Programada"))))))</f>
        <v/>
      </c>
    </row>
    <row r="652" customFormat="false" ht="15.75" hidden="false" customHeight="true" outlineLevel="0" collapsed="false">
      <c r="A652" s="28" t="str">
        <f aca="false">IF($E652="","",COUNTA($E$4:$E652))</f>
        <v/>
      </c>
      <c r="B652" s="29"/>
      <c r="C652" s="29"/>
      <c r="D652" s="29"/>
      <c r="E652" s="29"/>
      <c r="F652" s="30"/>
      <c r="G652" s="29"/>
      <c r="H652" s="30"/>
      <c r="I652" s="29"/>
      <c r="J652" s="31"/>
      <c r="K652" s="31"/>
      <c r="L652" s="30"/>
      <c r="M652" s="29"/>
      <c r="N652" s="30"/>
      <c r="O652" s="31"/>
      <c r="P652" s="32" t="str">
        <f aca="false">IF($J652="","",$J652-WEEKDAY($J652,3))</f>
        <v/>
      </c>
      <c r="Q652" s="32" t="str">
        <f aca="false">IF($J652="","",IF($K652="",$J652,$K652))</f>
        <v/>
      </c>
      <c r="R652" s="28" t="str">
        <f aca="false">IF($E652="","",IF(OR($N652&lt;&gt;"Concluída",$O652="",$J652=""),0,IF($O652&lt;=$J652,1,0)))</f>
        <v/>
      </c>
      <c r="S652" s="28" t="str">
        <f aca="false">IF($E652="","",IF(OR($N652&lt;&gt;"Concluída",$O652="",$Q652=""),0,IF($O652&lt;=$Q652,1,0)))</f>
        <v/>
      </c>
      <c r="T652" s="28" t="str">
        <f aca="false">IF(OR($J652="",$N652&lt;&gt;"Concluída",$O652=""),"",MAX(0,$O652-$J652))</f>
        <v/>
      </c>
      <c r="U652" s="33" t="str">
        <f aca="true">IF($E652="","",IF($N652="Cancelada","Cancelada",IF($N652="Concluída",IF($R652=1,"No prazo","Concluída com atraso"),IF($J652="","Na carteira",IF($J652&lt;TODAY(),"VENCIDA",IF($J652=TODAY(),"Hoje","Programada"))))))</f>
        <v/>
      </c>
    </row>
    <row r="653" customFormat="false" ht="15.75" hidden="false" customHeight="true" outlineLevel="0" collapsed="false">
      <c r="A653" s="28" t="str">
        <f aca="false">IF($E653="","",COUNTA($E$4:$E653))</f>
        <v/>
      </c>
      <c r="B653" s="34"/>
      <c r="C653" s="34"/>
      <c r="D653" s="34"/>
      <c r="E653" s="34"/>
      <c r="F653" s="35"/>
      <c r="G653" s="34"/>
      <c r="H653" s="35"/>
      <c r="I653" s="34"/>
      <c r="J653" s="36"/>
      <c r="K653" s="36"/>
      <c r="L653" s="35"/>
      <c r="M653" s="34"/>
      <c r="N653" s="35"/>
      <c r="O653" s="36"/>
      <c r="P653" s="32" t="str">
        <f aca="false">IF($J653="","",$J653-WEEKDAY($J653,3))</f>
        <v/>
      </c>
      <c r="Q653" s="32" t="str">
        <f aca="false">IF($J653="","",IF($K653="",$J653,$K653))</f>
        <v/>
      </c>
      <c r="R653" s="28" t="str">
        <f aca="false">IF($E653="","",IF(OR($N653&lt;&gt;"Concluída",$O653="",$J653=""),0,IF($O653&lt;=$J653,1,0)))</f>
        <v/>
      </c>
      <c r="S653" s="28" t="str">
        <f aca="false">IF($E653="","",IF(OR($N653&lt;&gt;"Concluída",$O653="",$Q653=""),0,IF($O653&lt;=$Q653,1,0)))</f>
        <v/>
      </c>
      <c r="T653" s="28" t="str">
        <f aca="false">IF(OR($J653="",$N653&lt;&gt;"Concluída",$O653=""),"",MAX(0,$O653-$J653))</f>
        <v/>
      </c>
      <c r="U653" s="33" t="str">
        <f aca="true">IF($E653="","",IF($N653="Cancelada","Cancelada",IF($N653="Concluída",IF($R653=1,"No prazo","Concluída com atraso"),IF($J653="","Na carteira",IF($J653&lt;TODAY(),"VENCIDA",IF($J653=TODAY(),"Hoje","Programada"))))))</f>
        <v/>
      </c>
    </row>
    <row r="654" customFormat="false" ht="15.75" hidden="false" customHeight="true" outlineLevel="0" collapsed="false">
      <c r="A654" s="28" t="str">
        <f aca="false">IF($E654="","",COUNTA($E$4:$E654))</f>
        <v/>
      </c>
      <c r="B654" s="29"/>
      <c r="C654" s="29"/>
      <c r="D654" s="29"/>
      <c r="E654" s="29"/>
      <c r="F654" s="30"/>
      <c r="G654" s="29"/>
      <c r="H654" s="30"/>
      <c r="I654" s="29"/>
      <c r="J654" s="31"/>
      <c r="K654" s="31"/>
      <c r="L654" s="30"/>
      <c r="M654" s="29"/>
      <c r="N654" s="30"/>
      <c r="O654" s="31"/>
      <c r="P654" s="32" t="str">
        <f aca="false">IF($J654="","",$J654-WEEKDAY($J654,3))</f>
        <v/>
      </c>
      <c r="Q654" s="32" t="str">
        <f aca="false">IF($J654="","",IF($K654="",$J654,$K654))</f>
        <v/>
      </c>
      <c r="R654" s="28" t="str">
        <f aca="false">IF($E654="","",IF(OR($N654&lt;&gt;"Concluída",$O654="",$J654=""),0,IF($O654&lt;=$J654,1,0)))</f>
        <v/>
      </c>
      <c r="S654" s="28" t="str">
        <f aca="false">IF($E654="","",IF(OR($N654&lt;&gt;"Concluída",$O654="",$Q654=""),0,IF($O654&lt;=$Q654,1,0)))</f>
        <v/>
      </c>
      <c r="T654" s="28" t="str">
        <f aca="false">IF(OR($J654="",$N654&lt;&gt;"Concluída",$O654=""),"",MAX(0,$O654-$J654))</f>
        <v/>
      </c>
      <c r="U654" s="33" t="str">
        <f aca="true">IF($E654="","",IF($N654="Cancelada","Cancelada",IF($N654="Concluída",IF($R654=1,"No prazo","Concluída com atraso"),IF($J654="","Na carteira",IF($J654&lt;TODAY(),"VENCIDA",IF($J654=TODAY(),"Hoje","Programada"))))))</f>
        <v/>
      </c>
    </row>
    <row r="655" customFormat="false" ht="15.75" hidden="false" customHeight="true" outlineLevel="0" collapsed="false">
      <c r="A655" s="28" t="str">
        <f aca="false">IF($E655="","",COUNTA($E$4:$E655))</f>
        <v/>
      </c>
      <c r="B655" s="34"/>
      <c r="C655" s="34"/>
      <c r="D655" s="34"/>
      <c r="E655" s="34"/>
      <c r="F655" s="35"/>
      <c r="G655" s="34"/>
      <c r="H655" s="35"/>
      <c r="I655" s="34"/>
      <c r="J655" s="36"/>
      <c r="K655" s="36"/>
      <c r="L655" s="35"/>
      <c r="M655" s="34"/>
      <c r="N655" s="35"/>
      <c r="O655" s="36"/>
      <c r="P655" s="32" t="str">
        <f aca="false">IF($J655="","",$J655-WEEKDAY($J655,3))</f>
        <v/>
      </c>
      <c r="Q655" s="32" t="str">
        <f aca="false">IF($J655="","",IF($K655="",$J655,$K655))</f>
        <v/>
      </c>
      <c r="R655" s="28" t="str">
        <f aca="false">IF($E655="","",IF(OR($N655&lt;&gt;"Concluída",$O655="",$J655=""),0,IF($O655&lt;=$J655,1,0)))</f>
        <v/>
      </c>
      <c r="S655" s="28" t="str">
        <f aca="false">IF($E655="","",IF(OR($N655&lt;&gt;"Concluída",$O655="",$Q655=""),0,IF($O655&lt;=$Q655,1,0)))</f>
        <v/>
      </c>
      <c r="T655" s="28" t="str">
        <f aca="false">IF(OR($J655="",$N655&lt;&gt;"Concluída",$O655=""),"",MAX(0,$O655-$J655))</f>
        <v/>
      </c>
      <c r="U655" s="33" t="str">
        <f aca="true">IF($E655="","",IF($N655="Cancelada","Cancelada",IF($N655="Concluída",IF($R655=1,"No prazo","Concluída com atraso"),IF($J655="","Na carteira",IF($J655&lt;TODAY(),"VENCIDA",IF($J655=TODAY(),"Hoje","Programada"))))))</f>
        <v/>
      </c>
    </row>
    <row r="656" customFormat="false" ht="15.75" hidden="false" customHeight="true" outlineLevel="0" collapsed="false">
      <c r="A656" s="28" t="str">
        <f aca="false">IF($E656="","",COUNTA($E$4:$E656))</f>
        <v/>
      </c>
      <c r="B656" s="29"/>
      <c r="C656" s="29"/>
      <c r="D656" s="29"/>
      <c r="E656" s="29"/>
      <c r="F656" s="30"/>
      <c r="G656" s="29"/>
      <c r="H656" s="30"/>
      <c r="I656" s="29"/>
      <c r="J656" s="31"/>
      <c r="K656" s="31"/>
      <c r="L656" s="30"/>
      <c r="M656" s="29"/>
      <c r="N656" s="30"/>
      <c r="O656" s="31"/>
      <c r="P656" s="32" t="str">
        <f aca="false">IF($J656="","",$J656-WEEKDAY($J656,3))</f>
        <v/>
      </c>
      <c r="Q656" s="32" t="str">
        <f aca="false">IF($J656="","",IF($K656="",$J656,$K656))</f>
        <v/>
      </c>
      <c r="R656" s="28" t="str">
        <f aca="false">IF($E656="","",IF(OR($N656&lt;&gt;"Concluída",$O656="",$J656=""),0,IF($O656&lt;=$J656,1,0)))</f>
        <v/>
      </c>
      <c r="S656" s="28" t="str">
        <f aca="false">IF($E656="","",IF(OR($N656&lt;&gt;"Concluída",$O656="",$Q656=""),0,IF($O656&lt;=$Q656,1,0)))</f>
        <v/>
      </c>
      <c r="T656" s="28" t="str">
        <f aca="false">IF(OR($J656="",$N656&lt;&gt;"Concluída",$O656=""),"",MAX(0,$O656-$J656))</f>
        <v/>
      </c>
      <c r="U656" s="33" t="str">
        <f aca="true">IF($E656="","",IF($N656="Cancelada","Cancelada",IF($N656="Concluída",IF($R656=1,"No prazo","Concluída com atraso"),IF($J656="","Na carteira",IF($J656&lt;TODAY(),"VENCIDA",IF($J656=TODAY(),"Hoje","Programada"))))))</f>
        <v/>
      </c>
    </row>
    <row r="657" customFormat="false" ht="15.75" hidden="false" customHeight="true" outlineLevel="0" collapsed="false">
      <c r="A657" s="28" t="str">
        <f aca="false">IF($E657="","",COUNTA($E$4:$E657))</f>
        <v/>
      </c>
      <c r="B657" s="34"/>
      <c r="C657" s="34"/>
      <c r="D657" s="34"/>
      <c r="E657" s="34"/>
      <c r="F657" s="35"/>
      <c r="G657" s="34"/>
      <c r="H657" s="35"/>
      <c r="I657" s="34"/>
      <c r="J657" s="36"/>
      <c r="K657" s="36"/>
      <c r="L657" s="35"/>
      <c r="M657" s="34"/>
      <c r="N657" s="35"/>
      <c r="O657" s="36"/>
      <c r="P657" s="32" t="str">
        <f aca="false">IF($J657="","",$J657-WEEKDAY($J657,3))</f>
        <v/>
      </c>
      <c r="Q657" s="32" t="str">
        <f aca="false">IF($J657="","",IF($K657="",$J657,$K657))</f>
        <v/>
      </c>
      <c r="R657" s="28" t="str">
        <f aca="false">IF($E657="","",IF(OR($N657&lt;&gt;"Concluída",$O657="",$J657=""),0,IF($O657&lt;=$J657,1,0)))</f>
        <v/>
      </c>
      <c r="S657" s="28" t="str">
        <f aca="false">IF($E657="","",IF(OR($N657&lt;&gt;"Concluída",$O657="",$Q657=""),0,IF($O657&lt;=$Q657,1,0)))</f>
        <v/>
      </c>
      <c r="T657" s="28" t="str">
        <f aca="false">IF(OR($J657="",$N657&lt;&gt;"Concluída",$O657=""),"",MAX(0,$O657-$J657))</f>
        <v/>
      </c>
      <c r="U657" s="33" t="str">
        <f aca="true">IF($E657="","",IF($N657="Cancelada","Cancelada",IF($N657="Concluída",IF($R657=1,"No prazo","Concluída com atraso"),IF($J657="","Na carteira",IF($J657&lt;TODAY(),"VENCIDA",IF($J657=TODAY(),"Hoje","Programada"))))))</f>
        <v/>
      </c>
    </row>
    <row r="658" customFormat="false" ht="15.75" hidden="false" customHeight="true" outlineLevel="0" collapsed="false">
      <c r="A658" s="28" t="str">
        <f aca="false">IF($E658="","",COUNTA($E$4:$E658))</f>
        <v/>
      </c>
      <c r="B658" s="29"/>
      <c r="C658" s="29"/>
      <c r="D658" s="29"/>
      <c r="E658" s="29"/>
      <c r="F658" s="30"/>
      <c r="G658" s="29"/>
      <c r="H658" s="30"/>
      <c r="I658" s="29"/>
      <c r="J658" s="31"/>
      <c r="K658" s="31"/>
      <c r="L658" s="30"/>
      <c r="M658" s="29"/>
      <c r="N658" s="30"/>
      <c r="O658" s="31"/>
      <c r="P658" s="32" t="str">
        <f aca="false">IF($J658="","",$J658-WEEKDAY($J658,3))</f>
        <v/>
      </c>
      <c r="Q658" s="32" t="str">
        <f aca="false">IF($J658="","",IF($K658="",$J658,$K658))</f>
        <v/>
      </c>
      <c r="R658" s="28" t="str">
        <f aca="false">IF($E658="","",IF(OR($N658&lt;&gt;"Concluída",$O658="",$J658=""),0,IF($O658&lt;=$J658,1,0)))</f>
        <v/>
      </c>
      <c r="S658" s="28" t="str">
        <f aca="false">IF($E658="","",IF(OR($N658&lt;&gt;"Concluída",$O658="",$Q658=""),0,IF($O658&lt;=$Q658,1,0)))</f>
        <v/>
      </c>
      <c r="T658" s="28" t="str">
        <f aca="false">IF(OR($J658="",$N658&lt;&gt;"Concluída",$O658=""),"",MAX(0,$O658-$J658))</f>
        <v/>
      </c>
      <c r="U658" s="33" t="str">
        <f aca="true">IF($E658="","",IF($N658="Cancelada","Cancelada",IF($N658="Concluída",IF($R658=1,"No prazo","Concluída com atraso"),IF($J658="","Na carteira",IF($J658&lt;TODAY(),"VENCIDA",IF($J658=TODAY(),"Hoje","Programada"))))))</f>
        <v/>
      </c>
    </row>
    <row r="659" customFormat="false" ht="15.75" hidden="false" customHeight="true" outlineLevel="0" collapsed="false">
      <c r="A659" s="28" t="str">
        <f aca="false">IF($E659="","",COUNTA($E$4:$E659))</f>
        <v/>
      </c>
      <c r="B659" s="34"/>
      <c r="C659" s="34"/>
      <c r="D659" s="34"/>
      <c r="E659" s="34"/>
      <c r="F659" s="35"/>
      <c r="G659" s="34"/>
      <c r="H659" s="35"/>
      <c r="I659" s="34"/>
      <c r="J659" s="36"/>
      <c r="K659" s="36"/>
      <c r="L659" s="35"/>
      <c r="M659" s="34"/>
      <c r="N659" s="35"/>
      <c r="O659" s="36"/>
      <c r="P659" s="32" t="str">
        <f aca="false">IF($J659="","",$J659-WEEKDAY($J659,3))</f>
        <v/>
      </c>
      <c r="Q659" s="32" t="str">
        <f aca="false">IF($J659="","",IF($K659="",$J659,$K659))</f>
        <v/>
      </c>
      <c r="R659" s="28" t="str">
        <f aca="false">IF($E659="","",IF(OR($N659&lt;&gt;"Concluída",$O659="",$J659=""),0,IF($O659&lt;=$J659,1,0)))</f>
        <v/>
      </c>
      <c r="S659" s="28" t="str">
        <f aca="false">IF($E659="","",IF(OR($N659&lt;&gt;"Concluída",$O659="",$Q659=""),0,IF($O659&lt;=$Q659,1,0)))</f>
        <v/>
      </c>
      <c r="T659" s="28" t="str">
        <f aca="false">IF(OR($J659="",$N659&lt;&gt;"Concluída",$O659=""),"",MAX(0,$O659-$J659))</f>
        <v/>
      </c>
      <c r="U659" s="33" t="str">
        <f aca="true">IF($E659="","",IF($N659="Cancelada","Cancelada",IF($N659="Concluída",IF($R659=1,"No prazo","Concluída com atraso"),IF($J659="","Na carteira",IF($J659&lt;TODAY(),"VENCIDA",IF($J659=TODAY(),"Hoje","Programada"))))))</f>
        <v/>
      </c>
    </row>
    <row r="660" customFormat="false" ht="15.75" hidden="false" customHeight="true" outlineLevel="0" collapsed="false">
      <c r="A660" s="28" t="str">
        <f aca="false">IF($E660="","",COUNTA($E$4:$E660))</f>
        <v/>
      </c>
      <c r="B660" s="29"/>
      <c r="C660" s="29"/>
      <c r="D660" s="29"/>
      <c r="E660" s="29"/>
      <c r="F660" s="30"/>
      <c r="G660" s="29"/>
      <c r="H660" s="30"/>
      <c r="I660" s="29"/>
      <c r="J660" s="31"/>
      <c r="K660" s="31"/>
      <c r="L660" s="30"/>
      <c r="M660" s="29"/>
      <c r="N660" s="30"/>
      <c r="O660" s="31"/>
      <c r="P660" s="32" t="str">
        <f aca="false">IF($J660="","",$J660-WEEKDAY($J660,3))</f>
        <v/>
      </c>
      <c r="Q660" s="32" t="str">
        <f aca="false">IF($J660="","",IF($K660="",$J660,$K660))</f>
        <v/>
      </c>
      <c r="R660" s="28" t="str">
        <f aca="false">IF($E660="","",IF(OR($N660&lt;&gt;"Concluída",$O660="",$J660=""),0,IF($O660&lt;=$J660,1,0)))</f>
        <v/>
      </c>
      <c r="S660" s="28" t="str">
        <f aca="false">IF($E660="","",IF(OR($N660&lt;&gt;"Concluída",$O660="",$Q660=""),0,IF($O660&lt;=$Q660,1,0)))</f>
        <v/>
      </c>
      <c r="T660" s="28" t="str">
        <f aca="false">IF(OR($J660="",$N660&lt;&gt;"Concluída",$O660=""),"",MAX(0,$O660-$J660))</f>
        <v/>
      </c>
      <c r="U660" s="33" t="str">
        <f aca="true">IF($E660="","",IF($N660="Cancelada","Cancelada",IF($N660="Concluída",IF($R660=1,"No prazo","Concluída com atraso"),IF($J660="","Na carteira",IF($J660&lt;TODAY(),"VENCIDA",IF($J660=TODAY(),"Hoje","Programada"))))))</f>
        <v/>
      </c>
    </row>
    <row r="661" customFormat="false" ht="15.75" hidden="false" customHeight="true" outlineLevel="0" collapsed="false">
      <c r="A661" s="28" t="str">
        <f aca="false">IF($E661="","",COUNTA($E$4:$E661))</f>
        <v/>
      </c>
      <c r="B661" s="34"/>
      <c r="C661" s="34"/>
      <c r="D661" s="34"/>
      <c r="E661" s="34"/>
      <c r="F661" s="35"/>
      <c r="G661" s="34"/>
      <c r="H661" s="35"/>
      <c r="I661" s="34"/>
      <c r="J661" s="36"/>
      <c r="K661" s="36"/>
      <c r="L661" s="35"/>
      <c r="M661" s="34"/>
      <c r="N661" s="35"/>
      <c r="O661" s="36"/>
      <c r="P661" s="32" t="str">
        <f aca="false">IF($J661="","",$J661-WEEKDAY($J661,3))</f>
        <v/>
      </c>
      <c r="Q661" s="32" t="str">
        <f aca="false">IF($J661="","",IF($K661="",$J661,$K661))</f>
        <v/>
      </c>
      <c r="R661" s="28" t="str">
        <f aca="false">IF($E661="","",IF(OR($N661&lt;&gt;"Concluída",$O661="",$J661=""),0,IF($O661&lt;=$J661,1,0)))</f>
        <v/>
      </c>
      <c r="S661" s="28" t="str">
        <f aca="false">IF($E661="","",IF(OR($N661&lt;&gt;"Concluída",$O661="",$Q661=""),0,IF($O661&lt;=$Q661,1,0)))</f>
        <v/>
      </c>
      <c r="T661" s="28" t="str">
        <f aca="false">IF(OR($J661="",$N661&lt;&gt;"Concluída",$O661=""),"",MAX(0,$O661-$J661))</f>
        <v/>
      </c>
      <c r="U661" s="33" t="str">
        <f aca="true">IF($E661="","",IF($N661="Cancelada","Cancelada",IF($N661="Concluída",IF($R661=1,"No prazo","Concluída com atraso"),IF($J661="","Na carteira",IF($J661&lt;TODAY(),"VENCIDA",IF($J661=TODAY(),"Hoje","Programada"))))))</f>
        <v/>
      </c>
    </row>
    <row r="662" customFormat="false" ht="15.75" hidden="false" customHeight="true" outlineLevel="0" collapsed="false">
      <c r="A662" s="28" t="str">
        <f aca="false">IF($E662="","",COUNTA($E$4:$E662))</f>
        <v/>
      </c>
      <c r="B662" s="29"/>
      <c r="C662" s="29"/>
      <c r="D662" s="29"/>
      <c r="E662" s="29"/>
      <c r="F662" s="30"/>
      <c r="G662" s="29"/>
      <c r="H662" s="30"/>
      <c r="I662" s="29"/>
      <c r="J662" s="31"/>
      <c r="K662" s="31"/>
      <c r="L662" s="30"/>
      <c r="M662" s="29"/>
      <c r="N662" s="30"/>
      <c r="O662" s="31"/>
      <c r="P662" s="32" t="str">
        <f aca="false">IF($J662="","",$J662-WEEKDAY($J662,3))</f>
        <v/>
      </c>
      <c r="Q662" s="32" t="str">
        <f aca="false">IF($J662="","",IF($K662="",$J662,$K662))</f>
        <v/>
      </c>
      <c r="R662" s="28" t="str">
        <f aca="false">IF($E662="","",IF(OR($N662&lt;&gt;"Concluída",$O662="",$J662=""),0,IF($O662&lt;=$J662,1,0)))</f>
        <v/>
      </c>
      <c r="S662" s="28" t="str">
        <f aca="false">IF($E662="","",IF(OR($N662&lt;&gt;"Concluída",$O662="",$Q662=""),0,IF($O662&lt;=$Q662,1,0)))</f>
        <v/>
      </c>
      <c r="T662" s="28" t="str">
        <f aca="false">IF(OR($J662="",$N662&lt;&gt;"Concluída",$O662=""),"",MAX(0,$O662-$J662))</f>
        <v/>
      </c>
      <c r="U662" s="33" t="str">
        <f aca="true">IF($E662="","",IF($N662="Cancelada","Cancelada",IF($N662="Concluída",IF($R662=1,"No prazo","Concluída com atraso"),IF($J662="","Na carteira",IF($J662&lt;TODAY(),"VENCIDA",IF($J662=TODAY(),"Hoje","Programada"))))))</f>
        <v/>
      </c>
    </row>
    <row r="663" customFormat="false" ht="15.75" hidden="false" customHeight="true" outlineLevel="0" collapsed="false">
      <c r="A663" s="28" t="str">
        <f aca="false">IF($E663="","",COUNTA($E$4:$E663))</f>
        <v/>
      </c>
      <c r="B663" s="34"/>
      <c r="C663" s="34"/>
      <c r="D663" s="34"/>
      <c r="E663" s="34"/>
      <c r="F663" s="35"/>
      <c r="G663" s="34"/>
      <c r="H663" s="35"/>
      <c r="I663" s="34"/>
      <c r="J663" s="36"/>
      <c r="K663" s="36"/>
      <c r="L663" s="35"/>
      <c r="M663" s="34"/>
      <c r="N663" s="35"/>
      <c r="O663" s="36"/>
      <c r="P663" s="32" t="str">
        <f aca="false">IF($J663="","",$J663-WEEKDAY($J663,3))</f>
        <v/>
      </c>
      <c r="Q663" s="32" t="str">
        <f aca="false">IF($J663="","",IF($K663="",$J663,$K663))</f>
        <v/>
      </c>
      <c r="R663" s="28" t="str">
        <f aca="false">IF($E663="","",IF(OR($N663&lt;&gt;"Concluída",$O663="",$J663=""),0,IF($O663&lt;=$J663,1,0)))</f>
        <v/>
      </c>
      <c r="S663" s="28" t="str">
        <f aca="false">IF($E663="","",IF(OR($N663&lt;&gt;"Concluída",$O663="",$Q663=""),0,IF($O663&lt;=$Q663,1,0)))</f>
        <v/>
      </c>
      <c r="T663" s="28" t="str">
        <f aca="false">IF(OR($J663="",$N663&lt;&gt;"Concluída",$O663=""),"",MAX(0,$O663-$J663))</f>
        <v/>
      </c>
      <c r="U663" s="33" t="str">
        <f aca="true">IF($E663="","",IF($N663="Cancelada","Cancelada",IF($N663="Concluída",IF($R663=1,"No prazo","Concluída com atraso"),IF($J663="","Na carteira",IF($J663&lt;TODAY(),"VENCIDA",IF($J663=TODAY(),"Hoje","Programada"))))))</f>
        <v/>
      </c>
    </row>
    <row r="664" customFormat="false" ht="15.75" hidden="false" customHeight="true" outlineLevel="0" collapsed="false">
      <c r="A664" s="28" t="str">
        <f aca="false">IF($E664="","",COUNTA($E$4:$E664))</f>
        <v/>
      </c>
      <c r="B664" s="29"/>
      <c r="C664" s="29"/>
      <c r="D664" s="29"/>
      <c r="E664" s="29"/>
      <c r="F664" s="30"/>
      <c r="G664" s="29"/>
      <c r="H664" s="30"/>
      <c r="I664" s="29"/>
      <c r="J664" s="31"/>
      <c r="K664" s="31"/>
      <c r="L664" s="30"/>
      <c r="M664" s="29"/>
      <c r="N664" s="30"/>
      <c r="O664" s="31"/>
      <c r="P664" s="32" t="str">
        <f aca="false">IF($J664="","",$J664-WEEKDAY($J664,3))</f>
        <v/>
      </c>
      <c r="Q664" s="32" t="str">
        <f aca="false">IF($J664="","",IF($K664="",$J664,$K664))</f>
        <v/>
      </c>
      <c r="R664" s="28" t="str">
        <f aca="false">IF($E664="","",IF(OR($N664&lt;&gt;"Concluída",$O664="",$J664=""),0,IF($O664&lt;=$J664,1,0)))</f>
        <v/>
      </c>
      <c r="S664" s="28" t="str">
        <f aca="false">IF($E664="","",IF(OR($N664&lt;&gt;"Concluída",$O664="",$Q664=""),0,IF($O664&lt;=$Q664,1,0)))</f>
        <v/>
      </c>
      <c r="T664" s="28" t="str">
        <f aca="false">IF(OR($J664="",$N664&lt;&gt;"Concluída",$O664=""),"",MAX(0,$O664-$J664))</f>
        <v/>
      </c>
      <c r="U664" s="33" t="str">
        <f aca="true">IF($E664="","",IF($N664="Cancelada","Cancelada",IF($N664="Concluída",IF($R664=1,"No prazo","Concluída com atraso"),IF($J664="","Na carteira",IF($J664&lt;TODAY(),"VENCIDA",IF($J664=TODAY(),"Hoje","Programada"))))))</f>
        <v/>
      </c>
    </row>
    <row r="665" customFormat="false" ht="15.75" hidden="false" customHeight="true" outlineLevel="0" collapsed="false">
      <c r="A665" s="28" t="str">
        <f aca="false">IF($E665="","",COUNTA($E$4:$E665))</f>
        <v/>
      </c>
      <c r="B665" s="34"/>
      <c r="C665" s="34"/>
      <c r="D665" s="34"/>
      <c r="E665" s="34"/>
      <c r="F665" s="35"/>
      <c r="G665" s="34"/>
      <c r="H665" s="35"/>
      <c r="I665" s="34"/>
      <c r="J665" s="36"/>
      <c r="K665" s="36"/>
      <c r="L665" s="35"/>
      <c r="M665" s="34"/>
      <c r="N665" s="35"/>
      <c r="O665" s="36"/>
      <c r="P665" s="32" t="str">
        <f aca="false">IF($J665="","",$J665-WEEKDAY($J665,3))</f>
        <v/>
      </c>
      <c r="Q665" s="32" t="str">
        <f aca="false">IF($J665="","",IF($K665="",$J665,$K665))</f>
        <v/>
      </c>
      <c r="R665" s="28" t="str">
        <f aca="false">IF($E665="","",IF(OR($N665&lt;&gt;"Concluída",$O665="",$J665=""),0,IF($O665&lt;=$J665,1,0)))</f>
        <v/>
      </c>
      <c r="S665" s="28" t="str">
        <f aca="false">IF($E665="","",IF(OR($N665&lt;&gt;"Concluída",$O665="",$Q665=""),0,IF($O665&lt;=$Q665,1,0)))</f>
        <v/>
      </c>
      <c r="T665" s="28" t="str">
        <f aca="false">IF(OR($J665="",$N665&lt;&gt;"Concluída",$O665=""),"",MAX(0,$O665-$J665))</f>
        <v/>
      </c>
      <c r="U665" s="33" t="str">
        <f aca="true">IF($E665="","",IF($N665="Cancelada","Cancelada",IF($N665="Concluída",IF($R665=1,"No prazo","Concluída com atraso"),IF($J665="","Na carteira",IF($J665&lt;TODAY(),"VENCIDA",IF($J665=TODAY(),"Hoje","Programada"))))))</f>
        <v/>
      </c>
    </row>
    <row r="666" customFormat="false" ht="15.75" hidden="false" customHeight="true" outlineLevel="0" collapsed="false">
      <c r="A666" s="28" t="str">
        <f aca="false">IF($E666="","",COUNTA($E$4:$E666))</f>
        <v/>
      </c>
      <c r="B666" s="29"/>
      <c r="C666" s="29"/>
      <c r="D666" s="29"/>
      <c r="E666" s="29"/>
      <c r="F666" s="30"/>
      <c r="G666" s="29"/>
      <c r="H666" s="30"/>
      <c r="I666" s="29"/>
      <c r="J666" s="31"/>
      <c r="K666" s="31"/>
      <c r="L666" s="30"/>
      <c r="M666" s="29"/>
      <c r="N666" s="30"/>
      <c r="O666" s="31"/>
      <c r="P666" s="32" t="str">
        <f aca="false">IF($J666="","",$J666-WEEKDAY($J666,3))</f>
        <v/>
      </c>
      <c r="Q666" s="32" t="str">
        <f aca="false">IF($J666="","",IF($K666="",$J666,$K666))</f>
        <v/>
      </c>
      <c r="R666" s="28" t="str">
        <f aca="false">IF($E666="","",IF(OR($N666&lt;&gt;"Concluída",$O666="",$J666=""),0,IF($O666&lt;=$J666,1,0)))</f>
        <v/>
      </c>
      <c r="S666" s="28" t="str">
        <f aca="false">IF($E666="","",IF(OR($N666&lt;&gt;"Concluída",$O666="",$Q666=""),0,IF($O666&lt;=$Q666,1,0)))</f>
        <v/>
      </c>
      <c r="T666" s="28" t="str">
        <f aca="false">IF(OR($J666="",$N666&lt;&gt;"Concluída",$O666=""),"",MAX(0,$O666-$J666))</f>
        <v/>
      </c>
      <c r="U666" s="33" t="str">
        <f aca="true">IF($E666="","",IF($N666="Cancelada","Cancelada",IF($N666="Concluída",IF($R666=1,"No prazo","Concluída com atraso"),IF($J666="","Na carteira",IF($J666&lt;TODAY(),"VENCIDA",IF($J666=TODAY(),"Hoje","Programada"))))))</f>
        <v/>
      </c>
    </row>
    <row r="667" customFormat="false" ht="15.75" hidden="false" customHeight="true" outlineLevel="0" collapsed="false">
      <c r="A667" s="28" t="str">
        <f aca="false">IF($E667="","",COUNTA($E$4:$E667))</f>
        <v/>
      </c>
      <c r="B667" s="34"/>
      <c r="C667" s="34"/>
      <c r="D667" s="34"/>
      <c r="E667" s="34"/>
      <c r="F667" s="35"/>
      <c r="G667" s="34"/>
      <c r="H667" s="35"/>
      <c r="I667" s="34"/>
      <c r="J667" s="36"/>
      <c r="K667" s="36"/>
      <c r="L667" s="35"/>
      <c r="M667" s="34"/>
      <c r="N667" s="35"/>
      <c r="O667" s="36"/>
      <c r="P667" s="32" t="str">
        <f aca="false">IF($J667="","",$J667-WEEKDAY($J667,3))</f>
        <v/>
      </c>
      <c r="Q667" s="32" t="str">
        <f aca="false">IF($J667="","",IF($K667="",$J667,$K667))</f>
        <v/>
      </c>
      <c r="R667" s="28" t="str">
        <f aca="false">IF($E667="","",IF(OR($N667&lt;&gt;"Concluída",$O667="",$J667=""),0,IF($O667&lt;=$J667,1,0)))</f>
        <v/>
      </c>
      <c r="S667" s="28" t="str">
        <f aca="false">IF($E667="","",IF(OR($N667&lt;&gt;"Concluída",$O667="",$Q667=""),0,IF($O667&lt;=$Q667,1,0)))</f>
        <v/>
      </c>
      <c r="T667" s="28" t="str">
        <f aca="false">IF(OR($J667="",$N667&lt;&gt;"Concluída",$O667=""),"",MAX(0,$O667-$J667))</f>
        <v/>
      </c>
      <c r="U667" s="33" t="str">
        <f aca="true">IF($E667="","",IF($N667="Cancelada","Cancelada",IF($N667="Concluída",IF($R667=1,"No prazo","Concluída com atraso"),IF($J667="","Na carteira",IF($J667&lt;TODAY(),"VENCIDA",IF($J667=TODAY(),"Hoje","Programada"))))))</f>
        <v/>
      </c>
    </row>
    <row r="668" customFormat="false" ht="15.75" hidden="false" customHeight="true" outlineLevel="0" collapsed="false">
      <c r="A668" s="28" t="str">
        <f aca="false">IF($E668="","",COUNTA($E$4:$E668))</f>
        <v/>
      </c>
      <c r="B668" s="29"/>
      <c r="C668" s="29"/>
      <c r="D668" s="29"/>
      <c r="E668" s="29"/>
      <c r="F668" s="30"/>
      <c r="G668" s="29"/>
      <c r="H668" s="30"/>
      <c r="I668" s="29"/>
      <c r="J668" s="31"/>
      <c r="K668" s="31"/>
      <c r="L668" s="30"/>
      <c r="M668" s="29"/>
      <c r="N668" s="30"/>
      <c r="O668" s="31"/>
      <c r="P668" s="32" t="str">
        <f aca="false">IF($J668="","",$J668-WEEKDAY($J668,3))</f>
        <v/>
      </c>
      <c r="Q668" s="32" t="str">
        <f aca="false">IF($J668="","",IF($K668="",$J668,$K668))</f>
        <v/>
      </c>
      <c r="R668" s="28" t="str">
        <f aca="false">IF($E668="","",IF(OR($N668&lt;&gt;"Concluída",$O668="",$J668=""),0,IF($O668&lt;=$J668,1,0)))</f>
        <v/>
      </c>
      <c r="S668" s="28" t="str">
        <f aca="false">IF($E668="","",IF(OR($N668&lt;&gt;"Concluída",$O668="",$Q668=""),0,IF($O668&lt;=$Q668,1,0)))</f>
        <v/>
      </c>
      <c r="T668" s="28" t="str">
        <f aca="false">IF(OR($J668="",$N668&lt;&gt;"Concluída",$O668=""),"",MAX(0,$O668-$J668))</f>
        <v/>
      </c>
      <c r="U668" s="33" t="str">
        <f aca="true">IF($E668="","",IF($N668="Cancelada","Cancelada",IF($N668="Concluída",IF($R668=1,"No prazo","Concluída com atraso"),IF($J668="","Na carteira",IF($J668&lt;TODAY(),"VENCIDA",IF($J668=TODAY(),"Hoje","Programada"))))))</f>
        <v/>
      </c>
    </row>
    <row r="669" customFormat="false" ht="15.75" hidden="false" customHeight="true" outlineLevel="0" collapsed="false">
      <c r="A669" s="28" t="str">
        <f aca="false">IF($E669="","",COUNTA($E$4:$E669))</f>
        <v/>
      </c>
      <c r="B669" s="34"/>
      <c r="C669" s="34"/>
      <c r="D669" s="34"/>
      <c r="E669" s="34"/>
      <c r="F669" s="35"/>
      <c r="G669" s="34"/>
      <c r="H669" s="35"/>
      <c r="I669" s="34"/>
      <c r="J669" s="36"/>
      <c r="K669" s="36"/>
      <c r="L669" s="35"/>
      <c r="M669" s="34"/>
      <c r="N669" s="35"/>
      <c r="O669" s="36"/>
      <c r="P669" s="32" t="str">
        <f aca="false">IF($J669="","",$J669-WEEKDAY($J669,3))</f>
        <v/>
      </c>
      <c r="Q669" s="32" t="str">
        <f aca="false">IF($J669="","",IF($K669="",$J669,$K669))</f>
        <v/>
      </c>
      <c r="R669" s="28" t="str">
        <f aca="false">IF($E669="","",IF(OR($N669&lt;&gt;"Concluída",$O669="",$J669=""),0,IF($O669&lt;=$J669,1,0)))</f>
        <v/>
      </c>
      <c r="S669" s="28" t="str">
        <f aca="false">IF($E669="","",IF(OR($N669&lt;&gt;"Concluída",$O669="",$Q669=""),0,IF($O669&lt;=$Q669,1,0)))</f>
        <v/>
      </c>
      <c r="T669" s="28" t="str">
        <f aca="false">IF(OR($J669="",$N669&lt;&gt;"Concluída",$O669=""),"",MAX(0,$O669-$J669))</f>
        <v/>
      </c>
      <c r="U669" s="33" t="str">
        <f aca="true">IF($E669="","",IF($N669="Cancelada","Cancelada",IF($N669="Concluída",IF($R669=1,"No prazo","Concluída com atraso"),IF($J669="","Na carteira",IF($J669&lt;TODAY(),"VENCIDA",IF($J669=TODAY(),"Hoje","Programada"))))))</f>
        <v/>
      </c>
    </row>
    <row r="670" customFormat="false" ht="15.75" hidden="false" customHeight="true" outlineLevel="0" collapsed="false">
      <c r="A670" s="28" t="str">
        <f aca="false">IF($E670="","",COUNTA($E$4:$E670))</f>
        <v/>
      </c>
      <c r="B670" s="29"/>
      <c r="C670" s="29"/>
      <c r="D670" s="29"/>
      <c r="E670" s="29"/>
      <c r="F670" s="30"/>
      <c r="G670" s="29"/>
      <c r="H670" s="30"/>
      <c r="I670" s="29"/>
      <c r="J670" s="31"/>
      <c r="K670" s="31"/>
      <c r="L670" s="30"/>
      <c r="M670" s="29"/>
      <c r="N670" s="30"/>
      <c r="O670" s="31"/>
      <c r="P670" s="32" t="str">
        <f aca="false">IF($J670="","",$J670-WEEKDAY($J670,3))</f>
        <v/>
      </c>
      <c r="Q670" s="32" t="str">
        <f aca="false">IF($J670="","",IF($K670="",$J670,$K670))</f>
        <v/>
      </c>
      <c r="R670" s="28" t="str">
        <f aca="false">IF($E670="","",IF(OR($N670&lt;&gt;"Concluída",$O670="",$J670=""),0,IF($O670&lt;=$J670,1,0)))</f>
        <v/>
      </c>
      <c r="S670" s="28" t="str">
        <f aca="false">IF($E670="","",IF(OR($N670&lt;&gt;"Concluída",$O670="",$Q670=""),0,IF($O670&lt;=$Q670,1,0)))</f>
        <v/>
      </c>
      <c r="T670" s="28" t="str">
        <f aca="false">IF(OR($J670="",$N670&lt;&gt;"Concluída",$O670=""),"",MAX(0,$O670-$J670))</f>
        <v/>
      </c>
      <c r="U670" s="33" t="str">
        <f aca="true">IF($E670="","",IF($N670="Cancelada","Cancelada",IF($N670="Concluída",IF($R670=1,"No prazo","Concluída com atraso"),IF($J670="","Na carteira",IF($J670&lt;TODAY(),"VENCIDA",IF($J670=TODAY(),"Hoje","Programada"))))))</f>
        <v/>
      </c>
    </row>
    <row r="671" customFormat="false" ht="15.75" hidden="false" customHeight="true" outlineLevel="0" collapsed="false">
      <c r="A671" s="28" t="str">
        <f aca="false">IF($E671="","",COUNTA($E$4:$E671))</f>
        <v/>
      </c>
      <c r="B671" s="34"/>
      <c r="C671" s="34"/>
      <c r="D671" s="34"/>
      <c r="E671" s="34"/>
      <c r="F671" s="35"/>
      <c r="G671" s="34"/>
      <c r="H671" s="35"/>
      <c r="I671" s="34"/>
      <c r="J671" s="36"/>
      <c r="K671" s="36"/>
      <c r="L671" s="35"/>
      <c r="M671" s="34"/>
      <c r="N671" s="35"/>
      <c r="O671" s="36"/>
      <c r="P671" s="32" t="str">
        <f aca="false">IF($J671="","",$J671-WEEKDAY($J671,3))</f>
        <v/>
      </c>
      <c r="Q671" s="32" t="str">
        <f aca="false">IF($J671="","",IF($K671="",$J671,$K671))</f>
        <v/>
      </c>
      <c r="R671" s="28" t="str">
        <f aca="false">IF($E671="","",IF(OR($N671&lt;&gt;"Concluída",$O671="",$J671=""),0,IF($O671&lt;=$J671,1,0)))</f>
        <v/>
      </c>
      <c r="S671" s="28" t="str">
        <f aca="false">IF($E671="","",IF(OR($N671&lt;&gt;"Concluída",$O671="",$Q671=""),0,IF($O671&lt;=$Q671,1,0)))</f>
        <v/>
      </c>
      <c r="T671" s="28" t="str">
        <f aca="false">IF(OR($J671="",$N671&lt;&gt;"Concluída",$O671=""),"",MAX(0,$O671-$J671))</f>
        <v/>
      </c>
      <c r="U671" s="33" t="str">
        <f aca="true">IF($E671="","",IF($N671="Cancelada","Cancelada",IF($N671="Concluída",IF($R671=1,"No prazo","Concluída com atraso"),IF($J671="","Na carteira",IF($J671&lt;TODAY(),"VENCIDA",IF($J671=TODAY(),"Hoje","Programada"))))))</f>
        <v/>
      </c>
    </row>
    <row r="672" customFormat="false" ht="15.75" hidden="false" customHeight="true" outlineLevel="0" collapsed="false">
      <c r="A672" s="28" t="str">
        <f aca="false">IF($E672="","",COUNTA($E$4:$E672))</f>
        <v/>
      </c>
      <c r="B672" s="29"/>
      <c r="C672" s="29"/>
      <c r="D672" s="29"/>
      <c r="E672" s="29"/>
      <c r="F672" s="30"/>
      <c r="G672" s="29"/>
      <c r="H672" s="30"/>
      <c r="I672" s="29"/>
      <c r="J672" s="31"/>
      <c r="K672" s="31"/>
      <c r="L672" s="30"/>
      <c r="M672" s="29"/>
      <c r="N672" s="30"/>
      <c r="O672" s="31"/>
      <c r="P672" s="32" t="str">
        <f aca="false">IF($J672="","",$J672-WEEKDAY($J672,3))</f>
        <v/>
      </c>
      <c r="Q672" s="32" t="str">
        <f aca="false">IF($J672="","",IF($K672="",$J672,$K672))</f>
        <v/>
      </c>
      <c r="R672" s="28" t="str">
        <f aca="false">IF($E672="","",IF(OR($N672&lt;&gt;"Concluída",$O672="",$J672=""),0,IF($O672&lt;=$J672,1,0)))</f>
        <v/>
      </c>
      <c r="S672" s="28" t="str">
        <f aca="false">IF($E672="","",IF(OR($N672&lt;&gt;"Concluída",$O672="",$Q672=""),0,IF($O672&lt;=$Q672,1,0)))</f>
        <v/>
      </c>
      <c r="T672" s="28" t="str">
        <f aca="false">IF(OR($J672="",$N672&lt;&gt;"Concluída",$O672=""),"",MAX(0,$O672-$J672))</f>
        <v/>
      </c>
      <c r="U672" s="33" t="str">
        <f aca="true">IF($E672="","",IF($N672="Cancelada","Cancelada",IF($N672="Concluída",IF($R672=1,"No prazo","Concluída com atraso"),IF($J672="","Na carteira",IF($J672&lt;TODAY(),"VENCIDA",IF($J672=TODAY(),"Hoje","Programada"))))))</f>
        <v/>
      </c>
    </row>
    <row r="673" customFormat="false" ht="15.75" hidden="false" customHeight="true" outlineLevel="0" collapsed="false">
      <c r="A673" s="28" t="str">
        <f aca="false">IF($E673="","",COUNTA($E$4:$E673))</f>
        <v/>
      </c>
      <c r="B673" s="34"/>
      <c r="C673" s="34"/>
      <c r="D673" s="34"/>
      <c r="E673" s="34"/>
      <c r="F673" s="35"/>
      <c r="G673" s="34"/>
      <c r="H673" s="35"/>
      <c r="I673" s="34"/>
      <c r="J673" s="36"/>
      <c r="K673" s="36"/>
      <c r="L673" s="35"/>
      <c r="M673" s="34"/>
      <c r="N673" s="35"/>
      <c r="O673" s="36"/>
      <c r="P673" s="32" t="str">
        <f aca="false">IF($J673="","",$J673-WEEKDAY($J673,3))</f>
        <v/>
      </c>
      <c r="Q673" s="32" t="str">
        <f aca="false">IF($J673="","",IF($K673="",$J673,$K673))</f>
        <v/>
      </c>
      <c r="R673" s="28" t="str">
        <f aca="false">IF($E673="","",IF(OR($N673&lt;&gt;"Concluída",$O673="",$J673=""),0,IF($O673&lt;=$J673,1,0)))</f>
        <v/>
      </c>
      <c r="S673" s="28" t="str">
        <f aca="false">IF($E673="","",IF(OR($N673&lt;&gt;"Concluída",$O673="",$Q673=""),0,IF($O673&lt;=$Q673,1,0)))</f>
        <v/>
      </c>
      <c r="T673" s="28" t="str">
        <f aca="false">IF(OR($J673="",$N673&lt;&gt;"Concluída",$O673=""),"",MAX(0,$O673-$J673))</f>
        <v/>
      </c>
      <c r="U673" s="33" t="str">
        <f aca="true">IF($E673="","",IF($N673="Cancelada","Cancelada",IF($N673="Concluída",IF($R673=1,"No prazo","Concluída com atraso"),IF($J673="","Na carteira",IF($J673&lt;TODAY(),"VENCIDA",IF($J673=TODAY(),"Hoje","Programada"))))))</f>
        <v/>
      </c>
    </row>
    <row r="674" customFormat="false" ht="15.75" hidden="false" customHeight="true" outlineLevel="0" collapsed="false">
      <c r="A674" s="28" t="str">
        <f aca="false">IF($E674="","",COUNTA($E$4:$E674))</f>
        <v/>
      </c>
      <c r="B674" s="29"/>
      <c r="C674" s="29"/>
      <c r="D674" s="29"/>
      <c r="E674" s="29"/>
      <c r="F674" s="30"/>
      <c r="G674" s="29"/>
      <c r="H674" s="30"/>
      <c r="I674" s="29"/>
      <c r="J674" s="31"/>
      <c r="K674" s="31"/>
      <c r="L674" s="30"/>
      <c r="M674" s="29"/>
      <c r="N674" s="30"/>
      <c r="O674" s="31"/>
      <c r="P674" s="32" t="str">
        <f aca="false">IF($J674="","",$J674-WEEKDAY($J674,3))</f>
        <v/>
      </c>
      <c r="Q674" s="32" t="str">
        <f aca="false">IF($J674="","",IF($K674="",$J674,$K674))</f>
        <v/>
      </c>
      <c r="R674" s="28" t="str">
        <f aca="false">IF($E674="","",IF(OR($N674&lt;&gt;"Concluída",$O674="",$J674=""),0,IF($O674&lt;=$J674,1,0)))</f>
        <v/>
      </c>
      <c r="S674" s="28" t="str">
        <f aca="false">IF($E674="","",IF(OR($N674&lt;&gt;"Concluída",$O674="",$Q674=""),0,IF($O674&lt;=$Q674,1,0)))</f>
        <v/>
      </c>
      <c r="T674" s="28" t="str">
        <f aca="false">IF(OR($J674="",$N674&lt;&gt;"Concluída",$O674=""),"",MAX(0,$O674-$J674))</f>
        <v/>
      </c>
      <c r="U674" s="33" t="str">
        <f aca="true">IF($E674="","",IF($N674="Cancelada","Cancelada",IF($N674="Concluída",IF($R674=1,"No prazo","Concluída com atraso"),IF($J674="","Na carteira",IF($J674&lt;TODAY(),"VENCIDA",IF($J674=TODAY(),"Hoje","Programada"))))))</f>
        <v/>
      </c>
    </row>
    <row r="675" customFormat="false" ht="15.75" hidden="false" customHeight="true" outlineLevel="0" collapsed="false">
      <c r="A675" s="28" t="str">
        <f aca="false">IF($E675="","",COUNTA($E$4:$E675))</f>
        <v/>
      </c>
      <c r="B675" s="34"/>
      <c r="C675" s="34"/>
      <c r="D675" s="34"/>
      <c r="E675" s="34"/>
      <c r="F675" s="35"/>
      <c r="G675" s="34"/>
      <c r="H675" s="35"/>
      <c r="I675" s="34"/>
      <c r="J675" s="36"/>
      <c r="K675" s="36"/>
      <c r="L675" s="35"/>
      <c r="M675" s="34"/>
      <c r="N675" s="35"/>
      <c r="O675" s="36"/>
      <c r="P675" s="32" t="str">
        <f aca="false">IF($J675="","",$J675-WEEKDAY($J675,3))</f>
        <v/>
      </c>
      <c r="Q675" s="32" t="str">
        <f aca="false">IF($J675="","",IF($K675="",$J675,$K675))</f>
        <v/>
      </c>
      <c r="R675" s="28" t="str">
        <f aca="false">IF($E675="","",IF(OR($N675&lt;&gt;"Concluída",$O675="",$J675=""),0,IF($O675&lt;=$J675,1,0)))</f>
        <v/>
      </c>
      <c r="S675" s="28" t="str">
        <f aca="false">IF($E675="","",IF(OR($N675&lt;&gt;"Concluída",$O675="",$Q675=""),0,IF($O675&lt;=$Q675,1,0)))</f>
        <v/>
      </c>
      <c r="T675" s="28" t="str">
        <f aca="false">IF(OR($J675="",$N675&lt;&gt;"Concluída",$O675=""),"",MAX(0,$O675-$J675))</f>
        <v/>
      </c>
      <c r="U675" s="33" t="str">
        <f aca="true">IF($E675="","",IF($N675="Cancelada","Cancelada",IF($N675="Concluída",IF($R675=1,"No prazo","Concluída com atraso"),IF($J675="","Na carteira",IF($J675&lt;TODAY(),"VENCIDA",IF($J675=TODAY(),"Hoje","Programada"))))))</f>
        <v/>
      </c>
    </row>
    <row r="676" customFormat="false" ht="15.75" hidden="false" customHeight="true" outlineLevel="0" collapsed="false">
      <c r="A676" s="28" t="str">
        <f aca="false">IF($E676="","",COUNTA($E$4:$E676))</f>
        <v/>
      </c>
      <c r="B676" s="29"/>
      <c r="C676" s="29"/>
      <c r="D676" s="29"/>
      <c r="E676" s="29"/>
      <c r="F676" s="30"/>
      <c r="G676" s="29"/>
      <c r="H676" s="30"/>
      <c r="I676" s="29"/>
      <c r="J676" s="31"/>
      <c r="K676" s="31"/>
      <c r="L676" s="30"/>
      <c r="M676" s="29"/>
      <c r="N676" s="30"/>
      <c r="O676" s="31"/>
      <c r="P676" s="32" t="str">
        <f aca="false">IF($J676="","",$J676-WEEKDAY($J676,3))</f>
        <v/>
      </c>
      <c r="Q676" s="32" t="str">
        <f aca="false">IF($J676="","",IF($K676="",$J676,$K676))</f>
        <v/>
      </c>
      <c r="R676" s="28" t="str">
        <f aca="false">IF($E676="","",IF(OR($N676&lt;&gt;"Concluída",$O676="",$J676=""),0,IF($O676&lt;=$J676,1,0)))</f>
        <v/>
      </c>
      <c r="S676" s="28" t="str">
        <f aca="false">IF($E676="","",IF(OR($N676&lt;&gt;"Concluída",$O676="",$Q676=""),0,IF($O676&lt;=$Q676,1,0)))</f>
        <v/>
      </c>
      <c r="T676" s="28" t="str">
        <f aca="false">IF(OR($J676="",$N676&lt;&gt;"Concluída",$O676=""),"",MAX(0,$O676-$J676))</f>
        <v/>
      </c>
      <c r="U676" s="33" t="str">
        <f aca="true">IF($E676="","",IF($N676="Cancelada","Cancelada",IF($N676="Concluída",IF($R676=1,"No prazo","Concluída com atraso"),IF($J676="","Na carteira",IF($J676&lt;TODAY(),"VENCIDA",IF($J676=TODAY(),"Hoje","Programada"))))))</f>
        <v/>
      </c>
    </row>
    <row r="677" customFormat="false" ht="15.75" hidden="false" customHeight="true" outlineLevel="0" collapsed="false">
      <c r="A677" s="28" t="str">
        <f aca="false">IF($E677="","",COUNTA($E$4:$E677))</f>
        <v/>
      </c>
      <c r="B677" s="34"/>
      <c r="C677" s="34"/>
      <c r="D677" s="34"/>
      <c r="E677" s="34"/>
      <c r="F677" s="35"/>
      <c r="G677" s="34"/>
      <c r="H677" s="35"/>
      <c r="I677" s="34"/>
      <c r="J677" s="36"/>
      <c r="K677" s="36"/>
      <c r="L677" s="35"/>
      <c r="M677" s="34"/>
      <c r="N677" s="35"/>
      <c r="O677" s="36"/>
      <c r="P677" s="32" t="str">
        <f aca="false">IF($J677="","",$J677-WEEKDAY($J677,3))</f>
        <v/>
      </c>
      <c r="Q677" s="32" t="str">
        <f aca="false">IF($J677="","",IF($K677="",$J677,$K677))</f>
        <v/>
      </c>
      <c r="R677" s="28" t="str">
        <f aca="false">IF($E677="","",IF(OR($N677&lt;&gt;"Concluída",$O677="",$J677=""),0,IF($O677&lt;=$J677,1,0)))</f>
        <v/>
      </c>
      <c r="S677" s="28" t="str">
        <f aca="false">IF($E677="","",IF(OR($N677&lt;&gt;"Concluída",$O677="",$Q677=""),0,IF($O677&lt;=$Q677,1,0)))</f>
        <v/>
      </c>
      <c r="T677" s="28" t="str">
        <f aca="false">IF(OR($J677="",$N677&lt;&gt;"Concluída",$O677=""),"",MAX(0,$O677-$J677))</f>
        <v/>
      </c>
      <c r="U677" s="33" t="str">
        <f aca="true">IF($E677="","",IF($N677="Cancelada","Cancelada",IF($N677="Concluída",IF($R677=1,"No prazo","Concluída com atraso"),IF($J677="","Na carteira",IF($J677&lt;TODAY(),"VENCIDA",IF($J677=TODAY(),"Hoje","Programada"))))))</f>
        <v/>
      </c>
    </row>
    <row r="678" customFormat="false" ht="15.75" hidden="false" customHeight="true" outlineLevel="0" collapsed="false">
      <c r="A678" s="28" t="str">
        <f aca="false">IF($E678="","",COUNTA($E$4:$E678))</f>
        <v/>
      </c>
      <c r="B678" s="29"/>
      <c r="C678" s="29"/>
      <c r="D678" s="29"/>
      <c r="E678" s="29"/>
      <c r="F678" s="30"/>
      <c r="G678" s="29"/>
      <c r="H678" s="30"/>
      <c r="I678" s="29"/>
      <c r="J678" s="31"/>
      <c r="K678" s="31"/>
      <c r="L678" s="30"/>
      <c r="M678" s="29"/>
      <c r="N678" s="30"/>
      <c r="O678" s="31"/>
      <c r="P678" s="32" t="str">
        <f aca="false">IF($J678="","",$J678-WEEKDAY($J678,3))</f>
        <v/>
      </c>
      <c r="Q678" s="32" t="str">
        <f aca="false">IF($J678="","",IF($K678="",$J678,$K678))</f>
        <v/>
      </c>
      <c r="R678" s="28" t="str">
        <f aca="false">IF($E678="","",IF(OR($N678&lt;&gt;"Concluída",$O678="",$J678=""),0,IF($O678&lt;=$J678,1,0)))</f>
        <v/>
      </c>
      <c r="S678" s="28" t="str">
        <f aca="false">IF($E678="","",IF(OR($N678&lt;&gt;"Concluída",$O678="",$Q678=""),0,IF($O678&lt;=$Q678,1,0)))</f>
        <v/>
      </c>
      <c r="T678" s="28" t="str">
        <f aca="false">IF(OR($J678="",$N678&lt;&gt;"Concluída",$O678=""),"",MAX(0,$O678-$J678))</f>
        <v/>
      </c>
      <c r="U678" s="33" t="str">
        <f aca="true">IF($E678="","",IF($N678="Cancelada","Cancelada",IF($N678="Concluída",IF($R678=1,"No prazo","Concluída com atraso"),IF($J678="","Na carteira",IF($J678&lt;TODAY(),"VENCIDA",IF($J678=TODAY(),"Hoje","Programada"))))))</f>
        <v/>
      </c>
    </row>
    <row r="679" customFormat="false" ht="15.75" hidden="false" customHeight="true" outlineLevel="0" collapsed="false">
      <c r="A679" s="28" t="str">
        <f aca="false">IF($E679="","",COUNTA($E$4:$E679))</f>
        <v/>
      </c>
      <c r="B679" s="34"/>
      <c r="C679" s="34"/>
      <c r="D679" s="34"/>
      <c r="E679" s="34"/>
      <c r="F679" s="35"/>
      <c r="G679" s="34"/>
      <c r="H679" s="35"/>
      <c r="I679" s="34"/>
      <c r="J679" s="36"/>
      <c r="K679" s="36"/>
      <c r="L679" s="35"/>
      <c r="M679" s="34"/>
      <c r="N679" s="35"/>
      <c r="O679" s="36"/>
      <c r="P679" s="32" t="str">
        <f aca="false">IF($J679="","",$J679-WEEKDAY($J679,3))</f>
        <v/>
      </c>
      <c r="Q679" s="32" t="str">
        <f aca="false">IF($J679="","",IF($K679="",$J679,$K679))</f>
        <v/>
      </c>
      <c r="R679" s="28" t="str">
        <f aca="false">IF($E679="","",IF(OR($N679&lt;&gt;"Concluída",$O679="",$J679=""),0,IF($O679&lt;=$J679,1,0)))</f>
        <v/>
      </c>
      <c r="S679" s="28" t="str">
        <f aca="false">IF($E679="","",IF(OR($N679&lt;&gt;"Concluída",$O679="",$Q679=""),0,IF($O679&lt;=$Q679,1,0)))</f>
        <v/>
      </c>
      <c r="T679" s="28" t="str">
        <f aca="false">IF(OR($J679="",$N679&lt;&gt;"Concluída",$O679=""),"",MAX(0,$O679-$J679))</f>
        <v/>
      </c>
      <c r="U679" s="33" t="str">
        <f aca="true">IF($E679="","",IF($N679="Cancelada","Cancelada",IF($N679="Concluída",IF($R679=1,"No prazo","Concluída com atraso"),IF($J679="","Na carteira",IF($J679&lt;TODAY(),"VENCIDA",IF($J679=TODAY(),"Hoje","Programada"))))))</f>
        <v/>
      </c>
    </row>
    <row r="680" customFormat="false" ht="15.75" hidden="false" customHeight="true" outlineLevel="0" collapsed="false">
      <c r="A680" s="28" t="str">
        <f aca="false">IF($E680="","",COUNTA($E$4:$E680))</f>
        <v/>
      </c>
      <c r="B680" s="29"/>
      <c r="C680" s="29"/>
      <c r="D680" s="29"/>
      <c r="E680" s="29"/>
      <c r="F680" s="30"/>
      <c r="G680" s="29"/>
      <c r="H680" s="30"/>
      <c r="I680" s="29"/>
      <c r="J680" s="31"/>
      <c r="K680" s="31"/>
      <c r="L680" s="30"/>
      <c r="M680" s="29"/>
      <c r="N680" s="30"/>
      <c r="O680" s="31"/>
      <c r="P680" s="32" t="str">
        <f aca="false">IF($J680="","",$J680-WEEKDAY($J680,3))</f>
        <v/>
      </c>
      <c r="Q680" s="32" t="str">
        <f aca="false">IF($J680="","",IF($K680="",$J680,$K680))</f>
        <v/>
      </c>
      <c r="R680" s="28" t="str">
        <f aca="false">IF($E680="","",IF(OR($N680&lt;&gt;"Concluída",$O680="",$J680=""),0,IF($O680&lt;=$J680,1,0)))</f>
        <v/>
      </c>
      <c r="S680" s="28" t="str">
        <f aca="false">IF($E680="","",IF(OR($N680&lt;&gt;"Concluída",$O680="",$Q680=""),0,IF($O680&lt;=$Q680,1,0)))</f>
        <v/>
      </c>
      <c r="T680" s="28" t="str">
        <f aca="false">IF(OR($J680="",$N680&lt;&gt;"Concluída",$O680=""),"",MAX(0,$O680-$J680))</f>
        <v/>
      </c>
      <c r="U680" s="33" t="str">
        <f aca="true">IF($E680="","",IF($N680="Cancelada","Cancelada",IF($N680="Concluída",IF($R680=1,"No prazo","Concluída com atraso"),IF($J680="","Na carteira",IF($J680&lt;TODAY(),"VENCIDA",IF($J680=TODAY(),"Hoje","Programada"))))))</f>
        <v/>
      </c>
    </row>
    <row r="681" customFormat="false" ht="15.75" hidden="false" customHeight="true" outlineLevel="0" collapsed="false">
      <c r="A681" s="28" t="str">
        <f aca="false">IF($E681="","",COUNTA($E$4:$E681))</f>
        <v/>
      </c>
      <c r="B681" s="34"/>
      <c r="C681" s="34"/>
      <c r="D681" s="34"/>
      <c r="E681" s="34"/>
      <c r="F681" s="35"/>
      <c r="G681" s="34"/>
      <c r="H681" s="35"/>
      <c r="I681" s="34"/>
      <c r="J681" s="36"/>
      <c r="K681" s="36"/>
      <c r="L681" s="35"/>
      <c r="M681" s="34"/>
      <c r="N681" s="35"/>
      <c r="O681" s="36"/>
      <c r="P681" s="32" t="str">
        <f aca="false">IF($J681="","",$J681-WEEKDAY($J681,3))</f>
        <v/>
      </c>
      <c r="Q681" s="32" t="str">
        <f aca="false">IF($J681="","",IF($K681="",$J681,$K681))</f>
        <v/>
      </c>
      <c r="R681" s="28" t="str">
        <f aca="false">IF($E681="","",IF(OR($N681&lt;&gt;"Concluída",$O681="",$J681=""),0,IF($O681&lt;=$J681,1,0)))</f>
        <v/>
      </c>
      <c r="S681" s="28" t="str">
        <f aca="false">IF($E681="","",IF(OR($N681&lt;&gt;"Concluída",$O681="",$Q681=""),0,IF($O681&lt;=$Q681,1,0)))</f>
        <v/>
      </c>
      <c r="T681" s="28" t="str">
        <f aca="false">IF(OR($J681="",$N681&lt;&gt;"Concluída",$O681=""),"",MAX(0,$O681-$J681))</f>
        <v/>
      </c>
      <c r="U681" s="33" t="str">
        <f aca="true">IF($E681="","",IF($N681="Cancelada","Cancelada",IF($N681="Concluída",IF($R681=1,"No prazo","Concluída com atraso"),IF($J681="","Na carteira",IF($J681&lt;TODAY(),"VENCIDA",IF($J681=TODAY(),"Hoje","Programada"))))))</f>
        <v/>
      </c>
    </row>
    <row r="682" customFormat="false" ht="15.75" hidden="false" customHeight="true" outlineLevel="0" collapsed="false">
      <c r="A682" s="28" t="str">
        <f aca="false">IF($E682="","",COUNTA($E$4:$E682))</f>
        <v/>
      </c>
      <c r="B682" s="29"/>
      <c r="C682" s="29"/>
      <c r="D682" s="29"/>
      <c r="E682" s="29"/>
      <c r="F682" s="30"/>
      <c r="G682" s="29"/>
      <c r="H682" s="30"/>
      <c r="I682" s="29"/>
      <c r="J682" s="31"/>
      <c r="K682" s="31"/>
      <c r="L682" s="30"/>
      <c r="M682" s="29"/>
      <c r="N682" s="30"/>
      <c r="O682" s="31"/>
      <c r="P682" s="32" t="str">
        <f aca="false">IF($J682="","",$J682-WEEKDAY($J682,3))</f>
        <v/>
      </c>
      <c r="Q682" s="32" t="str">
        <f aca="false">IF($J682="","",IF($K682="",$J682,$K682))</f>
        <v/>
      </c>
      <c r="R682" s="28" t="str">
        <f aca="false">IF($E682="","",IF(OR($N682&lt;&gt;"Concluída",$O682="",$J682=""),0,IF($O682&lt;=$J682,1,0)))</f>
        <v/>
      </c>
      <c r="S682" s="28" t="str">
        <f aca="false">IF($E682="","",IF(OR($N682&lt;&gt;"Concluída",$O682="",$Q682=""),0,IF($O682&lt;=$Q682,1,0)))</f>
        <v/>
      </c>
      <c r="T682" s="28" t="str">
        <f aca="false">IF(OR($J682="",$N682&lt;&gt;"Concluída",$O682=""),"",MAX(0,$O682-$J682))</f>
        <v/>
      </c>
      <c r="U682" s="33" t="str">
        <f aca="true">IF($E682="","",IF($N682="Cancelada","Cancelada",IF($N682="Concluída",IF($R682=1,"No prazo","Concluída com atraso"),IF($J682="","Na carteira",IF($J682&lt;TODAY(),"VENCIDA",IF($J682=TODAY(),"Hoje","Programada"))))))</f>
        <v/>
      </c>
    </row>
    <row r="683" customFormat="false" ht="15.75" hidden="false" customHeight="true" outlineLevel="0" collapsed="false">
      <c r="A683" s="28" t="str">
        <f aca="false">IF($E683="","",COUNTA($E$4:$E683))</f>
        <v/>
      </c>
      <c r="B683" s="34"/>
      <c r="C683" s="34"/>
      <c r="D683" s="34"/>
      <c r="E683" s="34"/>
      <c r="F683" s="35"/>
      <c r="G683" s="34"/>
      <c r="H683" s="35"/>
      <c r="I683" s="34"/>
      <c r="J683" s="36"/>
      <c r="K683" s="36"/>
      <c r="L683" s="35"/>
      <c r="M683" s="34"/>
      <c r="N683" s="35"/>
      <c r="O683" s="36"/>
      <c r="P683" s="32" t="str">
        <f aca="false">IF($J683="","",$J683-WEEKDAY($J683,3))</f>
        <v/>
      </c>
      <c r="Q683" s="32" t="str">
        <f aca="false">IF($J683="","",IF($K683="",$J683,$K683))</f>
        <v/>
      </c>
      <c r="R683" s="28" t="str">
        <f aca="false">IF($E683="","",IF(OR($N683&lt;&gt;"Concluída",$O683="",$J683=""),0,IF($O683&lt;=$J683,1,0)))</f>
        <v/>
      </c>
      <c r="S683" s="28" t="str">
        <f aca="false">IF($E683="","",IF(OR($N683&lt;&gt;"Concluída",$O683="",$Q683=""),0,IF($O683&lt;=$Q683,1,0)))</f>
        <v/>
      </c>
      <c r="T683" s="28" t="str">
        <f aca="false">IF(OR($J683="",$N683&lt;&gt;"Concluída",$O683=""),"",MAX(0,$O683-$J683))</f>
        <v/>
      </c>
      <c r="U683" s="33" t="str">
        <f aca="true">IF($E683="","",IF($N683="Cancelada","Cancelada",IF($N683="Concluída",IF($R683=1,"No prazo","Concluída com atraso"),IF($J683="","Na carteira",IF($J683&lt;TODAY(),"VENCIDA",IF($J683=TODAY(),"Hoje","Programada"))))))</f>
        <v/>
      </c>
    </row>
    <row r="684" customFormat="false" ht="15.75" hidden="false" customHeight="true" outlineLevel="0" collapsed="false">
      <c r="A684" s="28" t="str">
        <f aca="false">IF($E684="","",COUNTA($E$4:$E684))</f>
        <v/>
      </c>
      <c r="B684" s="29"/>
      <c r="C684" s="29"/>
      <c r="D684" s="29"/>
      <c r="E684" s="29"/>
      <c r="F684" s="30"/>
      <c r="G684" s="29"/>
      <c r="H684" s="30"/>
      <c r="I684" s="29"/>
      <c r="J684" s="31"/>
      <c r="K684" s="31"/>
      <c r="L684" s="30"/>
      <c r="M684" s="29"/>
      <c r="N684" s="30"/>
      <c r="O684" s="31"/>
      <c r="P684" s="32" t="str">
        <f aca="false">IF($J684="","",$J684-WEEKDAY($J684,3))</f>
        <v/>
      </c>
      <c r="Q684" s="32" t="str">
        <f aca="false">IF($J684="","",IF($K684="",$J684,$K684))</f>
        <v/>
      </c>
      <c r="R684" s="28" t="str">
        <f aca="false">IF($E684="","",IF(OR($N684&lt;&gt;"Concluída",$O684="",$J684=""),0,IF($O684&lt;=$J684,1,0)))</f>
        <v/>
      </c>
      <c r="S684" s="28" t="str">
        <f aca="false">IF($E684="","",IF(OR($N684&lt;&gt;"Concluída",$O684="",$Q684=""),0,IF($O684&lt;=$Q684,1,0)))</f>
        <v/>
      </c>
      <c r="T684" s="28" t="str">
        <f aca="false">IF(OR($J684="",$N684&lt;&gt;"Concluída",$O684=""),"",MAX(0,$O684-$J684))</f>
        <v/>
      </c>
      <c r="U684" s="33" t="str">
        <f aca="true">IF($E684="","",IF($N684="Cancelada","Cancelada",IF($N684="Concluída",IF($R684=1,"No prazo","Concluída com atraso"),IF($J684="","Na carteira",IF($J684&lt;TODAY(),"VENCIDA",IF($J684=TODAY(),"Hoje","Programada"))))))</f>
        <v/>
      </c>
    </row>
    <row r="685" customFormat="false" ht="15.75" hidden="false" customHeight="true" outlineLevel="0" collapsed="false">
      <c r="A685" s="28" t="str">
        <f aca="false">IF($E685="","",COUNTA($E$4:$E685))</f>
        <v/>
      </c>
      <c r="B685" s="34"/>
      <c r="C685" s="34"/>
      <c r="D685" s="34"/>
      <c r="E685" s="34"/>
      <c r="F685" s="35"/>
      <c r="G685" s="34"/>
      <c r="H685" s="35"/>
      <c r="I685" s="34"/>
      <c r="J685" s="36"/>
      <c r="K685" s="36"/>
      <c r="L685" s="35"/>
      <c r="M685" s="34"/>
      <c r="N685" s="35"/>
      <c r="O685" s="36"/>
      <c r="P685" s="32" t="str">
        <f aca="false">IF($J685="","",$J685-WEEKDAY($J685,3))</f>
        <v/>
      </c>
      <c r="Q685" s="32" t="str">
        <f aca="false">IF($J685="","",IF($K685="",$J685,$K685))</f>
        <v/>
      </c>
      <c r="R685" s="28" t="str">
        <f aca="false">IF($E685="","",IF(OR($N685&lt;&gt;"Concluída",$O685="",$J685=""),0,IF($O685&lt;=$J685,1,0)))</f>
        <v/>
      </c>
      <c r="S685" s="28" t="str">
        <f aca="false">IF($E685="","",IF(OR($N685&lt;&gt;"Concluída",$O685="",$Q685=""),0,IF($O685&lt;=$Q685,1,0)))</f>
        <v/>
      </c>
      <c r="T685" s="28" t="str">
        <f aca="false">IF(OR($J685="",$N685&lt;&gt;"Concluída",$O685=""),"",MAX(0,$O685-$J685))</f>
        <v/>
      </c>
      <c r="U685" s="33" t="str">
        <f aca="true">IF($E685="","",IF($N685="Cancelada","Cancelada",IF($N685="Concluída",IF($R685=1,"No prazo","Concluída com atraso"),IF($J685="","Na carteira",IF($J685&lt;TODAY(),"VENCIDA",IF($J685=TODAY(),"Hoje","Programada"))))))</f>
        <v/>
      </c>
    </row>
    <row r="686" customFormat="false" ht="15.75" hidden="false" customHeight="true" outlineLevel="0" collapsed="false">
      <c r="A686" s="28" t="str">
        <f aca="false">IF($E686="","",COUNTA($E$4:$E686))</f>
        <v/>
      </c>
      <c r="B686" s="29"/>
      <c r="C686" s="29"/>
      <c r="D686" s="29"/>
      <c r="E686" s="29"/>
      <c r="F686" s="30"/>
      <c r="G686" s="29"/>
      <c r="H686" s="30"/>
      <c r="I686" s="29"/>
      <c r="J686" s="31"/>
      <c r="K686" s="31"/>
      <c r="L686" s="30"/>
      <c r="M686" s="29"/>
      <c r="N686" s="30"/>
      <c r="O686" s="31"/>
      <c r="P686" s="32" t="str">
        <f aca="false">IF($J686="","",$J686-WEEKDAY($J686,3))</f>
        <v/>
      </c>
      <c r="Q686" s="32" t="str">
        <f aca="false">IF($J686="","",IF($K686="",$J686,$K686))</f>
        <v/>
      </c>
      <c r="R686" s="28" t="str">
        <f aca="false">IF($E686="","",IF(OR($N686&lt;&gt;"Concluída",$O686="",$J686=""),0,IF($O686&lt;=$J686,1,0)))</f>
        <v/>
      </c>
      <c r="S686" s="28" t="str">
        <f aca="false">IF($E686="","",IF(OR($N686&lt;&gt;"Concluída",$O686="",$Q686=""),0,IF($O686&lt;=$Q686,1,0)))</f>
        <v/>
      </c>
      <c r="T686" s="28" t="str">
        <f aca="false">IF(OR($J686="",$N686&lt;&gt;"Concluída",$O686=""),"",MAX(0,$O686-$J686))</f>
        <v/>
      </c>
      <c r="U686" s="33" t="str">
        <f aca="true">IF($E686="","",IF($N686="Cancelada","Cancelada",IF($N686="Concluída",IF($R686=1,"No prazo","Concluída com atraso"),IF($J686="","Na carteira",IF($J686&lt;TODAY(),"VENCIDA",IF($J686=TODAY(),"Hoje","Programada"))))))</f>
        <v/>
      </c>
    </row>
    <row r="687" customFormat="false" ht="15.75" hidden="false" customHeight="true" outlineLevel="0" collapsed="false">
      <c r="A687" s="28" t="str">
        <f aca="false">IF($E687="","",COUNTA($E$4:$E687))</f>
        <v/>
      </c>
      <c r="B687" s="34"/>
      <c r="C687" s="34"/>
      <c r="D687" s="34"/>
      <c r="E687" s="34"/>
      <c r="F687" s="35"/>
      <c r="G687" s="34"/>
      <c r="H687" s="35"/>
      <c r="I687" s="34"/>
      <c r="J687" s="36"/>
      <c r="K687" s="36"/>
      <c r="L687" s="35"/>
      <c r="M687" s="34"/>
      <c r="N687" s="35"/>
      <c r="O687" s="36"/>
      <c r="P687" s="32" t="str">
        <f aca="false">IF($J687="","",$J687-WEEKDAY($J687,3))</f>
        <v/>
      </c>
      <c r="Q687" s="32" t="str">
        <f aca="false">IF($J687="","",IF($K687="",$J687,$K687))</f>
        <v/>
      </c>
      <c r="R687" s="28" t="str">
        <f aca="false">IF($E687="","",IF(OR($N687&lt;&gt;"Concluída",$O687="",$J687=""),0,IF($O687&lt;=$J687,1,0)))</f>
        <v/>
      </c>
      <c r="S687" s="28" t="str">
        <f aca="false">IF($E687="","",IF(OR($N687&lt;&gt;"Concluída",$O687="",$Q687=""),0,IF($O687&lt;=$Q687,1,0)))</f>
        <v/>
      </c>
      <c r="T687" s="28" t="str">
        <f aca="false">IF(OR($J687="",$N687&lt;&gt;"Concluída",$O687=""),"",MAX(0,$O687-$J687))</f>
        <v/>
      </c>
      <c r="U687" s="33" t="str">
        <f aca="true">IF($E687="","",IF($N687="Cancelada","Cancelada",IF($N687="Concluída",IF($R687=1,"No prazo","Concluída com atraso"),IF($J687="","Na carteira",IF($J687&lt;TODAY(),"VENCIDA",IF($J687=TODAY(),"Hoje","Programada"))))))</f>
        <v/>
      </c>
    </row>
    <row r="688" customFormat="false" ht="15.75" hidden="false" customHeight="true" outlineLevel="0" collapsed="false">
      <c r="A688" s="28" t="str">
        <f aca="false">IF($E688="","",COUNTA($E$4:$E688))</f>
        <v/>
      </c>
      <c r="B688" s="29"/>
      <c r="C688" s="29"/>
      <c r="D688" s="29"/>
      <c r="E688" s="29"/>
      <c r="F688" s="30"/>
      <c r="G688" s="29"/>
      <c r="H688" s="30"/>
      <c r="I688" s="29"/>
      <c r="J688" s="31"/>
      <c r="K688" s="31"/>
      <c r="L688" s="30"/>
      <c r="M688" s="29"/>
      <c r="N688" s="30"/>
      <c r="O688" s="31"/>
      <c r="P688" s="32" t="str">
        <f aca="false">IF($J688="","",$J688-WEEKDAY($J688,3))</f>
        <v/>
      </c>
      <c r="Q688" s="32" t="str">
        <f aca="false">IF($J688="","",IF($K688="",$J688,$K688))</f>
        <v/>
      </c>
      <c r="R688" s="28" t="str">
        <f aca="false">IF($E688="","",IF(OR($N688&lt;&gt;"Concluída",$O688="",$J688=""),0,IF($O688&lt;=$J688,1,0)))</f>
        <v/>
      </c>
      <c r="S688" s="28" t="str">
        <f aca="false">IF($E688="","",IF(OR($N688&lt;&gt;"Concluída",$O688="",$Q688=""),0,IF($O688&lt;=$Q688,1,0)))</f>
        <v/>
      </c>
      <c r="T688" s="28" t="str">
        <f aca="false">IF(OR($J688="",$N688&lt;&gt;"Concluída",$O688=""),"",MAX(0,$O688-$J688))</f>
        <v/>
      </c>
      <c r="U688" s="33" t="str">
        <f aca="true">IF($E688="","",IF($N688="Cancelada","Cancelada",IF($N688="Concluída",IF($R688=1,"No prazo","Concluída com atraso"),IF($J688="","Na carteira",IF($J688&lt;TODAY(),"VENCIDA",IF($J688=TODAY(),"Hoje","Programada"))))))</f>
        <v/>
      </c>
    </row>
    <row r="689" customFormat="false" ht="15.75" hidden="false" customHeight="true" outlineLevel="0" collapsed="false">
      <c r="A689" s="28" t="str">
        <f aca="false">IF($E689="","",COUNTA($E$4:$E689))</f>
        <v/>
      </c>
      <c r="B689" s="34"/>
      <c r="C689" s="34"/>
      <c r="D689" s="34"/>
      <c r="E689" s="34"/>
      <c r="F689" s="35"/>
      <c r="G689" s="34"/>
      <c r="H689" s="35"/>
      <c r="I689" s="34"/>
      <c r="J689" s="36"/>
      <c r="K689" s="36"/>
      <c r="L689" s="35"/>
      <c r="M689" s="34"/>
      <c r="N689" s="35"/>
      <c r="O689" s="36"/>
      <c r="P689" s="32" t="str">
        <f aca="false">IF($J689="","",$J689-WEEKDAY($J689,3))</f>
        <v/>
      </c>
      <c r="Q689" s="32" t="str">
        <f aca="false">IF($J689="","",IF($K689="",$J689,$K689))</f>
        <v/>
      </c>
      <c r="R689" s="28" t="str">
        <f aca="false">IF($E689="","",IF(OR($N689&lt;&gt;"Concluída",$O689="",$J689=""),0,IF($O689&lt;=$J689,1,0)))</f>
        <v/>
      </c>
      <c r="S689" s="28" t="str">
        <f aca="false">IF($E689="","",IF(OR($N689&lt;&gt;"Concluída",$O689="",$Q689=""),0,IF($O689&lt;=$Q689,1,0)))</f>
        <v/>
      </c>
      <c r="T689" s="28" t="str">
        <f aca="false">IF(OR($J689="",$N689&lt;&gt;"Concluída",$O689=""),"",MAX(0,$O689-$J689))</f>
        <v/>
      </c>
      <c r="U689" s="33" t="str">
        <f aca="true">IF($E689="","",IF($N689="Cancelada","Cancelada",IF($N689="Concluída",IF($R689=1,"No prazo","Concluída com atraso"),IF($J689="","Na carteira",IF($J689&lt;TODAY(),"VENCIDA",IF($J689=TODAY(),"Hoje","Programada"))))))</f>
        <v/>
      </c>
    </row>
    <row r="690" customFormat="false" ht="15.75" hidden="false" customHeight="true" outlineLevel="0" collapsed="false">
      <c r="A690" s="28" t="str">
        <f aca="false">IF($E690="","",COUNTA($E$4:$E690))</f>
        <v/>
      </c>
      <c r="B690" s="29"/>
      <c r="C690" s="29"/>
      <c r="D690" s="29"/>
      <c r="E690" s="29"/>
      <c r="F690" s="30"/>
      <c r="G690" s="29"/>
      <c r="H690" s="30"/>
      <c r="I690" s="29"/>
      <c r="J690" s="31"/>
      <c r="K690" s="31"/>
      <c r="L690" s="30"/>
      <c r="M690" s="29"/>
      <c r="N690" s="30"/>
      <c r="O690" s="31"/>
      <c r="P690" s="32" t="str">
        <f aca="false">IF($J690="","",$J690-WEEKDAY($J690,3))</f>
        <v/>
      </c>
      <c r="Q690" s="32" t="str">
        <f aca="false">IF($J690="","",IF($K690="",$J690,$K690))</f>
        <v/>
      </c>
      <c r="R690" s="28" t="str">
        <f aca="false">IF($E690="","",IF(OR($N690&lt;&gt;"Concluída",$O690="",$J690=""),0,IF($O690&lt;=$J690,1,0)))</f>
        <v/>
      </c>
      <c r="S690" s="28" t="str">
        <f aca="false">IF($E690="","",IF(OR($N690&lt;&gt;"Concluída",$O690="",$Q690=""),0,IF($O690&lt;=$Q690,1,0)))</f>
        <v/>
      </c>
      <c r="T690" s="28" t="str">
        <f aca="false">IF(OR($J690="",$N690&lt;&gt;"Concluída",$O690=""),"",MAX(0,$O690-$J690))</f>
        <v/>
      </c>
      <c r="U690" s="33" t="str">
        <f aca="true">IF($E690="","",IF($N690="Cancelada","Cancelada",IF($N690="Concluída",IF($R690=1,"No prazo","Concluída com atraso"),IF($J690="","Na carteira",IF($J690&lt;TODAY(),"VENCIDA",IF($J690=TODAY(),"Hoje","Programada"))))))</f>
        <v/>
      </c>
    </row>
    <row r="691" customFormat="false" ht="15.75" hidden="false" customHeight="true" outlineLevel="0" collapsed="false">
      <c r="A691" s="28" t="str">
        <f aca="false">IF($E691="","",COUNTA($E$4:$E691))</f>
        <v/>
      </c>
      <c r="B691" s="34"/>
      <c r="C691" s="34"/>
      <c r="D691" s="34"/>
      <c r="E691" s="34"/>
      <c r="F691" s="35"/>
      <c r="G691" s="34"/>
      <c r="H691" s="35"/>
      <c r="I691" s="34"/>
      <c r="J691" s="36"/>
      <c r="K691" s="36"/>
      <c r="L691" s="35"/>
      <c r="M691" s="34"/>
      <c r="N691" s="35"/>
      <c r="O691" s="36"/>
      <c r="P691" s="32" t="str">
        <f aca="false">IF($J691="","",$J691-WEEKDAY($J691,3))</f>
        <v/>
      </c>
      <c r="Q691" s="32" t="str">
        <f aca="false">IF($J691="","",IF($K691="",$J691,$K691))</f>
        <v/>
      </c>
      <c r="R691" s="28" t="str">
        <f aca="false">IF($E691="","",IF(OR($N691&lt;&gt;"Concluída",$O691="",$J691=""),0,IF($O691&lt;=$J691,1,0)))</f>
        <v/>
      </c>
      <c r="S691" s="28" t="str">
        <f aca="false">IF($E691="","",IF(OR($N691&lt;&gt;"Concluída",$O691="",$Q691=""),0,IF($O691&lt;=$Q691,1,0)))</f>
        <v/>
      </c>
      <c r="T691" s="28" t="str">
        <f aca="false">IF(OR($J691="",$N691&lt;&gt;"Concluída",$O691=""),"",MAX(0,$O691-$J691))</f>
        <v/>
      </c>
      <c r="U691" s="33" t="str">
        <f aca="true">IF($E691="","",IF($N691="Cancelada","Cancelada",IF($N691="Concluída",IF($R691=1,"No prazo","Concluída com atraso"),IF($J691="","Na carteira",IF($J691&lt;TODAY(),"VENCIDA",IF($J691=TODAY(),"Hoje","Programada"))))))</f>
        <v/>
      </c>
    </row>
    <row r="692" customFormat="false" ht="15.75" hidden="false" customHeight="true" outlineLevel="0" collapsed="false">
      <c r="A692" s="28" t="str">
        <f aca="false">IF($E692="","",COUNTA($E$4:$E692))</f>
        <v/>
      </c>
      <c r="B692" s="29"/>
      <c r="C692" s="29"/>
      <c r="D692" s="29"/>
      <c r="E692" s="29"/>
      <c r="F692" s="30"/>
      <c r="G692" s="29"/>
      <c r="H692" s="30"/>
      <c r="I692" s="29"/>
      <c r="J692" s="31"/>
      <c r="K692" s="31"/>
      <c r="L692" s="30"/>
      <c r="M692" s="29"/>
      <c r="N692" s="30"/>
      <c r="O692" s="31"/>
      <c r="P692" s="32" t="str">
        <f aca="false">IF($J692="","",$J692-WEEKDAY($J692,3))</f>
        <v/>
      </c>
      <c r="Q692" s="32" t="str">
        <f aca="false">IF($J692="","",IF($K692="",$J692,$K692))</f>
        <v/>
      </c>
      <c r="R692" s="28" t="str">
        <f aca="false">IF($E692="","",IF(OR($N692&lt;&gt;"Concluída",$O692="",$J692=""),0,IF($O692&lt;=$J692,1,0)))</f>
        <v/>
      </c>
      <c r="S692" s="28" t="str">
        <f aca="false">IF($E692="","",IF(OR($N692&lt;&gt;"Concluída",$O692="",$Q692=""),0,IF($O692&lt;=$Q692,1,0)))</f>
        <v/>
      </c>
      <c r="T692" s="28" t="str">
        <f aca="false">IF(OR($J692="",$N692&lt;&gt;"Concluída",$O692=""),"",MAX(0,$O692-$J692))</f>
        <v/>
      </c>
      <c r="U692" s="33" t="str">
        <f aca="true">IF($E692="","",IF($N692="Cancelada","Cancelada",IF($N692="Concluída",IF($R692=1,"No prazo","Concluída com atraso"),IF($J692="","Na carteira",IF($J692&lt;TODAY(),"VENCIDA",IF($J692=TODAY(),"Hoje","Programada"))))))</f>
        <v/>
      </c>
    </row>
    <row r="693" customFormat="false" ht="15.75" hidden="false" customHeight="true" outlineLevel="0" collapsed="false">
      <c r="A693" s="28" t="str">
        <f aca="false">IF($E693="","",COUNTA($E$4:$E693))</f>
        <v/>
      </c>
      <c r="B693" s="34"/>
      <c r="C693" s="34"/>
      <c r="D693" s="34"/>
      <c r="E693" s="34"/>
      <c r="F693" s="35"/>
      <c r="G693" s="34"/>
      <c r="H693" s="35"/>
      <c r="I693" s="34"/>
      <c r="J693" s="36"/>
      <c r="K693" s="36"/>
      <c r="L693" s="35"/>
      <c r="M693" s="34"/>
      <c r="N693" s="35"/>
      <c r="O693" s="36"/>
      <c r="P693" s="32" t="str">
        <f aca="false">IF($J693="","",$J693-WEEKDAY($J693,3))</f>
        <v/>
      </c>
      <c r="Q693" s="32" t="str">
        <f aca="false">IF($J693="","",IF($K693="",$J693,$K693))</f>
        <v/>
      </c>
      <c r="R693" s="28" t="str">
        <f aca="false">IF($E693="","",IF(OR($N693&lt;&gt;"Concluída",$O693="",$J693=""),0,IF($O693&lt;=$J693,1,0)))</f>
        <v/>
      </c>
      <c r="S693" s="28" t="str">
        <f aca="false">IF($E693="","",IF(OR($N693&lt;&gt;"Concluída",$O693="",$Q693=""),0,IF($O693&lt;=$Q693,1,0)))</f>
        <v/>
      </c>
      <c r="T693" s="28" t="str">
        <f aca="false">IF(OR($J693="",$N693&lt;&gt;"Concluída",$O693=""),"",MAX(0,$O693-$J693))</f>
        <v/>
      </c>
      <c r="U693" s="33" t="str">
        <f aca="true">IF($E693="","",IF($N693="Cancelada","Cancelada",IF($N693="Concluída",IF($R693=1,"No prazo","Concluída com atraso"),IF($J693="","Na carteira",IF($J693&lt;TODAY(),"VENCIDA",IF($J693=TODAY(),"Hoje","Programada"))))))</f>
        <v/>
      </c>
    </row>
    <row r="694" customFormat="false" ht="15.75" hidden="false" customHeight="true" outlineLevel="0" collapsed="false">
      <c r="A694" s="28" t="str">
        <f aca="false">IF($E694="","",COUNTA($E$4:$E694))</f>
        <v/>
      </c>
      <c r="B694" s="29"/>
      <c r="C694" s="29"/>
      <c r="D694" s="29"/>
      <c r="E694" s="29"/>
      <c r="F694" s="30"/>
      <c r="G694" s="29"/>
      <c r="H694" s="30"/>
      <c r="I694" s="29"/>
      <c r="J694" s="31"/>
      <c r="K694" s="31"/>
      <c r="L694" s="30"/>
      <c r="M694" s="29"/>
      <c r="N694" s="30"/>
      <c r="O694" s="31"/>
      <c r="P694" s="32" t="str">
        <f aca="false">IF($J694="","",$J694-WEEKDAY($J694,3))</f>
        <v/>
      </c>
      <c r="Q694" s="32" t="str">
        <f aca="false">IF($J694="","",IF($K694="",$J694,$K694))</f>
        <v/>
      </c>
      <c r="R694" s="28" t="str">
        <f aca="false">IF($E694="","",IF(OR($N694&lt;&gt;"Concluída",$O694="",$J694=""),0,IF($O694&lt;=$J694,1,0)))</f>
        <v/>
      </c>
      <c r="S694" s="28" t="str">
        <f aca="false">IF($E694="","",IF(OR($N694&lt;&gt;"Concluída",$O694="",$Q694=""),0,IF($O694&lt;=$Q694,1,0)))</f>
        <v/>
      </c>
      <c r="T694" s="28" t="str">
        <f aca="false">IF(OR($J694="",$N694&lt;&gt;"Concluída",$O694=""),"",MAX(0,$O694-$J694))</f>
        <v/>
      </c>
      <c r="U694" s="33" t="str">
        <f aca="true">IF($E694="","",IF($N694="Cancelada","Cancelada",IF($N694="Concluída",IF($R694=1,"No prazo","Concluída com atraso"),IF($J694="","Na carteira",IF($J694&lt;TODAY(),"VENCIDA",IF($J694=TODAY(),"Hoje","Programada"))))))</f>
        <v/>
      </c>
    </row>
    <row r="695" customFormat="false" ht="15.75" hidden="false" customHeight="true" outlineLevel="0" collapsed="false">
      <c r="A695" s="28" t="str">
        <f aca="false">IF($E695="","",COUNTA($E$4:$E695))</f>
        <v/>
      </c>
      <c r="B695" s="34"/>
      <c r="C695" s="34"/>
      <c r="D695" s="34"/>
      <c r="E695" s="34"/>
      <c r="F695" s="35"/>
      <c r="G695" s="34"/>
      <c r="H695" s="35"/>
      <c r="I695" s="34"/>
      <c r="J695" s="36"/>
      <c r="K695" s="36"/>
      <c r="L695" s="35"/>
      <c r="M695" s="34"/>
      <c r="N695" s="35"/>
      <c r="O695" s="36"/>
      <c r="P695" s="32" t="str">
        <f aca="false">IF($J695="","",$J695-WEEKDAY($J695,3))</f>
        <v/>
      </c>
      <c r="Q695" s="32" t="str">
        <f aca="false">IF($J695="","",IF($K695="",$J695,$K695))</f>
        <v/>
      </c>
      <c r="R695" s="28" t="str">
        <f aca="false">IF($E695="","",IF(OR($N695&lt;&gt;"Concluída",$O695="",$J695=""),0,IF($O695&lt;=$J695,1,0)))</f>
        <v/>
      </c>
      <c r="S695" s="28" t="str">
        <f aca="false">IF($E695="","",IF(OR($N695&lt;&gt;"Concluída",$O695="",$Q695=""),0,IF($O695&lt;=$Q695,1,0)))</f>
        <v/>
      </c>
      <c r="T695" s="28" t="str">
        <f aca="false">IF(OR($J695="",$N695&lt;&gt;"Concluída",$O695=""),"",MAX(0,$O695-$J695))</f>
        <v/>
      </c>
      <c r="U695" s="33" t="str">
        <f aca="true">IF($E695="","",IF($N695="Cancelada","Cancelada",IF($N695="Concluída",IF($R695=1,"No prazo","Concluída com atraso"),IF($J695="","Na carteira",IF($J695&lt;TODAY(),"VENCIDA",IF($J695=TODAY(),"Hoje","Programada"))))))</f>
        <v/>
      </c>
    </row>
    <row r="696" customFormat="false" ht="15.75" hidden="false" customHeight="true" outlineLevel="0" collapsed="false">
      <c r="A696" s="28" t="str">
        <f aca="false">IF($E696="","",COUNTA($E$4:$E696))</f>
        <v/>
      </c>
      <c r="B696" s="29"/>
      <c r="C696" s="29"/>
      <c r="D696" s="29"/>
      <c r="E696" s="29"/>
      <c r="F696" s="30"/>
      <c r="G696" s="29"/>
      <c r="H696" s="30"/>
      <c r="I696" s="29"/>
      <c r="J696" s="31"/>
      <c r="K696" s="31"/>
      <c r="L696" s="30"/>
      <c r="M696" s="29"/>
      <c r="N696" s="30"/>
      <c r="O696" s="31"/>
      <c r="P696" s="32" t="str">
        <f aca="false">IF($J696="","",$J696-WEEKDAY($J696,3))</f>
        <v/>
      </c>
      <c r="Q696" s="32" t="str">
        <f aca="false">IF($J696="","",IF($K696="",$J696,$K696))</f>
        <v/>
      </c>
      <c r="R696" s="28" t="str">
        <f aca="false">IF($E696="","",IF(OR($N696&lt;&gt;"Concluída",$O696="",$J696=""),0,IF($O696&lt;=$J696,1,0)))</f>
        <v/>
      </c>
      <c r="S696" s="28" t="str">
        <f aca="false">IF($E696="","",IF(OR($N696&lt;&gt;"Concluída",$O696="",$Q696=""),0,IF($O696&lt;=$Q696,1,0)))</f>
        <v/>
      </c>
      <c r="T696" s="28" t="str">
        <f aca="false">IF(OR($J696="",$N696&lt;&gt;"Concluída",$O696=""),"",MAX(0,$O696-$J696))</f>
        <v/>
      </c>
      <c r="U696" s="33" t="str">
        <f aca="true">IF($E696="","",IF($N696="Cancelada","Cancelada",IF($N696="Concluída",IF($R696=1,"No prazo","Concluída com atraso"),IF($J696="","Na carteira",IF($J696&lt;TODAY(),"VENCIDA",IF($J696=TODAY(),"Hoje","Programada"))))))</f>
        <v/>
      </c>
    </row>
    <row r="697" customFormat="false" ht="15.75" hidden="false" customHeight="true" outlineLevel="0" collapsed="false">
      <c r="A697" s="28" t="str">
        <f aca="false">IF($E697="","",COUNTA($E$4:$E697))</f>
        <v/>
      </c>
      <c r="B697" s="34"/>
      <c r="C697" s="34"/>
      <c r="D697" s="34"/>
      <c r="E697" s="34"/>
      <c r="F697" s="35"/>
      <c r="G697" s="34"/>
      <c r="H697" s="35"/>
      <c r="I697" s="34"/>
      <c r="J697" s="36"/>
      <c r="K697" s="36"/>
      <c r="L697" s="35"/>
      <c r="M697" s="34"/>
      <c r="N697" s="35"/>
      <c r="O697" s="36"/>
      <c r="P697" s="32" t="str">
        <f aca="false">IF($J697="","",$J697-WEEKDAY($J697,3))</f>
        <v/>
      </c>
      <c r="Q697" s="32" t="str">
        <f aca="false">IF($J697="","",IF($K697="",$J697,$K697))</f>
        <v/>
      </c>
      <c r="R697" s="28" t="str">
        <f aca="false">IF($E697="","",IF(OR($N697&lt;&gt;"Concluída",$O697="",$J697=""),0,IF($O697&lt;=$J697,1,0)))</f>
        <v/>
      </c>
      <c r="S697" s="28" t="str">
        <f aca="false">IF($E697="","",IF(OR($N697&lt;&gt;"Concluída",$O697="",$Q697=""),0,IF($O697&lt;=$Q697,1,0)))</f>
        <v/>
      </c>
      <c r="T697" s="28" t="str">
        <f aca="false">IF(OR($J697="",$N697&lt;&gt;"Concluída",$O697=""),"",MAX(0,$O697-$J697))</f>
        <v/>
      </c>
      <c r="U697" s="33" t="str">
        <f aca="true">IF($E697="","",IF($N697="Cancelada","Cancelada",IF($N697="Concluída",IF($R697=1,"No prazo","Concluída com atraso"),IF($J697="","Na carteira",IF($J697&lt;TODAY(),"VENCIDA",IF($J697=TODAY(),"Hoje","Programada"))))))</f>
        <v/>
      </c>
    </row>
    <row r="698" customFormat="false" ht="15.75" hidden="false" customHeight="true" outlineLevel="0" collapsed="false">
      <c r="A698" s="28" t="str">
        <f aca="false">IF($E698="","",COUNTA($E$4:$E698))</f>
        <v/>
      </c>
      <c r="B698" s="29"/>
      <c r="C698" s="29"/>
      <c r="D698" s="29"/>
      <c r="E698" s="29"/>
      <c r="F698" s="30"/>
      <c r="G698" s="29"/>
      <c r="H698" s="30"/>
      <c r="I698" s="29"/>
      <c r="J698" s="31"/>
      <c r="K698" s="31"/>
      <c r="L698" s="30"/>
      <c r="M698" s="29"/>
      <c r="N698" s="30"/>
      <c r="O698" s="31"/>
      <c r="P698" s="32" t="str">
        <f aca="false">IF($J698="","",$J698-WEEKDAY($J698,3))</f>
        <v/>
      </c>
      <c r="Q698" s="32" t="str">
        <f aca="false">IF($J698="","",IF($K698="",$J698,$K698))</f>
        <v/>
      </c>
      <c r="R698" s="28" t="str">
        <f aca="false">IF($E698="","",IF(OR($N698&lt;&gt;"Concluída",$O698="",$J698=""),0,IF($O698&lt;=$J698,1,0)))</f>
        <v/>
      </c>
      <c r="S698" s="28" t="str">
        <f aca="false">IF($E698="","",IF(OR($N698&lt;&gt;"Concluída",$O698="",$Q698=""),0,IF($O698&lt;=$Q698,1,0)))</f>
        <v/>
      </c>
      <c r="T698" s="28" t="str">
        <f aca="false">IF(OR($J698="",$N698&lt;&gt;"Concluída",$O698=""),"",MAX(0,$O698-$J698))</f>
        <v/>
      </c>
      <c r="U698" s="33" t="str">
        <f aca="true">IF($E698="","",IF($N698="Cancelada","Cancelada",IF($N698="Concluída",IF($R698=1,"No prazo","Concluída com atraso"),IF($J698="","Na carteira",IF($J698&lt;TODAY(),"VENCIDA",IF($J698=TODAY(),"Hoje","Programada"))))))</f>
        <v/>
      </c>
    </row>
    <row r="699" customFormat="false" ht="15.75" hidden="false" customHeight="true" outlineLevel="0" collapsed="false">
      <c r="A699" s="28" t="str">
        <f aca="false">IF($E699="","",COUNTA($E$4:$E699))</f>
        <v/>
      </c>
      <c r="B699" s="34"/>
      <c r="C699" s="34"/>
      <c r="D699" s="34"/>
      <c r="E699" s="34"/>
      <c r="F699" s="35"/>
      <c r="G699" s="34"/>
      <c r="H699" s="35"/>
      <c r="I699" s="34"/>
      <c r="J699" s="36"/>
      <c r="K699" s="36"/>
      <c r="L699" s="35"/>
      <c r="M699" s="34"/>
      <c r="N699" s="35"/>
      <c r="O699" s="36"/>
      <c r="P699" s="32" t="str">
        <f aca="false">IF($J699="","",$J699-WEEKDAY($J699,3))</f>
        <v/>
      </c>
      <c r="Q699" s="32" t="str">
        <f aca="false">IF($J699="","",IF($K699="",$J699,$K699))</f>
        <v/>
      </c>
      <c r="R699" s="28" t="str">
        <f aca="false">IF($E699="","",IF(OR($N699&lt;&gt;"Concluída",$O699="",$J699=""),0,IF($O699&lt;=$J699,1,0)))</f>
        <v/>
      </c>
      <c r="S699" s="28" t="str">
        <f aca="false">IF($E699="","",IF(OR($N699&lt;&gt;"Concluída",$O699="",$Q699=""),0,IF($O699&lt;=$Q699,1,0)))</f>
        <v/>
      </c>
      <c r="T699" s="28" t="str">
        <f aca="false">IF(OR($J699="",$N699&lt;&gt;"Concluída",$O699=""),"",MAX(0,$O699-$J699))</f>
        <v/>
      </c>
      <c r="U699" s="33" t="str">
        <f aca="true">IF($E699="","",IF($N699="Cancelada","Cancelada",IF($N699="Concluída",IF($R699=1,"No prazo","Concluída com atraso"),IF($J699="","Na carteira",IF($J699&lt;TODAY(),"VENCIDA",IF($J699=TODAY(),"Hoje","Programada"))))))</f>
        <v/>
      </c>
    </row>
    <row r="700" customFormat="false" ht="15.75" hidden="false" customHeight="true" outlineLevel="0" collapsed="false">
      <c r="A700" s="28" t="str">
        <f aca="false">IF($E700="","",COUNTA($E$4:$E700))</f>
        <v/>
      </c>
      <c r="B700" s="29"/>
      <c r="C700" s="29"/>
      <c r="D700" s="29"/>
      <c r="E700" s="29"/>
      <c r="F700" s="30"/>
      <c r="G700" s="29"/>
      <c r="H700" s="30"/>
      <c r="I700" s="29"/>
      <c r="J700" s="31"/>
      <c r="K700" s="31"/>
      <c r="L700" s="30"/>
      <c r="M700" s="29"/>
      <c r="N700" s="30"/>
      <c r="O700" s="31"/>
      <c r="P700" s="32" t="str">
        <f aca="false">IF($J700="","",$J700-WEEKDAY($J700,3))</f>
        <v/>
      </c>
      <c r="Q700" s="32" t="str">
        <f aca="false">IF($J700="","",IF($K700="",$J700,$K700))</f>
        <v/>
      </c>
      <c r="R700" s="28" t="str">
        <f aca="false">IF($E700="","",IF(OR($N700&lt;&gt;"Concluída",$O700="",$J700=""),0,IF($O700&lt;=$J700,1,0)))</f>
        <v/>
      </c>
      <c r="S700" s="28" t="str">
        <f aca="false">IF($E700="","",IF(OR($N700&lt;&gt;"Concluída",$O700="",$Q700=""),0,IF($O700&lt;=$Q700,1,0)))</f>
        <v/>
      </c>
      <c r="T700" s="28" t="str">
        <f aca="false">IF(OR($J700="",$N700&lt;&gt;"Concluída",$O700=""),"",MAX(0,$O700-$J700))</f>
        <v/>
      </c>
      <c r="U700" s="33" t="str">
        <f aca="true">IF($E700="","",IF($N700="Cancelada","Cancelada",IF($N700="Concluída",IF($R700=1,"No prazo","Concluída com atraso"),IF($J700="","Na carteira",IF($J700&lt;TODAY(),"VENCIDA",IF($J700=TODAY(),"Hoje","Programada"))))))</f>
        <v/>
      </c>
    </row>
    <row r="701" customFormat="false" ht="15.75" hidden="false" customHeight="true" outlineLevel="0" collapsed="false">
      <c r="A701" s="28" t="str">
        <f aca="false">IF($E701="","",COUNTA($E$4:$E701))</f>
        <v/>
      </c>
      <c r="B701" s="34"/>
      <c r="C701" s="34"/>
      <c r="D701" s="34"/>
      <c r="E701" s="34"/>
      <c r="F701" s="35"/>
      <c r="G701" s="34"/>
      <c r="H701" s="35"/>
      <c r="I701" s="34"/>
      <c r="J701" s="36"/>
      <c r="K701" s="36"/>
      <c r="L701" s="35"/>
      <c r="M701" s="34"/>
      <c r="N701" s="35"/>
      <c r="O701" s="36"/>
      <c r="P701" s="32" t="str">
        <f aca="false">IF($J701="","",$J701-WEEKDAY($J701,3))</f>
        <v/>
      </c>
      <c r="Q701" s="32" t="str">
        <f aca="false">IF($J701="","",IF($K701="",$J701,$K701))</f>
        <v/>
      </c>
      <c r="R701" s="28" t="str">
        <f aca="false">IF($E701="","",IF(OR($N701&lt;&gt;"Concluída",$O701="",$J701=""),0,IF($O701&lt;=$J701,1,0)))</f>
        <v/>
      </c>
      <c r="S701" s="28" t="str">
        <f aca="false">IF($E701="","",IF(OR($N701&lt;&gt;"Concluída",$O701="",$Q701=""),0,IF($O701&lt;=$Q701,1,0)))</f>
        <v/>
      </c>
      <c r="T701" s="28" t="str">
        <f aca="false">IF(OR($J701="",$N701&lt;&gt;"Concluída",$O701=""),"",MAX(0,$O701-$J701))</f>
        <v/>
      </c>
      <c r="U701" s="33" t="str">
        <f aca="true">IF($E701="","",IF($N701="Cancelada","Cancelada",IF($N701="Concluída",IF($R701=1,"No prazo","Concluída com atraso"),IF($J701="","Na carteira",IF($J701&lt;TODAY(),"VENCIDA",IF($J701=TODAY(),"Hoje","Programada"))))))</f>
        <v/>
      </c>
    </row>
    <row r="702" customFormat="false" ht="15.75" hidden="false" customHeight="true" outlineLevel="0" collapsed="false">
      <c r="A702" s="28" t="str">
        <f aca="false">IF($E702="","",COUNTA($E$4:$E702))</f>
        <v/>
      </c>
      <c r="B702" s="29"/>
      <c r="C702" s="29"/>
      <c r="D702" s="29"/>
      <c r="E702" s="29"/>
      <c r="F702" s="30"/>
      <c r="G702" s="29"/>
      <c r="H702" s="30"/>
      <c r="I702" s="29"/>
      <c r="J702" s="31"/>
      <c r="K702" s="31"/>
      <c r="L702" s="30"/>
      <c r="M702" s="29"/>
      <c r="N702" s="30"/>
      <c r="O702" s="31"/>
      <c r="P702" s="32" t="str">
        <f aca="false">IF($J702="","",$J702-WEEKDAY($J702,3))</f>
        <v/>
      </c>
      <c r="Q702" s="32" t="str">
        <f aca="false">IF($J702="","",IF($K702="",$J702,$K702))</f>
        <v/>
      </c>
      <c r="R702" s="28" t="str">
        <f aca="false">IF($E702="","",IF(OR($N702&lt;&gt;"Concluída",$O702="",$J702=""),0,IF($O702&lt;=$J702,1,0)))</f>
        <v/>
      </c>
      <c r="S702" s="28" t="str">
        <f aca="false">IF($E702="","",IF(OR($N702&lt;&gt;"Concluída",$O702="",$Q702=""),0,IF($O702&lt;=$Q702,1,0)))</f>
        <v/>
      </c>
      <c r="T702" s="28" t="str">
        <f aca="false">IF(OR($J702="",$N702&lt;&gt;"Concluída",$O702=""),"",MAX(0,$O702-$J702))</f>
        <v/>
      </c>
      <c r="U702" s="33" t="str">
        <f aca="true">IF($E702="","",IF($N702="Cancelada","Cancelada",IF($N702="Concluída",IF($R702=1,"No prazo","Concluída com atraso"),IF($J702="","Na carteira",IF($J702&lt;TODAY(),"VENCIDA",IF($J702=TODAY(),"Hoje","Programada"))))))</f>
        <v/>
      </c>
    </row>
    <row r="703" customFormat="false" ht="15.75" hidden="false" customHeight="true" outlineLevel="0" collapsed="false">
      <c r="A703" s="28" t="str">
        <f aca="false">IF($E703="","",COUNTA($E$4:$E703))</f>
        <v/>
      </c>
      <c r="B703" s="34"/>
      <c r="C703" s="34"/>
      <c r="D703" s="34"/>
      <c r="E703" s="34"/>
      <c r="F703" s="35"/>
      <c r="G703" s="34"/>
      <c r="H703" s="35"/>
      <c r="I703" s="34"/>
      <c r="J703" s="36"/>
      <c r="K703" s="36"/>
      <c r="L703" s="35"/>
      <c r="M703" s="34"/>
      <c r="N703" s="35"/>
      <c r="O703" s="36"/>
      <c r="P703" s="32" t="str">
        <f aca="false">IF($J703="","",$J703-WEEKDAY($J703,3))</f>
        <v/>
      </c>
      <c r="Q703" s="32" t="str">
        <f aca="false">IF($J703="","",IF($K703="",$J703,$K703))</f>
        <v/>
      </c>
      <c r="R703" s="28" t="str">
        <f aca="false">IF($E703="","",IF(OR($N703&lt;&gt;"Concluída",$O703="",$J703=""),0,IF($O703&lt;=$J703,1,0)))</f>
        <v/>
      </c>
      <c r="S703" s="28" t="str">
        <f aca="false">IF($E703="","",IF(OR($N703&lt;&gt;"Concluída",$O703="",$Q703=""),0,IF($O703&lt;=$Q703,1,0)))</f>
        <v/>
      </c>
      <c r="T703" s="28" t="str">
        <f aca="false">IF(OR($J703="",$N703&lt;&gt;"Concluída",$O703=""),"",MAX(0,$O703-$J703))</f>
        <v/>
      </c>
      <c r="U703" s="33" t="str">
        <f aca="true">IF($E703="","",IF($N703="Cancelada","Cancelada",IF($N703="Concluída",IF($R703=1,"No prazo","Concluída com atraso"),IF($J703="","Na carteira",IF($J703&lt;TODAY(),"VENCIDA",IF($J703=TODAY(),"Hoje","Programada"))))))</f>
        <v/>
      </c>
    </row>
    <row r="704" customFormat="false" ht="15.75" hidden="false" customHeight="true" outlineLevel="0" collapsed="false">
      <c r="A704" s="28" t="str">
        <f aca="false">IF($E704="","",COUNTA($E$4:$E704))</f>
        <v/>
      </c>
      <c r="B704" s="29"/>
      <c r="C704" s="29"/>
      <c r="D704" s="29"/>
      <c r="E704" s="29"/>
      <c r="F704" s="30"/>
      <c r="G704" s="29"/>
      <c r="H704" s="30"/>
      <c r="I704" s="29"/>
      <c r="J704" s="31"/>
      <c r="K704" s="31"/>
      <c r="L704" s="30"/>
      <c r="M704" s="29"/>
      <c r="N704" s="30"/>
      <c r="O704" s="31"/>
      <c r="P704" s="32" t="str">
        <f aca="false">IF($J704="","",$J704-WEEKDAY($J704,3))</f>
        <v/>
      </c>
      <c r="Q704" s="32" t="str">
        <f aca="false">IF($J704="","",IF($K704="",$J704,$K704))</f>
        <v/>
      </c>
      <c r="R704" s="28" t="str">
        <f aca="false">IF($E704="","",IF(OR($N704&lt;&gt;"Concluída",$O704="",$J704=""),0,IF($O704&lt;=$J704,1,0)))</f>
        <v/>
      </c>
      <c r="S704" s="28" t="str">
        <f aca="false">IF($E704="","",IF(OR($N704&lt;&gt;"Concluída",$O704="",$Q704=""),0,IF($O704&lt;=$Q704,1,0)))</f>
        <v/>
      </c>
      <c r="T704" s="28" t="str">
        <f aca="false">IF(OR($J704="",$N704&lt;&gt;"Concluída",$O704=""),"",MAX(0,$O704-$J704))</f>
        <v/>
      </c>
      <c r="U704" s="33" t="str">
        <f aca="true">IF($E704="","",IF($N704="Cancelada","Cancelada",IF($N704="Concluída",IF($R704=1,"No prazo","Concluída com atraso"),IF($J704="","Na carteira",IF($J704&lt;TODAY(),"VENCIDA",IF($J704=TODAY(),"Hoje","Programada"))))))</f>
        <v/>
      </c>
    </row>
    <row r="705" customFormat="false" ht="15.75" hidden="false" customHeight="true" outlineLevel="0" collapsed="false">
      <c r="A705" s="28" t="str">
        <f aca="false">IF($E705="","",COUNTA($E$4:$E705))</f>
        <v/>
      </c>
      <c r="B705" s="34"/>
      <c r="C705" s="34"/>
      <c r="D705" s="34"/>
      <c r="E705" s="34"/>
      <c r="F705" s="35"/>
      <c r="G705" s="34"/>
      <c r="H705" s="35"/>
      <c r="I705" s="34"/>
      <c r="J705" s="36"/>
      <c r="K705" s="36"/>
      <c r="L705" s="35"/>
      <c r="M705" s="34"/>
      <c r="N705" s="35"/>
      <c r="O705" s="36"/>
      <c r="P705" s="32" t="str">
        <f aca="false">IF($J705="","",$J705-WEEKDAY($J705,3))</f>
        <v/>
      </c>
      <c r="Q705" s="32" t="str">
        <f aca="false">IF($J705="","",IF($K705="",$J705,$K705))</f>
        <v/>
      </c>
      <c r="R705" s="28" t="str">
        <f aca="false">IF($E705="","",IF(OR($N705&lt;&gt;"Concluída",$O705="",$J705=""),0,IF($O705&lt;=$J705,1,0)))</f>
        <v/>
      </c>
      <c r="S705" s="28" t="str">
        <f aca="false">IF($E705="","",IF(OR($N705&lt;&gt;"Concluída",$O705="",$Q705=""),0,IF($O705&lt;=$Q705,1,0)))</f>
        <v/>
      </c>
      <c r="T705" s="28" t="str">
        <f aca="false">IF(OR($J705="",$N705&lt;&gt;"Concluída",$O705=""),"",MAX(0,$O705-$J705))</f>
        <v/>
      </c>
      <c r="U705" s="33" t="str">
        <f aca="true">IF($E705="","",IF($N705="Cancelada","Cancelada",IF($N705="Concluída",IF($R705=1,"No prazo","Concluída com atraso"),IF($J705="","Na carteira",IF($J705&lt;TODAY(),"VENCIDA",IF($J705=TODAY(),"Hoje","Programada"))))))</f>
        <v/>
      </c>
    </row>
    <row r="706" customFormat="false" ht="15.75" hidden="false" customHeight="true" outlineLevel="0" collapsed="false">
      <c r="A706" s="28" t="str">
        <f aca="false">IF($E706="","",COUNTA($E$4:$E706))</f>
        <v/>
      </c>
      <c r="B706" s="29"/>
      <c r="C706" s="29"/>
      <c r="D706" s="29"/>
      <c r="E706" s="29"/>
      <c r="F706" s="30"/>
      <c r="G706" s="29"/>
      <c r="H706" s="30"/>
      <c r="I706" s="29"/>
      <c r="J706" s="31"/>
      <c r="K706" s="31"/>
      <c r="L706" s="30"/>
      <c r="M706" s="29"/>
      <c r="N706" s="30"/>
      <c r="O706" s="31"/>
      <c r="P706" s="32" t="str">
        <f aca="false">IF($J706="","",$J706-WEEKDAY($J706,3))</f>
        <v/>
      </c>
      <c r="Q706" s="32" t="str">
        <f aca="false">IF($J706="","",IF($K706="",$J706,$K706))</f>
        <v/>
      </c>
      <c r="R706" s="28" t="str">
        <f aca="false">IF($E706="","",IF(OR($N706&lt;&gt;"Concluída",$O706="",$J706=""),0,IF($O706&lt;=$J706,1,0)))</f>
        <v/>
      </c>
      <c r="S706" s="28" t="str">
        <f aca="false">IF($E706="","",IF(OR($N706&lt;&gt;"Concluída",$O706="",$Q706=""),0,IF($O706&lt;=$Q706,1,0)))</f>
        <v/>
      </c>
      <c r="T706" s="28" t="str">
        <f aca="false">IF(OR($J706="",$N706&lt;&gt;"Concluída",$O706=""),"",MAX(0,$O706-$J706))</f>
        <v/>
      </c>
      <c r="U706" s="33" t="str">
        <f aca="true">IF($E706="","",IF($N706="Cancelada","Cancelada",IF($N706="Concluída",IF($R706=1,"No prazo","Concluída com atraso"),IF($J706="","Na carteira",IF($J706&lt;TODAY(),"VENCIDA",IF($J706=TODAY(),"Hoje","Programada"))))))</f>
        <v/>
      </c>
    </row>
    <row r="707" customFormat="false" ht="15.75" hidden="false" customHeight="true" outlineLevel="0" collapsed="false">
      <c r="A707" s="28" t="str">
        <f aca="false">IF($E707="","",COUNTA($E$4:$E707))</f>
        <v/>
      </c>
      <c r="B707" s="34"/>
      <c r="C707" s="34"/>
      <c r="D707" s="34"/>
      <c r="E707" s="34"/>
      <c r="F707" s="35"/>
      <c r="G707" s="34"/>
      <c r="H707" s="35"/>
      <c r="I707" s="34"/>
      <c r="J707" s="36"/>
      <c r="K707" s="36"/>
      <c r="L707" s="35"/>
      <c r="M707" s="34"/>
      <c r="N707" s="35"/>
      <c r="O707" s="36"/>
      <c r="P707" s="32" t="str">
        <f aca="false">IF($J707="","",$J707-WEEKDAY($J707,3))</f>
        <v/>
      </c>
      <c r="Q707" s="32" t="str">
        <f aca="false">IF($J707="","",IF($K707="",$J707,$K707))</f>
        <v/>
      </c>
      <c r="R707" s="28" t="str">
        <f aca="false">IF($E707="","",IF(OR($N707&lt;&gt;"Concluída",$O707="",$J707=""),0,IF($O707&lt;=$J707,1,0)))</f>
        <v/>
      </c>
      <c r="S707" s="28" t="str">
        <f aca="false">IF($E707="","",IF(OR($N707&lt;&gt;"Concluída",$O707="",$Q707=""),0,IF($O707&lt;=$Q707,1,0)))</f>
        <v/>
      </c>
      <c r="T707" s="28" t="str">
        <f aca="false">IF(OR($J707="",$N707&lt;&gt;"Concluída",$O707=""),"",MAX(0,$O707-$J707))</f>
        <v/>
      </c>
      <c r="U707" s="33" t="str">
        <f aca="true">IF($E707="","",IF($N707="Cancelada","Cancelada",IF($N707="Concluída",IF($R707=1,"No prazo","Concluída com atraso"),IF($J707="","Na carteira",IF($J707&lt;TODAY(),"VENCIDA",IF($J707=TODAY(),"Hoje","Programada"))))))</f>
        <v/>
      </c>
    </row>
    <row r="708" customFormat="false" ht="15.75" hidden="false" customHeight="true" outlineLevel="0" collapsed="false">
      <c r="A708" s="28" t="str">
        <f aca="false">IF($E708="","",COUNTA($E$4:$E708))</f>
        <v/>
      </c>
      <c r="B708" s="29"/>
      <c r="C708" s="29"/>
      <c r="D708" s="29"/>
      <c r="E708" s="29"/>
      <c r="F708" s="30"/>
      <c r="G708" s="29"/>
      <c r="H708" s="30"/>
      <c r="I708" s="29"/>
      <c r="J708" s="31"/>
      <c r="K708" s="31"/>
      <c r="L708" s="30"/>
      <c r="M708" s="29"/>
      <c r="N708" s="30"/>
      <c r="O708" s="31"/>
      <c r="P708" s="32" t="str">
        <f aca="false">IF($J708="","",$J708-WEEKDAY($J708,3))</f>
        <v/>
      </c>
      <c r="Q708" s="32" t="str">
        <f aca="false">IF($J708="","",IF($K708="",$J708,$K708))</f>
        <v/>
      </c>
      <c r="R708" s="28" t="str">
        <f aca="false">IF($E708="","",IF(OR($N708&lt;&gt;"Concluída",$O708="",$J708=""),0,IF($O708&lt;=$J708,1,0)))</f>
        <v/>
      </c>
      <c r="S708" s="28" t="str">
        <f aca="false">IF($E708="","",IF(OR($N708&lt;&gt;"Concluída",$O708="",$Q708=""),0,IF($O708&lt;=$Q708,1,0)))</f>
        <v/>
      </c>
      <c r="T708" s="28" t="str">
        <f aca="false">IF(OR($J708="",$N708&lt;&gt;"Concluída",$O708=""),"",MAX(0,$O708-$J708))</f>
        <v/>
      </c>
      <c r="U708" s="33" t="str">
        <f aca="true">IF($E708="","",IF($N708="Cancelada","Cancelada",IF($N708="Concluída",IF($R708=1,"No prazo","Concluída com atraso"),IF($J708="","Na carteira",IF($J708&lt;TODAY(),"VENCIDA",IF($J708=TODAY(),"Hoje","Programada"))))))</f>
        <v/>
      </c>
    </row>
    <row r="709" customFormat="false" ht="15.75" hidden="false" customHeight="true" outlineLevel="0" collapsed="false">
      <c r="A709" s="28" t="str">
        <f aca="false">IF($E709="","",COUNTA($E$4:$E709))</f>
        <v/>
      </c>
      <c r="B709" s="34"/>
      <c r="C709" s="34"/>
      <c r="D709" s="34"/>
      <c r="E709" s="34"/>
      <c r="F709" s="35"/>
      <c r="G709" s="34"/>
      <c r="H709" s="35"/>
      <c r="I709" s="34"/>
      <c r="J709" s="36"/>
      <c r="K709" s="36"/>
      <c r="L709" s="35"/>
      <c r="M709" s="34"/>
      <c r="N709" s="35"/>
      <c r="O709" s="36"/>
      <c r="P709" s="32" t="str">
        <f aca="false">IF($J709="","",$J709-WEEKDAY($J709,3))</f>
        <v/>
      </c>
      <c r="Q709" s="32" t="str">
        <f aca="false">IF($J709="","",IF($K709="",$J709,$K709))</f>
        <v/>
      </c>
      <c r="R709" s="28" t="str">
        <f aca="false">IF($E709="","",IF(OR($N709&lt;&gt;"Concluída",$O709="",$J709=""),0,IF($O709&lt;=$J709,1,0)))</f>
        <v/>
      </c>
      <c r="S709" s="28" t="str">
        <f aca="false">IF($E709="","",IF(OR($N709&lt;&gt;"Concluída",$O709="",$Q709=""),0,IF($O709&lt;=$Q709,1,0)))</f>
        <v/>
      </c>
      <c r="T709" s="28" t="str">
        <f aca="false">IF(OR($J709="",$N709&lt;&gt;"Concluída",$O709=""),"",MAX(0,$O709-$J709))</f>
        <v/>
      </c>
      <c r="U709" s="33" t="str">
        <f aca="true">IF($E709="","",IF($N709="Cancelada","Cancelada",IF($N709="Concluída",IF($R709=1,"No prazo","Concluída com atraso"),IF($J709="","Na carteira",IF($J709&lt;TODAY(),"VENCIDA",IF($J709=TODAY(),"Hoje","Programada"))))))</f>
        <v/>
      </c>
    </row>
    <row r="710" customFormat="false" ht="15.75" hidden="false" customHeight="true" outlineLevel="0" collapsed="false">
      <c r="A710" s="28" t="str">
        <f aca="false">IF($E710="","",COUNTA($E$4:$E710))</f>
        <v/>
      </c>
      <c r="B710" s="29"/>
      <c r="C710" s="29"/>
      <c r="D710" s="29"/>
      <c r="E710" s="29"/>
      <c r="F710" s="30"/>
      <c r="G710" s="29"/>
      <c r="H710" s="30"/>
      <c r="I710" s="29"/>
      <c r="J710" s="31"/>
      <c r="K710" s="31"/>
      <c r="L710" s="30"/>
      <c r="M710" s="29"/>
      <c r="N710" s="30"/>
      <c r="O710" s="31"/>
      <c r="P710" s="32" t="str">
        <f aca="false">IF($J710="","",$J710-WEEKDAY($J710,3))</f>
        <v/>
      </c>
      <c r="Q710" s="32" t="str">
        <f aca="false">IF($J710="","",IF($K710="",$J710,$K710))</f>
        <v/>
      </c>
      <c r="R710" s="28" t="str">
        <f aca="false">IF($E710="","",IF(OR($N710&lt;&gt;"Concluída",$O710="",$J710=""),0,IF($O710&lt;=$J710,1,0)))</f>
        <v/>
      </c>
      <c r="S710" s="28" t="str">
        <f aca="false">IF($E710="","",IF(OR($N710&lt;&gt;"Concluída",$O710="",$Q710=""),0,IF($O710&lt;=$Q710,1,0)))</f>
        <v/>
      </c>
      <c r="T710" s="28" t="str">
        <f aca="false">IF(OR($J710="",$N710&lt;&gt;"Concluída",$O710=""),"",MAX(0,$O710-$J710))</f>
        <v/>
      </c>
      <c r="U710" s="33" t="str">
        <f aca="true">IF($E710="","",IF($N710="Cancelada","Cancelada",IF($N710="Concluída",IF($R710=1,"No prazo","Concluída com atraso"),IF($J710="","Na carteira",IF($J710&lt;TODAY(),"VENCIDA",IF($J710=TODAY(),"Hoje","Programada"))))))</f>
        <v/>
      </c>
    </row>
    <row r="711" customFormat="false" ht="15.75" hidden="false" customHeight="true" outlineLevel="0" collapsed="false">
      <c r="A711" s="28" t="str">
        <f aca="false">IF($E711="","",COUNTA($E$4:$E711))</f>
        <v/>
      </c>
      <c r="B711" s="34"/>
      <c r="C711" s="34"/>
      <c r="D711" s="34"/>
      <c r="E711" s="34"/>
      <c r="F711" s="35"/>
      <c r="G711" s="34"/>
      <c r="H711" s="35"/>
      <c r="I711" s="34"/>
      <c r="J711" s="36"/>
      <c r="K711" s="36"/>
      <c r="L711" s="35"/>
      <c r="M711" s="34"/>
      <c r="N711" s="35"/>
      <c r="O711" s="36"/>
      <c r="P711" s="32" t="str">
        <f aca="false">IF($J711="","",$J711-WEEKDAY($J711,3))</f>
        <v/>
      </c>
      <c r="Q711" s="32" t="str">
        <f aca="false">IF($J711="","",IF($K711="",$J711,$K711))</f>
        <v/>
      </c>
      <c r="R711" s="28" t="str">
        <f aca="false">IF($E711="","",IF(OR($N711&lt;&gt;"Concluída",$O711="",$J711=""),0,IF($O711&lt;=$J711,1,0)))</f>
        <v/>
      </c>
      <c r="S711" s="28" t="str">
        <f aca="false">IF($E711="","",IF(OR($N711&lt;&gt;"Concluída",$O711="",$Q711=""),0,IF($O711&lt;=$Q711,1,0)))</f>
        <v/>
      </c>
      <c r="T711" s="28" t="str">
        <f aca="false">IF(OR($J711="",$N711&lt;&gt;"Concluída",$O711=""),"",MAX(0,$O711-$J711))</f>
        <v/>
      </c>
      <c r="U711" s="33" t="str">
        <f aca="true">IF($E711="","",IF($N711="Cancelada","Cancelada",IF($N711="Concluída",IF($R711=1,"No prazo","Concluída com atraso"),IF($J711="","Na carteira",IF($J711&lt;TODAY(),"VENCIDA",IF($J711=TODAY(),"Hoje","Programada"))))))</f>
        <v/>
      </c>
    </row>
    <row r="712" customFormat="false" ht="15.75" hidden="false" customHeight="true" outlineLevel="0" collapsed="false">
      <c r="A712" s="28" t="str">
        <f aca="false">IF($E712="","",COUNTA($E$4:$E712))</f>
        <v/>
      </c>
      <c r="B712" s="29"/>
      <c r="C712" s="29"/>
      <c r="D712" s="29"/>
      <c r="E712" s="29"/>
      <c r="F712" s="30"/>
      <c r="G712" s="29"/>
      <c r="H712" s="30"/>
      <c r="I712" s="29"/>
      <c r="J712" s="31"/>
      <c r="K712" s="31"/>
      <c r="L712" s="30"/>
      <c r="M712" s="29"/>
      <c r="N712" s="30"/>
      <c r="O712" s="31"/>
      <c r="P712" s="32" t="str">
        <f aca="false">IF($J712="","",$J712-WEEKDAY($J712,3))</f>
        <v/>
      </c>
      <c r="Q712" s="32" t="str">
        <f aca="false">IF($J712="","",IF($K712="",$J712,$K712))</f>
        <v/>
      </c>
      <c r="R712" s="28" t="str">
        <f aca="false">IF($E712="","",IF(OR($N712&lt;&gt;"Concluída",$O712="",$J712=""),0,IF($O712&lt;=$J712,1,0)))</f>
        <v/>
      </c>
      <c r="S712" s="28" t="str">
        <f aca="false">IF($E712="","",IF(OR($N712&lt;&gt;"Concluída",$O712="",$Q712=""),0,IF($O712&lt;=$Q712,1,0)))</f>
        <v/>
      </c>
      <c r="T712" s="28" t="str">
        <f aca="false">IF(OR($J712="",$N712&lt;&gt;"Concluída",$O712=""),"",MAX(0,$O712-$J712))</f>
        <v/>
      </c>
      <c r="U712" s="33" t="str">
        <f aca="true">IF($E712="","",IF($N712="Cancelada","Cancelada",IF($N712="Concluída",IF($R712=1,"No prazo","Concluída com atraso"),IF($J712="","Na carteira",IF($J712&lt;TODAY(),"VENCIDA",IF($J712=TODAY(),"Hoje","Programada"))))))</f>
        <v/>
      </c>
    </row>
    <row r="713" customFormat="false" ht="15.75" hidden="false" customHeight="true" outlineLevel="0" collapsed="false">
      <c r="A713" s="28" t="str">
        <f aca="false">IF($E713="","",COUNTA($E$4:$E713))</f>
        <v/>
      </c>
      <c r="B713" s="34"/>
      <c r="C713" s="34"/>
      <c r="D713" s="34"/>
      <c r="E713" s="34"/>
      <c r="F713" s="35"/>
      <c r="G713" s="34"/>
      <c r="H713" s="35"/>
      <c r="I713" s="34"/>
      <c r="J713" s="36"/>
      <c r="K713" s="36"/>
      <c r="L713" s="35"/>
      <c r="M713" s="34"/>
      <c r="N713" s="35"/>
      <c r="O713" s="36"/>
      <c r="P713" s="32" t="str">
        <f aca="false">IF($J713="","",$J713-WEEKDAY($J713,3))</f>
        <v/>
      </c>
      <c r="Q713" s="32" t="str">
        <f aca="false">IF($J713="","",IF($K713="",$J713,$K713))</f>
        <v/>
      </c>
      <c r="R713" s="28" t="str">
        <f aca="false">IF($E713="","",IF(OR($N713&lt;&gt;"Concluída",$O713="",$J713=""),0,IF($O713&lt;=$J713,1,0)))</f>
        <v/>
      </c>
      <c r="S713" s="28" t="str">
        <f aca="false">IF($E713="","",IF(OR($N713&lt;&gt;"Concluída",$O713="",$Q713=""),0,IF($O713&lt;=$Q713,1,0)))</f>
        <v/>
      </c>
      <c r="T713" s="28" t="str">
        <f aca="false">IF(OR($J713="",$N713&lt;&gt;"Concluída",$O713=""),"",MAX(0,$O713-$J713))</f>
        <v/>
      </c>
      <c r="U713" s="33" t="str">
        <f aca="true">IF($E713="","",IF($N713="Cancelada","Cancelada",IF($N713="Concluída",IF($R713=1,"No prazo","Concluída com atraso"),IF($J713="","Na carteira",IF($J713&lt;TODAY(),"VENCIDA",IF($J713=TODAY(),"Hoje","Programada"))))))</f>
        <v/>
      </c>
    </row>
    <row r="714" customFormat="false" ht="15.75" hidden="false" customHeight="true" outlineLevel="0" collapsed="false">
      <c r="A714" s="28" t="str">
        <f aca="false">IF($E714="","",COUNTA($E$4:$E714))</f>
        <v/>
      </c>
      <c r="B714" s="29"/>
      <c r="C714" s="29"/>
      <c r="D714" s="29"/>
      <c r="E714" s="29"/>
      <c r="F714" s="30"/>
      <c r="G714" s="29"/>
      <c r="H714" s="30"/>
      <c r="I714" s="29"/>
      <c r="J714" s="31"/>
      <c r="K714" s="31"/>
      <c r="L714" s="30"/>
      <c r="M714" s="29"/>
      <c r="N714" s="30"/>
      <c r="O714" s="31"/>
      <c r="P714" s="32" t="str">
        <f aca="false">IF($J714="","",$J714-WEEKDAY($J714,3))</f>
        <v/>
      </c>
      <c r="Q714" s="32" t="str">
        <f aca="false">IF($J714="","",IF($K714="",$J714,$K714))</f>
        <v/>
      </c>
      <c r="R714" s="28" t="str">
        <f aca="false">IF($E714="","",IF(OR($N714&lt;&gt;"Concluída",$O714="",$J714=""),0,IF($O714&lt;=$J714,1,0)))</f>
        <v/>
      </c>
      <c r="S714" s="28" t="str">
        <f aca="false">IF($E714="","",IF(OR($N714&lt;&gt;"Concluída",$O714="",$Q714=""),0,IF($O714&lt;=$Q714,1,0)))</f>
        <v/>
      </c>
      <c r="T714" s="28" t="str">
        <f aca="false">IF(OR($J714="",$N714&lt;&gt;"Concluída",$O714=""),"",MAX(0,$O714-$J714))</f>
        <v/>
      </c>
      <c r="U714" s="33" t="str">
        <f aca="true">IF($E714="","",IF($N714="Cancelada","Cancelada",IF($N714="Concluída",IF($R714=1,"No prazo","Concluída com atraso"),IF($J714="","Na carteira",IF($J714&lt;TODAY(),"VENCIDA",IF($J714=TODAY(),"Hoje","Programada"))))))</f>
        <v/>
      </c>
    </row>
    <row r="715" customFormat="false" ht="15.75" hidden="false" customHeight="true" outlineLevel="0" collapsed="false">
      <c r="A715" s="28" t="str">
        <f aca="false">IF($E715="","",COUNTA($E$4:$E715))</f>
        <v/>
      </c>
      <c r="B715" s="34"/>
      <c r="C715" s="34"/>
      <c r="D715" s="34"/>
      <c r="E715" s="34"/>
      <c r="F715" s="35"/>
      <c r="G715" s="34"/>
      <c r="H715" s="35"/>
      <c r="I715" s="34"/>
      <c r="J715" s="36"/>
      <c r="K715" s="36"/>
      <c r="L715" s="35"/>
      <c r="M715" s="34"/>
      <c r="N715" s="35"/>
      <c r="O715" s="36"/>
      <c r="P715" s="32" t="str">
        <f aca="false">IF($J715="","",$J715-WEEKDAY($J715,3))</f>
        <v/>
      </c>
      <c r="Q715" s="32" t="str">
        <f aca="false">IF($J715="","",IF($K715="",$J715,$K715))</f>
        <v/>
      </c>
      <c r="R715" s="28" t="str">
        <f aca="false">IF($E715="","",IF(OR($N715&lt;&gt;"Concluída",$O715="",$J715=""),0,IF($O715&lt;=$J715,1,0)))</f>
        <v/>
      </c>
      <c r="S715" s="28" t="str">
        <f aca="false">IF($E715="","",IF(OR($N715&lt;&gt;"Concluída",$O715="",$Q715=""),0,IF($O715&lt;=$Q715,1,0)))</f>
        <v/>
      </c>
      <c r="T715" s="28" t="str">
        <f aca="false">IF(OR($J715="",$N715&lt;&gt;"Concluída",$O715=""),"",MAX(0,$O715-$J715))</f>
        <v/>
      </c>
      <c r="U715" s="33" t="str">
        <f aca="true">IF($E715="","",IF($N715="Cancelada","Cancelada",IF($N715="Concluída",IF($R715=1,"No prazo","Concluída com atraso"),IF($J715="","Na carteira",IF($J715&lt;TODAY(),"VENCIDA",IF($J715=TODAY(),"Hoje","Programada"))))))</f>
        <v/>
      </c>
    </row>
    <row r="716" customFormat="false" ht="15.75" hidden="false" customHeight="true" outlineLevel="0" collapsed="false">
      <c r="A716" s="28" t="str">
        <f aca="false">IF($E716="","",COUNTA($E$4:$E716))</f>
        <v/>
      </c>
      <c r="B716" s="29"/>
      <c r="C716" s="29"/>
      <c r="D716" s="29"/>
      <c r="E716" s="29"/>
      <c r="F716" s="30"/>
      <c r="G716" s="29"/>
      <c r="H716" s="30"/>
      <c r="I716" s="29"/>
      <c r="J716" s="31"/>
      <c r="K716" s="31"/>
      <c r="L716" s="30"/>
      <c r="M716" s="29"/>
      <c r="N716" s="30"/>
      <c r="O716" s="31"/>
      <c r="P716" s="32" t="str">
        <f aca="false">IF($J716="","",$J716-WEEKDAY($J716,3))</f>
        <v/>
      </c>
      <c r="Q716" s="32" t="str">
        <f aca="false">IF($J716="","",IF($K716="",$J716,$K716))</f>
        <v/>
      </c>
      <c r="R716" s="28" t="str">
        <f aca="false">IF($E716="","",IF(OR($N716&lt;&gt;"Concluída",$O716="",$J716=""),0,IF($O716&lt;=$J716,1,0)))</f>
        <v/>
      </c>
      <c r="S716" s="28" t="str">
        <f aca="false">IF($E716="","",IF(OR($N716&lt;&gt;"Concluída",$O716="",$Q716=""),0,IF($O716&lt;=$Q716,1,0)))</f>
        <v/>
      </c>
      <c r="T716" s="28" t="str">
        <f aca="false">IF(OR($J716="",$N716&lt;&gt;"Concluída",$O716=""),"",MAX(0,$O716-$J716))</f>
        <v/>
      </c>
      <c r="U716" s="33" t="str">
        <f aca="true">IF($E716="","",IF($N716="Cancelada","Cancelada",IF($N716="Concluída",IF($R716=1,"No prazo","Concluída com atraso"),IF($J716="","Na carteira",IF($J716&lt;TODAY(),"VENCIDA",IF($J716=TODAY(),"Hoje","Programada"))))))</f>
        <v/>
      </c>
    </row>
    <row r="717" customFormat="false" ht="15.75" hidden="false" customHeight="true" outlineLevel="0" collapsed="false">
      <c r="A717" s="28" t="str">
        <f aca="false">IF($E717="","",COUNTA($E$4:$E717))</f>
        <v/>
      </c>
      <c r="B717" s="34"/>
      <c r="C717" s="34"/>
      <c r="D717" s="34"/>
      <c r="E717" s="34"/>
      <c r="F717" s="35"/>
      <c r="G717" s="34"/>
      <c r="H717" s="35"/>
      <c r="I717" s="34"/>
      <c r="J717" s="36"/>
      <c r="K717" s="36"/>
      <c r="L717" s="35"/>
      <c r="M717" s="34"/>
      <c r="N717" s="35"/>
      <c r="O717" s="36"/>
      <c r="P717" s="32" t="str">
        <f aca="false">IF($J717="","",$J717-WEEKDAY($J717,3))</f>
        <v/>
      </c>
      <c r="Q717" s="32" t="str">
        <f aca="false">IF($J717="","",IF($K717="",$J717,$K717))</f>
        <v/>
      </c>
      <c r="R717" s="28" t="str">
        <f aca="false">IF($E717="","",IF(OR($N717&lt;&gt;"Concluída",$O717="",$J717=""),0,IF($O717&lt;=$J717,1,0)))</f>
        <v/>
      </c>
      <c r="S717" s="28" t="str">
        <f aca="false">IF($E717="","",IF(OR($N717&lt;&gt;"Concluída",$O717="",$Q717=""),0,IF($O717&lt;=$Q717,1,0)))</f>
        <v/>
      </c>
      <c r="T717" s="28" t="str">
        <f aca="false">IF(OR($J717="",$N717&lt;&gt;"Concluída",$O717=""),"",MAX(0,$O717-$J717))</f>
        <v/>
      </c>
      <c r="U717" s="33" t="str">
        <f aca="true">IF($E717="","",IF($N717="Cancelada","Cancelada",IF($N717="Concluída",IF($R717=1,"No prazo","Concluída com atraso"),IF($J717="","Na carteira",IF($J717&lt;TODAY(),"VENCIDA",IF($J717=TODAY(),"Hoje","Programada"))))))</f>
        <v/>
      </c>
    </row>
    <row r="718" customFormat="false" ht="15.75" hidden="false" customHeight="true" outlineLevel="0" collapsed="false">
      <c r="A718" s="28" t="str">
        <f aca="false">IF($E718="","",COUNTA($E$4:$E718))</f>
        <v/>
      </c>
      <c r="B718" s="29"/>
      <c r="C718" s="29"/>
      <c r="D718" s="29"/>
      <c r="E718" s="29"/>
      <c r="F718" s="30"/>
      <c r="G718" s="29"/>
      <c r="H718" s="30"/>
      <c r="I718" s="29"/>
      <c r="J718" s="31"/>
      <c r="K718" s="31"/>
      <c r="L718" s="30"/>
      <c r="M718" s="29"/>
      <c r="N718" s="30"/>
      <c r="O718" s="31"/>
      <c r="P718" s="32" t="str">
        <f aca="false">IF($J718="","",$J718-WEEKDAY($J718,3))</f>
        <v/>
      </c>
      <c r="Q718" s="32" t="str">
        <f aca="false">IF($J718="","",IF($K718="",$J718,$K718))</f>
        <v/>
      </c>
      <c r="R718" s="28" t="str">
        <f aca="false">IF($E718="","",IF(OR($N718&lt;&gt;"Concluída",$O718="",$J718=""),0,IF($O718&lt;=$J718,1,0)))</f>
        <v/>
      </c>
      <c r="S718" s="28" t="str">
        <f aca="false">IF($E718="","",IF(OR($N718&lt;&gt;"Concluída",$O718="",$Q718=""),0,IF($O718&lt;=$Q718,1,0)))</f>
        <v/>
      </c>
      <c r="T718" s="28" t="str">
        <f aca="false">IF(OR($J718="",$N718&lt;&gt;"Concluída",$O718=""),"",MAX(0,$O718-$J718))</f>
        <v/>
      </c>
      <c r="U718" s="33" t="str">
        <f aca="true">IF($E718="","",IF($N718="Cancelada","Cancelada",IF($N718="Concluída",IF($R718=1,"No prazo","Concluída com atraso"),IF($J718="","Na carteira",IF($J718&lt;TODAY(),"VENCIDA",IF($J718=TODAY(),"Hoje","Programada"))))))</f>
        <v/>
      </c>
    </row>
    <row r="719" customFormat="false" ht="15.75" hidden="false" customHeight="true" outlineLevel="0" collapsed="false">
      <c r="A719" s="28" t="str">
        <f aca="false">IF($E719="","",COUNTA($E$4:$E719))</f>
        <v/>
      </c>
      <c r="B719" s="34"/>
      <c r="C719" s="34"/>
      <c r="D719" s="34"/>
      <c r="E719" s="34"/>
      <c r="F719" s="35"/>
      <c r="G719" s="34"/>
      <c r="H719" s="35"/>
      <c r="I719" s="34"/>
      <c r="J719" s="36"/>
      <c r="K719" s="36"/>
      <c r="L719" s="35"/>
      <c r="M719" s="34"/>
      <c r="N719" s="35"/>
      <c r="O719" s="36"/>
      <c r="P719" s="32" t="str">
        <f aca="false">IF($J719="","",$J719-WEEKDAY($J719,3))</f>
        <v/>
      </c>
      <c r="Q719" s="32" t="str">
        <f aca="false">IF($J719="","",IF($K719="",$J719,$K719))</f>
        <v/>
      </c>
      <c r="R719" s="28" t="str">
        <f aca="false">IF($E719="","",IF(OR($N719&lt;&gt;"Concluída",$O719="",$J719=""),0,IF($O719&lt;=$J719,1,0)))</f>
        <v/>
      </c>
      <c r="S719" s="28" t="str">
        <f aca="false">IF($E719="","",IF(OR($N719&lt;&gt;"Concluída",$O719="",$Q719=""),0,IF($O719&lt;=$Q719,1,0)))</f>
        <v/>
      </c>
      <c r="T719" s="28" t="str">
        <f aca="false">IF(OR($J719="",$N719&lt;&gt;"Concluída",$O719=""),"",MAX(0,$O719-$J719))</f>
        <v/>
      </c>
      <c r="U719" s="33" t="str">
        <f aca="true">IF($E719="","",IF($N719="Cancelada","Cancelada",IF($N719="Concluída",IF($R719=1,"No prazo","Concluída com atraso"),IF($J719="","Na carteira",IF($J719&lt;TODAY(),"VENCIDA",IF($J719=TODAY(),"Hoje","Programada"))))))</f>
        <v/>
      </c>
    </row>
    <row r="720" customFormat="false" ht="15.75" hidden="false" customHeight="true" outlineLevel="0" collapsed="false">
      <c r="A720" s="28" t="str">
        <f aca="false">IF($E720="","",COUNTA($E$4:$E720))</f>
        <v/>
      </c>
      <c r="B720" s="29"/>
      <c r="C720" s="29"/>
      <c r="D720" s="29"/>
      <c r="E720" s="29"/>
      <c r="F720" s="30"/>
      <c r="G720" s="29"/>
      <c r="H720" s="30"/>
      <c r="I720" s="29"/>
      <c r="J720" s="31"/>
      <c r="K720" s="31"/>
      <c r="L720" s="30"/>
      <c r="M720" s="29"/>
      <c r="N720" s="30"/>
      <c r="O720" s="31"/>
      <c r="P720" s="32" t="str">
        <f aca="false">IF($J720="","",$J720-WEEKDAY($J720,3))</f>
        <v/>
      </c>
      <c r="Q720" s="32" t="str">
        <f aca="false">IF($J720="","",IF($K720="",$J720,$K720))</f>
        <v/>
      </c>
      <c r="R720" s="28" t="str">
        <f aca="false">IF($E720="","",IF(OR($N720&lt;&gt;"Concluída",$O720="",$J720=""),0,IF($O720&lt;=$J720,1,0)))</f>
        <v/>
      </c>
      <c r="S720" s="28" t="str">
        <f aca="false">IF($E720="","",IF(OR($N720&lt;&gt;"Concluída",$O720="",$Q720=""),0,IF($O720&lt;=$Q720,1,0)))</f>
        <v/>
      </c>
      <c r="T720" s="28" t="str">
        <f aca="false">IF(OR($J720="",$N720&lt;&gt;"Concluída",$O720=""),"",MAX(0,$O720-$J720))</f>
        <v/>
      </c>
      <c r="U720" s="33" t="str">
        <f aca="true">IF($E720="","",IF($N720="Cancelada","Cancelada",IF($N720="Concluída",IF($R720=1,"No prazo","Concluída com atraso"),IF($J720="","Na carteira",IF($J720&lt;TODAY(),"VENCIDA",IF($J720=TODAY(),"Hoje","Programada"))))))</f>
        <v/>
      </c>
    </row>
    <row r="721" customFormat="false" ht="15.75" hidden="false" customHeight="true" outlineLevel="0" collapsed="false">
      <c r="A721" s="28" t="str">
        <f aca="false">IF($E721="","",COUNTA($E$4:$E721))</f>
        <v/>
      </c>
      <c r="B721" s="34"/>
      <c r="C721" s="34"/>
      <c r="D721" s="34"/>
      <c r="E721" s="34"/>
      <c r="F721" s="35"/>
      <c r="G721" s="34"/>
      <c r="H721" s="35"/>
      <c r="I721" s="34"/>
      <c r="J721" s="36"/>
      <c r="K721" s="36"/>
      <c r="L721" s="35"/>
      <c r="M721" s="34"/>
      <c r="N721" s="35"/>
      <c r="O721" s="36"/>
      <c r="P721" s="32" t="str">
        <f aca="false">IF($J721="","",$J721-WEEKDAY($J721,3))</f>
        <v/>
      </c>
      <c r="Q721" s="32" t="str">
        <f aca="false">IF($J721="","",IF($K721="",$J721,$K721))</f>
        <v/>
      </c>
      <c r="R721" s="28" t="str">
        <f aca="false">IF($E721="","",IF(OR($N721&lt;&gt;"Concluída",$O721="",$J721=""),0,IF($O721&lt;=$J721,1,0)))</f>
        <v/>
      </c>
      <c r="S721" s="28" t="str">
        <f aca="false">IF($E721="","",IF(OR($N721&lt;&gt;"Concluída",$O721="",$Q721=""),0,IF($O721&lt;=$Q721,1,0)))</f>
        <v/>
      </c>
      <c r="T721" s="28" t="str">
        <f aca="false">IF(OR($J721="",$N721&lt;&gt;"Concluída",$O721=""),"",MAX(0,$O721-$J721))</f>
        <v/>
      </c>
      <c r="U721" s="33" t="str">
        <f aca="true">IF($E721="","",IF($N721="Cancelada","Cancelada",IF($N721="Concluída",IF($R721=1,"No prazo","Concluída com atraso"),IF($J721="","Na carteira",IF($J721&lt;TODAY(),"VENCIDA",IF($J721=TODAY(),"Hoje","Programada"))))))</f>
        <v/>
      </c>
    </row>
    <row r="722" customFormat="false" ht="15.75" hidden="false" customHeight="true" outlineLevel="0" collapsed="false">
      <c r="A722" s="28" t="str">
        <f aca="false">IF($E722="","",COUNTA($E$4:$E722))</f>
        <v/>
      </c>
      <c r="B722" s="29"/>
      <c r="C722" s="29"/>
      <c r="D722" s="29"/>
      <c r="E722" s="29"/>
      <c r="F722" s="30"/>
      <c r="G722" s="29"/>
      <c r="H722" s="30"/>
      <c r="I722" s="29"/>
      <c r="J722" s="31"/>
      <c r="K722" s="31"/>
      <c r="L722" s="30"/>
      <c r="M722" s="29"/>
      <c r="N722" s="30"/>
      <c r="O722" s="31"/>
      <c r="P722" s="32" t="str">
        <f aca="false">IF($J722="","",$J722-WEEKDAY($J722,3))</f>
        <v/>
      </c>
      <c r="Q722" s="32" t="str">
        <f aca="false">IF($J722="","",IF($K722="",$J722,$K722))</f>
        <v/>
      </c>
      <c r="R722" s="28" t="str">
        <f aca="false">IF($E722="","",IF(OR($N722&lt;&gt;"Concluída",$O722="",$J722=""),0,IF($O722&lt;=$J722,1,0)))</f>
        <v/>
      </c>
      <c r="S722" s="28" t="str">
        <f aca="false">IF($E722="","",IF(OR($N722&lt;&gt;"Concluída",$O722="",$Q722=""),0,IF($O722&lt;=$Q722,1,0)))</f>
        <v/>
      </c>
      <c r="T722" s="28" t="str">
        <f aca="false">IF(OR($J722="",$N722&lt;&gt;"Concluída",$O722=""),"",MAX(0,$O722-$J722))</f>
        <v/>
      </c>
      <c r="U722" s="33" t="str">
        <f aca="true">IF($E722="","",IF($N722="Cancelada","Cancelada",IF($N722="Concluída",IF($R722=1,"No prazo","Concluída com atraso"),IF($J722="","Na carteira",IF($J722&lt;TODAY(),"VENCIDA",IF($J722=TODAY(),"Hoje","Programada"))))))</f>
        <v/>
      </c>
    </row>
    <row r="723" customFormat="false" ht="15.75" hidden="false" customHeight="true" outlineLevel="0" collapsed="false">
      <c r="A723" s="28" t="str">
        <f aca="false">IF($E723="","",COUNTA($E$4:$E723))</f>
        <v/>
      </c>
      <c r="B723" s="34"/>
      <c r="C723" s="34"/>
      <c r="D723" s="34"/>
      <c r="E723" s="34"/>
      <c r="F723" s="35"/>
      <c r="G723" s="34"/>
      <c r="H723" s="35"/>
      <c r="I723" s="34"/>
      <c r="J723" s="36"/>
      <c r="K723" s="36"/>
      <c r="L723" s="35"/>
      <c r="M723" s="34"/>
      <c r="N723" s="35"/>
      <c r="O723" s="36"/>
      <c r="P723" s="32" t="str">
        <f aca="false">IF($J723="","",$J723-WEEKDAY($J723,3))</f>
        <v/>
      </c>
      <c r="Q723" s="32" t="str">
        <f aca="false">IF($J723="","",IF($K723="",$J723,$K723))</f>
        <v/>
      </c>
      <c r="R723" s="28" t="str">
        <f aca="false">IF($E723="","",IF(OR($N723&lt;&gt;"Concluída",$O723="",$J723=""),0,IF($O723&lt;=$J723,1,0)))</f>
        <v/>
      </c>
      <c r="S723" s="28" t="str">
        <f aca="false">IF($E723="","",IF(OR($N723&lt;&gt;"Concluída",$O723="",$Q723=""),0,IF($O723&lt;=$Q723,1,0)))</f>
        <v/>
      </c>
      <c r="T723" s="28" t="str">
        <f aca="false">IF(OR($J723="",$N723&lt;&gt;"Concluída",$O723=""),"",MAX(0,$O723-$J723))</f>
        <v/>
      </c>
      <c r="U723" s="33" t="str">
        <f aca="true">IF($E723="","",IF($N723="Cancelada","Cancelada",IF($N723="Concluída",IF($R723=1,"No prazo","Concluída com atraso"),IF($J723="","Na carteira",IF($J723&lt;TODAY(),"VENCIDA",IF($J723=TODAY(),"Hoje","Programada"))))))</f>
        <v/>
      </c>
    </row>
    <row r="724" customFormat="false" ht="15.75" hidden="false" customHeight="true" outlineLevel="0" collapsed="false">
      <c r="A724" s="28" t="str">
        <f aca="false">IF($E724="","",COUNTA($E$4:$E724))</f>
        <v/>
      </c>
      <c r="B724" s="29"/>
      <c r="C724" s="29"/>
      <c r="D724" s="29"/>
      <c r="E724" s="29"/>
      <c r="F724" s="30"/>
      <c r="G724" s="29"/>
      <c r="H724" s="30"/>
      <c r="I724" s="29"/>
      <c r="J724" s="31"/>
      <c r="K724" s="31"/>
      <c r="L724" s="30"/>
      <c r="M724" s="29"/>
      <c r="N724" s="30"/>
      <c r="O724" s="31"/>
      <c r="P724" s="32" t="str">
        <f aca="false">IF($J724="","",$J724-WEEKDAY($J724,3))</f>
        <v/>
      </c>
      <c r="Q724" s="32" t="str">
        <f aca="false">IF($J724="","",IF($K724="",$J724,$K724))</f>
        <v/>
      </c>
      <c r="R724" s="28" t="str">
        <f aca="false">IF($E724="","",IF(OR($N724&lt;&gt;"Concluída",$O724="",$J724=""),0,IF($O724&lt;=$J724,1,0)))</f>
        <v/>
      </c>
      <c r="S724" s="28" t="str">
        <f aca="false">IF($E724="","",IF(OR($N724&lt;&gt;"Concluída",$O724="",$Q724=""),0,IF($O724&lt;=$Q724,1,0)))</f>
        <v/>
      </c>
      <c r="T724" s="28" t="str">
        <f aca="false">IF(OR($J724="",$N724&lt;&gt;"Concluída",$O724=""),"",MAX(0,$O724-$J724))</f>
        <v/>
      </c>
      <c r="U724" s="33" t="str">
        <f aca="true">IF($E724="","",IF($N724="Cancelada","Cancelada",IF($N724="Concluída",IF($R724=1,"No prazo","Concluída com atraso"),IF($J724="","Na carteira",IF($J724&lt;TODAY(),"VENCIDA",IF($J724=TODAY(),"Hoje","Programada"))))))</f>
        <v/>
      </c>
    </row>
    <row r="725" customFormat="false" ht="15.75" hidden="false" customHeight="true" outlineLevel="0" collapsed="false">
      <c r="A725" s="28" t="str">
        <f aca="false">IF($E725="","",COUNTA($E$4:$E725))</f>
        <v/>
      </c>
      <c r="B725" s="34"/>
      <c r="C725" s="34"/>
      <c r="D725" s="34"/>
      <c r="E725" s="34"/>
      <c r="F725" s="35"/>
      <c r="G725" s="34"/>
      <c r="H725" s="35"/>
      <c r="I725" s="34"/>
      <c r="J725" s="36"/>
      <c r="K725" s="36"/>
      <c r="L725" s="35"/>
      <c r="M725" s="34"/>
      <c r="N725" s="35"/>
      <c r="O725" s="36"/>
      <c r="P725" s="32" t="str">
        <f aca="false">IF($J725="","",$J725-WEEKDAY($J725,3))</f>
        <v/>
      </c>
      <c r="Q725" s="32" t="str">
        <f aca="false">IF($J725="","",IF($K725="",$J725,$K725))</f>
        <v/>
      </c>
      <c r="R725" s="28" t="str">
        <f aca="false">IF($E725="","",IF(OR($N725&lt;&gt;"Concluída",$O725="",$J725=""),0,IF($O725&lt;=$J725,1,0)))</f>
        <v/>
      </c>
      <c r="S725" s="28" t="str">
        <f aca="false">IF($E725="","",IF(OR($N725&lt;&gt;"Concluída",$O725="",$Q725=""),0,IF($O725&lt;=$Q725,1,0)))</f>
        <v/>
      </c>
      <c r="T725" s="28" t="str">
        <f aca="false">IF(OR($J725="",$N725&lt;&gt;"Concluída",$O725=""),"",MAX(0,$O725-$J725))</f>
        <v/>
      </c>
      <c r="U725" s="33" t="str">
        <f aca="true">IF($E725="","",IF($N725="Cancelada","Cancelada",IF($N725="Concluída",IF($R725=1,"No prazo","Concluída com atraso"),IF($J725="","Na carteira",IF($J725&lt;TODAY(),"VENCIDA",IF($J725=TODAY(),"Hoje","Programada"))))))</f>
        <v/>
      </c>
    </row>
    <row r="726" customFormat="false" ht="15.75" hidden="false" customHeight="true" outlineLevel="0" collapsed="false">
      <c r="A726" s="28" t="str">
        <f aca="false">IF($E726="","",COUNTA($E$4:$E726))</f>
        <v/>
      </c>
      <c r="B726" s="29"/>
      <c r="C726" s="29"/>
      <c r="D726" s="29"/>
      <c r="E726" s="29"/>
      <c r="F726" s="30"/>
      <c r="G726" s="29"/>
      <c r="H726" s="30"/>
      <c r="I726" s="29"/>
      <c r="J726" s="31"/>
      <c r="K726" s="31"/>
      <c r="L726" s="30"/>
      <c r="M726" s="29"/>
      <c r="N726" s="30"/>
      <c r="O726" s="31"/>
      <c r="P726" s="32" t="str">
        <f aca="false">IF($J726="","",$J726-WEEKDAY($J726,3))</f>
        <v/>
      </c>
      <c r="Q726" s="32" t="str">
        <f aca="false">IF($J726="","",IF($K726="",$J726,$K726))</f>
        <v/>
      </c>
      <c r="R726" s="28" t="str">
        <f aca="false">IF($E726="","",IF(OR($N726&lt;&gt;"Concluída",$O726="",$J726=""),0,IF($O726&lt;=$J726,1,0)))</f>
        <v/>
      </c>
      <c r="S726" s="28" t="str">
        <f aca="false">IF($E726="","",IF(OR($N726&lt;&gt;"Concluída",$O726="",$Q726=""),0,IF($O726&lt;=$Q726,1,0)))</f>
        <v/>
      </c>
      <c r="T726" s="28" t="str">
        <f aca="false">IF(OR($J726="",$N726&lt;&gt;"Concluída",$O726=""),"",MAX(0,$O726-$J726))</f>
        <v/>
      </c>
      <c r="U726" s="33" t="str">
        <f aca="true">IF($E726="","",IF($N726="Cancelada","Cancelada",IF($N726="Concluída",IF($R726=1,"No prazo","Concluída com atraso"),IF($J726="","Na carteira",IF($J726&lt;TODAY(),"VENCIDA",IF($J726=TODAY(),"Hoje","Programada"))))))</f>
        <v/>
      </c>
    </row>
    <row r="727" customFormat="false" ht="15.75" hidden="false" customHeight="true" outlineLevel="0" collapsed="false">
      <c r="A727" s="28" t="str">
        <f aca="false">IF($E727="","",COUNTA($E$4:$E727))</f>
        <v/>
      </c>
      <c r="B727" s="34"/>
      <c r="C727" s="34"/>
      <c r="D727" s="34"/>
      <c r="E727" s="34"/>
      <c r="F727" s="35"/>
      <c r="G727" s="34"/>
      <c r="H727" s="35"/>
      <c r="I727" s="34"/>
      <c r="J727" s="36"/>
      <c r="K727" s="36"/>
      <c r="L727" s="35"/>
      <c r="M727" s="34"/>
      <c r="N727" s="35"/>
      <c r="O727" s="36"/>
      <c r="P727" s="32" t="str">
        <f aca="false">IF($J727="","",$J727-WEEKDAY($J727,3))</f>
        <v/>
      </c>
      <c r="Q727" s="32" t="str">
        <f aca="false">IF($J727="","",IF($K727="",$J727,$K727))</f>
        <v/>
      </c>
      <c r="R727" s="28" t="str">
        <f aca="false">IF($E727="","",IF(OR($N727&lt;&gt;"Concluída",$O727="",$J727=""),0,IF($O727&lt;=$J727,1,0)))</f>
        <v/>
      </c>
      <c r="S727" s="28" t="str">
        <f aca="false">IF($E727="","",IF(OR($N727&lt;&gt;"Concluída",$O727="",$Q727=""),0,IF($O727&lt;=$Q727,1,0)))</f>
        <v/>
      </c>
      <c r="T727" s="28" t="str">
        <f aca="false">IF(OR($J727="",$N727&lt;&gt;"Concluída",$O727=""),"",MAX(0,$O727-$J727))</f>
        <v/>
      </c>
      <c r="U727" s="33" t="str">
        <f aca="true">IF($E727="","",IF($N727="Cancelada","Cancelada",IF($N727="Concluída",IF($R727=1,"No prazo","Concluída com atraso"),IF($J727="","Na carteira",IF($J727&lt;TODAY(),"VENCIDA",IF($J727=TODAY(),"Hoje","Programada"))))))</f>
        <v/>
      </c>
    </row>
    <row r="728" customFormat="false" ht="15.75" hidden="false" customHeight="true" outlineLevel="0" collapsed="false">
      <c r="A728" s="28" t="str">
        <f aca="false">IF($E728="","",COUNTA($E$4:$E728))</f>
        <v/>
      </c>
      <c r="B728" s="29"/>
      <c r="C728" s="29"/>
      <c r="D728" s="29"/>
      <c r="E728" s="29"/>
      <c r="F728" s="30"/>
      <c r="G728" s="29"/>
      <c r="H728" s="30"/>
      <c r="I728" s="29"/>
      <c r="J728" s="31"/>
      <c r="K728" s="31"/>
      <c r="L728" s="30"/>
      <c r="M728" s="29"/>
      <c r="N728" s="30"/>
      <c r="O728" s="31"/>
      <c r="P728" s="32" t="str">
        <f aca="false">IF($J728="","",$J728-WEEKDAY($J728,3))</f>
        <v/>
      </c>
      <c r="Q728" s="32" t="str">
        <f aca="false">IF($J728="","",IF($K728="",$J728,$K728))</f>
        <v/>
      </c>
      <c r="R728" s="28" t="str">
        <f aca="false">IF($E728="","",IF(OR($N728&lt;&gt;"Concluída",$O728="",$J728=""),0,IF($O728&lt;=$J728,1,0)))</f>
        <v/>
      </c>
      <c r="S728" s="28" t="str">
        <f aca="false">IF($E728="","",IF(OR($N728&lt;&gt;"Concluída",$O728="",$Q728=""),0,IF($O728&lt;=$Q728,1,0)))</f>
        <v/>
      </c>
      <c r="T728" s="28" t="str">
        <f aca="false">IF(OR($J728="",$N728&lt;&gt;"Concluída",$O728=""),"",MAX(0,$O728-$J728))</f>
        <v/>
      </c>
      <c r="U728" s="33" t="str">
        <f aca="true">IF($E728="","",IF($N728="Cancelada","Cancelada",IF($N728="Concluída",IF($R728=1,"No prazo","Concluída com atraso"),IF($J728="","Na carteira",IF($J728&lt;TODAY(),"VENCIDA",IF($J728=TODAY(),"Hoje","Programada"))))))</f>
        <v/>
      </c>
    </row>
    <row r="729" customFormat="false" ht="15.75" hidden="false" customHeight="true" outlineLevel="0" collapsed="false">
      <c r="A729" s="28" t="str">
        <f aca="false">IF($E729="","",COUNTA($E$4:$E729))</f>
        <v/>
      </c>
      <c r="B729" s="34"/>
      <c r="C729" s="34"/>
      <c r="D729" s="34"/>
      <c r="E729" s="34"/>
      <c r="F729" s="35"/>
      <c r="G729" s="34"/>
      <c r="H729" s="35"/>
      <c r="I729" s="34"/>
      <c r="J729" s="36"/>
      <c r="K729" s="36"/>
      <c r="L729" s="35"/>
      <c r="M729" s="34"/>
      <c r="N729" s="35"/>
      <c r="O729" s="36"/>
      <c r="P729" s="32" t="str">
        <f aca="false">IF($J729="","",$J729-WEEKDAY($J729,3))</f>
        <v/>
      </c>
      <c r="Q729" s="32" t="str">
        <f aca="false">IF($J729="","",IF($K729="",$J729,$K729))</f>
        <v/>
      </c>
      <c r="R729" s="28" t="str">
        <f aca="false">IF($E729="","",IF(OR($N729&lt;&gt;"Concluída",$O729="",$J729=""),0,IF($O729&lt;=$J729,1,0)))</f>
        <v/>
      </c>
      <c r="S729" s="28" t="str">
        <f aca="false">IF($E729="","",IF(OR($N729&lt;&gt;"Concluída",$O729="",$Q729=""),0,IF($O729&lt;=$Q729,1,0)))</f>
        <v/>
      </c>
      <c r="T729" s="28" t="str">
        <f aca="false">IF(OR($J729="",$N729&lt;&gt;"Concluída",$O729=""),"",MAX(0,$O729-$J729))</f>
        <v/>
      </c>
      <c r="U729" s="33" t="str">
        <f aca="true">IF($E729="","",IF($N729="Cancelada","Cancelada",IF($N729="Concluída",IF($R729=1,"No prazo","Concluída com atraso"),IF($J729="","Na carteira",IF($J729&lt;TODAY(),"VENCIDA",IF($J729=TODAY(),"Hoje","Programada"))))))</f>
        <v/>
      </c>
    </row>
    <row r="730" customFormat="false" ht="15.75" hidden="false" customHeight="true" outlineLevel="0" collapsed="false">
      <c r="A730" s="28" t="str">
        <f aca="false">IF($E730="","",COUNTA($E$4:$E730))</f>
        <v/>
      </c>
      <c r="B730" s="29"/>
      <c r="C730" s="29"/>
      <c r="D730" s="29"/>
      <c r="E730" s="29"/>
      <c r="F730" s="30"/>
      <c r="G730" s="29"/>
      <c r="H730" s="30"/>
      <c r="I730" s="29"/>
      <c r="J730" s="31"/>
      <c r="K730" s="31"/>
      <c r="L730" s="30"/>
      <c r="M730" s="29"/>
      <c r="N730" s="30"/>
      <c r="O730" s="31"/>
      <c r="P730" s="32" t="str">
        <f aca="false">IF($J730="","",$J730-WEEKDAY($J730,3))</f>
        <v/>
      </c>
      <c r="Q730" s="32" t="str">
        <f aca="false">IF($J730="","",IF($K730="",$J730,$K730))</f>
        <v/>
      </c>
      <c r="R730" s="28" t="str">
        <f aca="false">IF($E730="","",IF(OR($N730&lt;&gt;"Concluída",$O730="",$J730=""),0,IF($O730&lt;=$J730,1,0)))</f>
        <v/>
      </c>
      <c r="S730" s="28" t="str">
        <f aca="false">IF($E730="","",IF(OR($N730&lt;&gt;"Concluída",$O730="",$Q730=""),0,IF($O730&lt;=$Q730,1,0)))</f>
        <v/>
      </c>
      <c r="T730" s="28" t="str">
        <f aca="false">IF(OR($J730="",$N730&lt;&gt;"Concluída",$O730=""),"",MAX(0,$O730-$J730))</f>
        <v/>
      </c>
      <c r="U730" s="33" t="str">
        <f aca="true">IF($E730="","",IF($N730="Cancelada","Cancelada",IF($N730="Concluída",IF($R730=1,"No prazo","Concluída com atraso"),IF($J730="","Na carteira",IF($J730&lt;TODAY(),"VENCIDA",IF($J730=TODAY(),"Hoje","Programada"))))))</f>
        <v/>
      </c>
    </row>
    <row r="731" customFormat="false" ht="15.75" hidden="false" customHeight="true" outlineLevel="0" collapsed="false">
      <c r="A731" s="28" t="str">
        <f aca="false">IF($E731="","",COUNTA($E$4:$E731))</f>
        <v/>
      </c>
      <c r="B731" s="34"/>
      <c r="C731" s="34"/>
      <c r="D731" s="34"/>
      <c r="E731" s="34"/>
      <c r="F731" s="35"/>
      <c r="G731" s="34"/>
      <c r="H731" s="35"/>
      <c r="I731" s="34"/>
      <c r="J731" s="36"/>
      <c r="K731" s="36"/>
      <c r="L731" s="35"/>
      <c r="M731" s="34"/>
      <c r="N731" s="35"/>
      <c r="O731" s="36"/>
      <c r="P731" s="32" t="str">
        <f aca="false">IF($J731="","",$J731-WEEKDAY($J731,3))</f>
        <v/>
      </c>
      <c r="Q731" s="32" t="str">
        <f aca="false">IF($J731="","",IF($K731="",$J731,$K731))</f>
        <v/>
      </c>
      <c r="R731" s="28" t="str">
        <f aca="false">IF($E731="","",IF(OR($N731&lt;&gt;"Concluída",$O731="",$J731=""),0,IF($O731&lt;=$J731,1,0)))</f>
        <v/>
      </c>
      <c r="S731" s="28" t="str">
        <f aca="false">IF($E731="","",IF(OR($N731&lt;&gt;"Concluída",$O731="",$Q731=""),0,IF($O731&lt;=$Q731,1,0)))</f>
        <v/>
      </c>
      <c r="T731" s="28" t="str">
        <f aca="false">IF(OR($J731="",$N731&lt;&gt;"Concluída",$O731=""),"",MAX(0,$O731-$J731))</f>
        <v/>
      </c>
      <c r="U731" s="33" t="str">
        <f aca="true">IF($E731="","",IF($N731="Cancelada","Cancelada",IF($N731="Concluída",IF($R731=1,"No prazo","Concluída com atraso"),IF($J731="","Na carteira",IF($J731&lt;TODAY(),"VENCIDA",IF($J731=TODAY(),"Hoje","Programada"))))))</f>
        <v/>
      </c>
    </row>
    <row r="732" customFormat="false" ht="15.75" hidden="false" customHeight="true" outlineLevel="0" collapsed="false">
      <c r="A732" s="28" t="str">
        <f aca="false">IF($E732="","",COUNTA($E$4:$E732))</f>
        <v/>
      </c>
      <c r="B732" s="29"/>
      <c r="C732" s="29"/>
      <c r="D732" s="29"/>
      <c r="E732" s="29"/>
      <c r="F732" s="30"/>
      <c r="G732" s="29"/>
      <c r="H732" s="30"/>
      <c r="I732" s="29"/>
      <c r="J732" s="31"/>
      <c r="K732" s="31"/>
      <c r="L732" s="30"/>
      <c r="M732" s="29"/>
      <c r="N732" s="30"/>
      <c r="O732" s="31"/>
      <c r="P732" s="32" t="str">
        <f aca="false">IF($J732="","",$J732-WEEKDAY($J732,3))</f>
        <v/>
      </c>
      <c r="Q732" s="32" t="str">
        <f aca="false">IF($J732="","",IF($K732="",$J732,$K732))</f>
        <v/>
      </c>
      <c r="R732" s="28" t="str">
        <f aca="false">IF($E732="","",IF(OR($N732&lt;&gt;"Concluída",$O732="",$J732=""),0,IF($O732&lt;=$J732,1,0)))</f>
        <v/>
      </c>
      <c r="S732" s="28" t="str">
        <f aca="false">IF($E732="","",IF(OR($N732&lt;&gt;"Concluída",$O732="",$Q732=""),0,IF($O732&lt;=$Q732,1,0)))</f>
        <v/>
      </c>
      <c r="T732" s="28" t="str">
        <f aca="false">IF(OR($J732="",$N732&lt;&gt;"Concluída",$O732=""),"",MAX(0,$O732-$J732))</f>
        <v/>
      </c>
      <c r="U732" s="33" t="str">
        <f aca="true">IF($E732="","",IF($N732="Cancelada","Cancelada",IF($N732="Concluída",IF($R732=1,"No prazo","Concluída com atraso"),IF($J732="","Na carteira",IF($J732&lt;TODAY(),"VENCIDA",IF($J732=TODAY(),"Hoje","Programada"))))))</f>
        <v/>
      </c>
    </row>
    <row r="733" customFormat="false" ht="15.75" hidden="false" customHeight="true" outlineLevel="0" collapsed="false">
      <c r="A733" s="28" t="str">
        <f aca="false">IF($E733="","",COUNTA($E$4:$E733))</f>
        <v/>
      </c>
      <c r="B733" s="34"/>
      <c r="C733" s="34"/>
      <c r="D733" s="34"/>
      <c r="E733" s="34"/>
      <c r="F733" s="35"/>
      <c r="G733" s="34"/>
      <c r="H733" s="35"/>
      <c r="I733" s="34"/>
      <c r="J733" s="36"/>
      <c r="K733" s="36"/>
      <c r="L733" s="35"/>
      <c r="M733" s="34"/>
      <c r="N733" s="35"/>
      <c r="O733" s="36"/>
      <c r="P733" s="32" t="str">
        <f aca="false">IF($J733="","",$J733-WEEKDAY($J733,3))</f>
        <v/>
      </c>
      <c r="Q733" s="32" t="str">
        <f aca="false">IF($J733="","",IF($K733="",$J733,$K733))</f>
        <v/>
      </c>
      <c r="R733" s="28" t="str">
        <f aca="false">IF($E733="","",IF(OR($N733&lt;&gt;"Concluída",$O733="",$J733=""),0,IF($O733&lt;=$J733,1,0)))</f>
        <v/>
      </c>
      <c r="S733" s="28" t="str">
        <f aca="false">IF($E733="","",IF(OR($N733&lt;&gt;"Concluída",$O733="",$Q733=""),0,IF($O733&lt;=$Q733,1,0)))</f>
        <v/>
      </c>
      <c r="T733" s="28" t="str">
        <f aca="false">IF(OR($J733="",$N733&lt;&gt;"Concluída",$O733=""),"",MAX(0,$O733-$J733))</f>
        <v/>
      </c>
      <c r="U733" s="33" t="str">
        <f aca="true">IF($E733="","",IF($N733="Cancelada","Cancelada",IF($N733="Concluída",IF($R733=1,"No prazo","Concluída com atraso"),IF($J733="","Na carteira",IF($J733&lt;TODAY(),"VENCIDA",IF($J733=TODAY(),"Hoje","Programada"))))))</f>
        <v/>
      </c>
    </row>
    <row r="734" customFormat="false" ht="15.75" hidden="false" customHeight="true" outlineLevel="0" collapsed="false">
      <c r="A734" s="28" t="str">
        <f aca="false">IF($E734="","",COUNTA($E$4:$E734))</f>
        <v/>
      </c>
      <c r="B734" s="29"/>
      <c r="C734" s="29"/>
      <c r="D734" s="29"/>
      <c r="E734" s="29"/>
      <c r="F734" s="30"/>
      <c r="G734" s="29"/>
      <c r="H734" s="30"/>
      <c r="I734" s="29"/>
      <c r="J734" s="31"/>
      <c r="K734" s="31"/>
      <c r="L734" s="30"/>
      <c r="M734" s="29"/>
      <c r="N734" s="30"/>
      <c r="O734" s="31"/>
      <c r="P734" s="32" t="str">
        <f aca="false">IF($J734="","",$J734-WEEKDAY($J734,3))</f>
        <v/>
      </c>
      <c r="Q734" s="32" t="str">
        <f aca="false">IF($J734="","",IF($K734="",$J734,$K734))</f>
        <v/>
      </c>
      <c r="R734" s="28" t="str">
        <f aca="false">IF($E734="","",IF(OR($N734&lt;&gt;"Concluída",$O734="",$J734=""),0,IF($O734&lt;=$J734,1,0)))</f>
        <v/>
      </c>
      <c r="S734" s="28" t="str">
        <f aca="false">IF($E734="","",IF(OR($N734&lt;&gt;"Concluída",$O734="",$Q734=""),0,IF($O734&lt;=$Q734,1,0)))</f>
        <v/>
      </c>
      <c r="T734" s="28" t="str">
        <f aca="false">IF(OR($J734="",$N734&lt;&gt;"Concluída",$O734=""),"",MAX(0,$O734-$J734))</f>
        <v/>
      </c>
      <c r="U734" s="33" t="str">
        <f aca="true">IF($E734="","",IF($N734="Cancelada","Cancelada",IF($N734="Concluída",IF($R734=1,"No prazo","Concluída com atraso"),IF($J734="","Na carteira",IF($J734&lt;TODAY(),"VENCIDA",IF($J734=TODAY(),"Hoje","Programada"))))))</f>
        <v/>
      </c>
    </row>
    <row r="735" customFormat="false" ht="15.75" hidden="false" customHeight="true" outlineLevel="0" collapsed="false">
      <c r="A735" s="28" t="str">
        <f aca="false">IF($E735="","",COUNTA($E$4:$E735))</f>
        <v/>
      </c>
      <c r="B735" s="34"/>
      <c r="C735" s="34"/>
      <c r="D735" s="34"/>
      <c r="E735" s="34"/>
      <c r="F735" s="35"/>
      <c r="G735" s="34"/>
      <c r="H735" s="35"/>
      <c r="I735" s="34"/>
      <c r="J735" s="36"/>
      <c r="K735" s="36"/>
      <c r="L735" s="35"/>
      <c r="M735" s="34"/>
      <c r="N735" s="35"/>
      <c r="O735" s="36"/>
      <c r="P735" s="32" t="str">
        <f aca="false">IF($J735="","",$J735-WEEKDAY($J735,3))</f>
        <v/>
      </c>
      <c r="Q735" s="32" t="str">
        <f aca="false">IF($J735="","",IF($K735="",$J735,$K735))</f>
        <v/>
      </c>
      <c r="R735" s="28" t="str">
        <f aca="false">IF($E735="","",IF(OR($N735&lt;&gt;"Concluída",$O735="",$J735=""),0,IF($O735&lt;=$J735,1,0)))</f>
        <v/>
      </c>
      <c r="S735" s="28" t="str">
        <f aca="false">IF($E735="","",IF(OR($N735&lt;&gt;"Concluída",$O735="",$Q735=""),0,IF($O735&lt;=$Q735,1,0)))</f>
        <v/>
      </c>
      <c r="T735" s="28" t="str">
        <f aca="false">IF(OR($J735="",$N735&lt;&gt;"Concluída",$O735=""),"",MAX(0,$O735-$J735))</f>
        <v/>
      </c>
      <c r="U735" s="33" t="str">
        <f aca="true">IF($E735="","",IF($N735="Cancelada","Cancelada",IF($N735="Concluída",IF($R735=1,"No prazo","Concluída com atraso"),IF($J735="","Na carteira",IF($J735&lt;TODAY(),"VENCIDA",IF($J735=TODAY(),"Hoje","Programada"))))))</f>
        <v/>
      </c>
    </row>
    <row r="736" customFormat="false" ht="15.75" hidden="false" customHeight="true" outlineLevel="0" collapsed="false">
      <c r="A736" s="28" t="str">
        <f aca="false">IF($E736="","",COUNTA($E$4:$E736))</f>
        <v/>
      </c>
      <c r="B736" s="29"/>
      <c r="C736" s="29"/>
      <c r="D736" s="29"/>
      <c r="E736" s="29"/>
      <c r="F736" s="30"/>
      <c r="G736" s="29"/>
      <c r="H736" s="30"/>
      <c r="I736" s="29"/>
      <c r="J736" s="31"/>
      <c r="K736" s="31"/>
      <c r="L736" s="30"/>
      <c r="M736" s="29"/>
      <c r="N736" s="30"/>
      <c r="O736" s="31"/>
      <c r="P736" s="32" t="str">
        <f aca="false">IF($J736="","",$J736-WEEKDAY($J736,3))</f>
        <v/>
      </c>
      <c r="Q736" s="32" t="str">
        <f aca="false">IF($J736="","",IF($K736="",$J736,$K736))</f>
        <v/>
      </c>
      <c r="R736" s="28" t="str">
        <f aca="false">IF($E736="","",IF(OR($N736&lt;&gt;"Concluída",$O736="",$J736=""),0,IF($O736&lt;=$J736,1,0)))</f>
        <v/>
      </c>
      <c r="S736" s="28" t="str">
        <f aca="false">IF($E736="","",IF(OR($N736&lt;&gt;"Concluída",$O736="",$Q736=""),0,IF($O736&lt;=$Q736,1,0)))</f>
        <v/>
      </c>
      <c r="T736" s="28" t="str">
        <f aca="false">IF(OR($J736="",$N736&lt;&gt;"Concluída",$O736=""),"",MAX(0,$O736-$J736))</f>
        <v/>
      </c>
      <c r="U736" s="33" t="str">
        <f aca="true">IF($E736="","",IF($N736="Cancelada","Cancelada",IF($N736="Concluída",IF($R736=1,"No prazo","Concluída com atraso"),IF($J736="","Na carteira",IF($J736&lt;TODAY(),"VENCIDA",IF($J736=TODAY(),"Hoje","Programada"))))))</f>
        <v/>
      </c>
    </row>
    <row r="737" customFormat="false" ht="15.75" hidden="false" customHeight="true" outlineLevel="0" collapsed="false">
      <c r="A737" s="28" t="str">
        <f aca="false">IF($E737="","",COUNTA($E$4:$E737))</f>
        <v/>
      </c>
      <c r="B737" s="34"/>
      <c r="C737" s="34"/>
      <c r="D737" s="34"/>
      <c r="E737" s="34"/>
      <c r="F737" s="35"/>
      <c r="G737" s="34"/>
      <c r="H737" s="35"/>
      <c r="I737" s="34"/>
      <c r="J737" s="36"/>
      <c r="K737" s="36"/>
      <c r="L737" s="35"/>
      <c r="M737" s="34"/>
      <c r="N737" s="35"/>
      <c r="O737" s="36"/>
      <c r="P737" s="32" t="str">
        <f aca="false">IF($J737="","",$J737-WEEKDAY($J737,3))</f>
        <v/>
      </c>
      <c r="Q737" s="32" t="str">
        <f aca="false">IF($J737="","",IF($K737="",$J737,$K737))</f>
        <v/>
      </c>
      <c r="R737" s="28" t="str">
        <f aca="false">IF($E737="","",IF(OR($N737&lt;&gt;"Concluída",$O737="",$J737=""),0,IF($O737&lt;=$J737,1,0)))</f>
        <v/>
      </c>
      <c r="S737" s="28" t="str">
        <f aca="false">IF($E737="","",IF(OR($N737&lt;&gt;"Concluída",$O737="",$Q737=""),0,IF($O737&lt;=$Q737,1,0)))</f>
        <v/>
      </c>
      <c r="T737" s="28" t="str">
        <f aca="false">IF(OR($J737="",$N737&lt;&gt;"Concluída",$O737=""),"",MAX(0,$O737-$J737))</f>
        <v/>
      </c>
      <c r="U737" s="33" t="str">
        <f aca="true">IF($E737="","",IF($N737="Cancelada","Cancelada",IF($N737="Concluída",IF($R737=1,"No prazo","Concluída com atraso"),IF($J737="","Na carteira",IF($J737&lt;TODAY(),"VENCIDA",IF($J737=TODAY(),"Hoje","Programada"))))))</f>
        <v/>
      </c>
    </row>
    <row r="738" customFormat="false" ht="15.75" hidden="false" customHeight="true" outlineLevel="0" collapsed="false">
      <c r="A738" s="28" t="str">
        <f aca="false">IF($E738="","",COUNTA($E$4:$E738))</f>
        <v/>
      </c>
      <c r="B738" s="29"/>
      <c r="C738" s="29"/>
      <c r="D738" s="29"/>
      <c r="E738" s="29"/>
      <c r="F738" s="30"/>
      <c r="G738" s="29"/>
      <c r="H738" s="30"/>
      <c r="I738" s="29"/>
      <c r="J738" s="31"/>
      <c r="K738" s="31"/>
      <c r="L738" s="30"/>
      <c r="M738" s="29"/>
      <c r="N738" s="30"/>
      <c r="O738" s="31"/>
      <c r="P738" s="32" t="str">
        <f aca="false">IF($J738="","",$J738-WEEKDAY($J738,3))</f>
        <v/>
      </c>
      <c r="Q738" s="32" t="str">
        <f aca="false">IF($J738="","",IF($K738="",$J738,$K738))</f>
        <v/>
      </c>
      <c r="R738" s="28" t="str">
        <f aca="false">IF($E738="","",IF(OR($N738&lt;&gt;"Concluída",$O738="",$J738=""),0,IF($O738&lt;=$J738,1,0)))</f>
        <v/>
      </c>
      <c r="S738" s="28" t="str">
        <f aca="false">IF($E738="","",IF(OR($N738&lt;&gt;"Concluída",$O738="",$Q738=""),0,IF($O738&lt;=$Q738,1,0)))</f>
        <v/>
      </c>
      <c r="T738" s="28" t="str">
        <f aca="false">IF(OR($J738="",$N738&lt;&gt;"Concluída",$O738=""),"",MAX(0,$O738-$J738))</f>
        <v/>
      </c>
      <c r="U738" s="33" t="str">
        <f aca="true">IF($E738="","",IF($N738="Cancelada","Cancelada",IF($N738="Concluída",IF($R738=1,"No prazo","Concluída com atraso"),IF($J738="","Na carteira",IF($J738&lt;TODAY(),"VENCIDA",IF($J738=TODAY(),"Hoje","Programada"))))))</f>
        <v/>
      </c>
    </row>
    <row r="739" customFormat="false" ht="15.75" hidden="false" customHeight="true" outlineLevel="0" collapsed="false">
      <c r="A739" s="28" t="str">
        <f aca="false">IF($E739="","",COUNTA($E$4:$E739))</f>
        <v/>
      </c>
      <c r="B739" s="34"/>
      <c r="C739" s="34"/>
      <c r="D739" s="34"/>
      <c r="E739" s="34"/>
      <c r="F739" s="35"/>
      <c r="G739" s="34"/>
      <c r="H739" s="35"/>
      <c r="I739" s="34"/>
      <c r="J739" s="36"/>
      <c r="K739" s="36"/>
      <c r="L739" s="35"/>
      <c r="M739" s="34"/>
      <c r="N739" s="35"/>
      <c r="O739" s="36"/>
      <c r="P739" s="32" t="str">
        <f aca="false">IF($J739="","",$J739-WEEKDAY($J739,3))</f>
        <v/>
      </c>
      <c r="Q739" s="32" t="str">
        <f aca="false">IF($J739="","",IF($K739="",$J739,$K739))</f>
        <v/>
      </c>
      <c r="R739" s="28" t="str">
        <f aca="false">IF($E739="","",IF(OR($N739&lt;&gt;"Concluída",$O739="",$J739=""),0,IF($O739&lt;=$J739,1,0)))</f>
        <v/>
      </c>
      <c r="S739" s="28" t="str">
        <f aca="false">IF($E739="","",IF(OR($N739&lt;&gt;"Concluída",$O739="",$Q739=""),0,IF($O739&lt;=$Q739,1,0)))</f>
        <v/>
      </c>
      <c r="T739" s="28" t="str">
        <f aca="false">IF(OR($J739="",$N739&lt;&gt;"Concluída",$O739=""),"",MAX(0,$O739-$J739))</f>
        <v/>
      </c>
      <c r="U739" s="33" t="str">
        <f aca="true">IF($E739="","",IF($N739="Cancelada","Cancelada",IF($N739="Concluída",IF($R739=1,"No prazo","Concluída com atraso"),IF($J739="","Na carteira",IF($J739&lt;TODAY(),"VENCIDA",IF($J739=TODAY(),"Hoje","Programada"))))))</f>
        <v/>
      </c>
    </row>
    <row r="740" customFormat="false" ht="15.75" hidden="false" customHeight="true" outlineLevel="0" collapsed="false">
      <c r="A740" s="28" t="str">
        <f aca="false">IF($E740="","",COUNTA($E$4:$E740))</f>
        <v/>
      </c>
      <c r="B740" s="29"/>
      <c r="C740" s="29"/>
      <c r="D740" s="29"/>
      <c r="E740" s="29"/>
      <c r="F740" s="30"/>
      <c r="G740" s="29"/>
      <c r="H740" s="30"/>
      <c r="I740" s="29"/>
      <c r="J740" s="31"/>
      <c r="K740" s="31"/>
      <c r="L740" s="30"/>
      <c r="M740" s="29"/>
      <c r="N740" s="30"/>
      <c r="O740" s="31"/>
      <c r="P740" s="32" t="str">
        <f aca="false">IF($J740="","",$J740-WEEKDAY($J740,3))</f>
        <v/>
      </c>
      <c r="Q740" s="32" t="str">
        <f aca="false">IF($J740="","",IF($K740="",$J740,$K740))</f>
        <v/>
      </c>
      <c r="R740" s="28" t="str">
        <f aca="false">IF($E740="","",IF(OR($N740&lt;&gt;"Concluída",$O740="",$J740=""),0,IF($O740&lt;=$J740,1,0)))</f>
        <v/>
      </c>
      <c r="S740" s="28" t="str">
        <f aca="false">IF($E740="","",IF(OR($N740&lt;&gt;"Concluída",$O740="",$Q740=""),0,IF($O740&lt;=$Q740,1,0)))</f>
        <v/>
      </c>
      <c r="T740" s="28" t="str">
        <f aca="false">IF(OR($J740="",$N740&lt;&gt;"Concluída",$O740=""),"",MAX(0,$O740-$J740))</f>
        <v/>
      </c>
      <c r="U740" s="33" t="str">
        <f aca="true">IF($E740="","",IF($N740="Cancelada","Cancelada",IF($N740="Concluída",IF($R740=1,"No prazo","Concluída com atraso"),IF($J740="","Na carteira",IF($J740&lt;TODAY(),"VENCIDA",IF($J740=TODAY(),"Hoje","Programada"))))))</f>
        <v/>
      </c>
    </row>
    <row r="741" customFormat="false" ht="15.75" hidden="false" customHeight="true" outlineLevel="0" collapsed="false">
      <c r="A741" s="28" t="str">
        <f aca="false">IF($E741="","",COUNTA($E$4:$E741))</f>
        <v/>
      </c>
      <c r="B741" s="34"/>
      <c r="C741" s="34"/>
      <c r="D741" s="34"/>
      <c r="E741" s="34"/>
      <c r="F741" s="35"/>
      <c r="G741" s="34"/>
      <c r="H741" s="35"/>
      <c r="I741" s="34"/>
      <c r="J741" s="36"/>
      <c r="K741" s="36"/>
      <c r="L741" s="35"/>
      <c r="M741" s="34"/>
      <c r="N741" s="35"/>
      <c r="O741" s="36"/>
      <c r="P741" s="32" t="str">
        <f aca="false">IF($J741="","",$J741-WEEKDAY($J741,3))</f>
        <v/>
      </c>
      <c r="Q741" s="32" t="str">
        <f aca="false">IF($J741="","",IF($K741="",$J741,$K741))</f>
        <v/>
      </c>
      <c r="R741" s="28" t="str">
        <f aca="false">IF($E741="","",IF(OR($N741&lt;&gt;"Concluída",$O741="",$J741=""),0,IF($O741&lt;=$J741,1,0)))</f>
        <v/>
      </c>
      <c r="S741" s="28" t="str">
        <f aca="false">IF($E741="","",IF(OR($N741&lt;&gt;"Concluída",$O741="",$Q741=""),0,IF($O741&lt;=$Q741,1,0)))</f>
        <v/>
      </c>
      <c r="T741" s="28" t="str">
        <f aca="false">IF(OR($J741="",$N741&lt;&gt;"Concluída",$O741=""),"",MAX(0,$O741-$J741))</f>
        <v/>
      </c>
      <c r="U741" s="33" t="str">
        <f aca="true">IF($E741="","",IF($N741="Cancelada","Cancelada",IF($N741="Concluída",IF($R741=1,"No prazo","Concluída com atraso"),IF($J741="","Na carteira",IF($J741&lt;TODAY(),"VENCIDA",IF($J741=TODAY(),"Hoje","Programada"))))))</f>
        <v/>
      </c>
    </row>
    <row r="742" customFormat="false" ht="15.75" hidden="false" customHeight="true" outlineLevel="0" collapsed="false">
      <c r="A742" s="28" t="str">
        <f aca="false">IF($E742="","",COUNTA($E$4:$E742))</f>
        <v/>
      </c>
      <c r="B742" s="29"/>
      <c r="C742" s="29"/>
      <c r="D742" s="29"/>
      <c r="E742" s="29"/>
      <c r="F742" s="30"/>
      <c r="G742" s="29"/>
      <c r="H742" s="30"/>
      <c r="I742" s="29"/>
      <c r="J742" s="31"/>
      <c r="K742" s="31"/>
      <c r="L742" s="30"/>
      <c r="M742" s="29"/>
      <c r="N742" s="30"/>
      <c r="O742" s="31"/>
      <c r="P742" s="32" t="str">
        <f aca="false">IF($J742="","",$J742-WEEKDAY($J742,3))</f>
        <v/>
      </c>
      <c r="Q742" s="32" t="str">
        <f aca="false">IF($J742="","",IF($K742="",$J742,$K742))</f>
        <v/>
      </c>
      <c r="R742" s="28" t="str">
        <f aca="false">IF($E742="","",IF(OR($N742&lt;&gt;"Concluída",$O742="",$J742=""),0,IF($O742&lt;=$J742,1,0)))</f>
        <v/>
      </c>
      <c r="S742" s="28" t="str">
        <f aca="false">IF($E742="","",IF(OR($N742&lt;&gt;"Concluída",$O742="",$Q742=""),0,IF($O742&lt;=$Q742,1,0)))</f>
        <v/>
      </c>
      <c r="T742" s="28" t="str">
        <f aca="false">IF(OR($J742="",$N742&lt;&gt;"Concluída",$O742=""),"",MAX(0,$O742-$J742))</f>
        <v/>
      </c>
      <c r="U742" s="33" t="str">
        <f aca="true">IF($E742="","",IF($N742="Cancelada","Cancelada",IF($N742="Concluída",IF($R742=1,"No prazo","Concluída com atraso"),IF($J742="","Na carteira",IF($J742&lt;TODAY(),"VENCIDA",IF($J742=TODAY(),"Hoje","Programada"))))))</f>
        <v/>
      </c>
    </row>
    <row r="743" customFormat="false" ht="15.75" hidden="false" customHeight="true" outlineLevel="0" collapsed="false">
      <c r="A743" s="28" t="str">
        <f aca="false">IF($E743="","",COUNTA($E$4:$E743))</f>
        <v/>
      </c>
      <c r="B743" s="34"/>
      <c r="C743" s="34"/>
      <c r="D743" s="34"/>
      <c r="E743" s="34"/>
      <c r="F743" s="35"/>
      <c r="G743" s="34"/>
      <c r="H743" s="35"/>
      <c r="I743" s="34"/>
      <c r="J743" s="36"/>
      <c r="K743" s="36"/>
      <c r="L743" s="35"/>
      <c r="M743" s="34"/>
      <c r="N743" s="35"/>
      <c r="O743" s="36"/>
      <c r="P743" s="32" t="str">
        <f aca="false">IF($J743="","",$J743-WEEKDAY($J743,3))</f>
        <v/>
      </c>
      <c r="Q743" s="32" t="str">
        <f aca="false">IF($J743="","",IF($K743="",$J743,$K743))</f>
        <v/>
      </c>
      <c r="R743" s="28" t="str">
        <f aca="false">IF($E743="","",IF(OR($N743&lt;&gt;"Concluída",$O743="",$J743=""),0,IF($O743&lt;=$J743,1,0)))</f>
        <v/>
      </c>
      <c r="S743" s="28" t="str">
        <f aca="false">IF($E743="","",IF(OR($N743&lt;&gt;"Concluída",$O743="",$Q743=""),0,IF($O743&lt;=$Q743,1,0)))</f>
        <v/>
      </c>
      <c r="T743" s="28" t="str">
        <f aca="false">IF(OR($J743="",$N743&lt;&gt;"Concluída",$O743=""),"",MAX(0,$O743-$J743))</f>
        <v/>
      </c>
      <c r="U743" s="33" t="str">
        <f aca="true">IF($E743="","",IF($N743="Cancelada","Cancelada",IF($N743="Concluída",IF($R743=1,"No prazo","Concluída com atraso"),IF($J743="","Na carteira",IF($J743&lt;TODAY(),"VENCIDA",IF($J743=TODAY(),"Hoje","Programada"))))))</f>
        <v/>
      </c>
    </row>
    <row r="744" customFormat="false" ht="15.75" hidden="false" customHeight="true" outlineLevel="0" collapsed="false">
      <c r="A744" s="28" t="str">
        <f aca="false">IF($E744="","",COUNTA($E$4:$E744))</f>
        <v/>
      </c>
      <c r="B744" s="29"/>
      <c r="C744" s="29"/>
      <c r="D744" s="29"/>
      <c r="E744" s="29"/>
      <c r="F744" s="30"/>
      <c r="G744" s="29"/>
      <c r="H744" s="30"/>
      <c r="I744" s="29"/>
      <c r="J744" s="31"/>
      <c r="K744" s="31"/>
      <c r="L744" s="30"/>
      <c r="M744" s="29"/>
      <c r="N744" s="30"/>
      <c r="O744" s="31"/>
      <c r="P744" s="32" t="str">
        <f aca="false">IF($J744="","",$J744-WEEKDAY($J744,3))</f>
        <v/>
      </c>
      <c r="Q744" s="32" t="str">
        <f aca="false">IF($J744="","",IF($K744="",$J744,$K744))</f>
        <v/>
      </c>
      <c r="R744" s="28" t="str">
        <f aca="false">IF($E744="","",IF(OR($N744&lt;&gt;"Concluída",$O744="",$J744=""),0,IF($O744&lt;=$J744,1,0)))</f>
        <v/>
      </c>
      <c r="S744" s="28" t="str">
        <f aca="false">IF($E744="","",IF(OR($N744&lt;&gt;"Concluída",$O744="",$Q744=""),0,IF($O744&lt;=$Q744,1,0)))</f>
        <v/>
      </c>
      <c r="T744" s="28" t="str">
        <f aca="false">IF(OR($J744="",$N744&lt;&gt;"Concluída",$O744=""),"",MAX(0,$O744-$J744))</f>
        <v/>
      </c>
      <c r="U744" s="33" t="str">
        <f aca="true">IF($E744="","",IF($N744="Cancelada","Cancelada",IF($N744="Concluída",IF($R744=1,"No prazo","Concluída com atraso"),IF($J744="","Na carteira",IF($J744&lt;TODAY(),"VENCIDA",IF($J744=TODAY(),"Hoje","Programada"))))))</f>
        <v/>
      </c>
    </row>
    <row r="745" customFormat="false" ht="15.75" hidden="false" customHeight="true" outlineLevel="0" collapsed="false">
      <c r="A745" s="28" t="str">
        <f aca="false">IF($E745="","",COUNTA($E$4:$E745))</f>
        <v/>
      </c>
      <c r="B745" s="34"/>
      <c r="C745" s="34"/>
      <c r="D745" s="34"/>
      <c r="E745" s="34"/>
      <c r="F745" s="35"/>
      <c r="G745" s="34"/>
      <c r="H745" s="35"/>
      <c r="I745" s="34"/>
      <c r="J745" s="36"/>
      <c r="K745" s="36"/>
      <c r="L745" s="35"/>
      <c r="M745" s="34"/>
      <c r="N745" s="35"/>
      <c r="O745" s="36"/>
      <c r="P745" s="32" t="str">
        <f aca="false">IF($J745="","",$J745-WEEKDAY($J745,3))</f>
        <v/>
      </c>
      <c r="Q745" s="32" t="str">
        <f aca="false">IF($J745="","",IF($K745="",$J745,$K745))</f>
        <v/>
      </c>
      <c r="R745" s="28" t="str">
        <f aca="false">IF($E745="","",IF(OR($N745&lt;&gt;"Concluída",$O745="",$J745=""),0,IF($O745&lt;=$J745,1,0)))</f>
        <v/>
      </c>
      <c r="S745" s="28" t="str">
        <f aca="false">IF($E745="","",IF(OR($N745&lt;&gt;"Concluída",$O745="",$Q745=""),0,IF($O745&lt;=$Q745,1,0)))</f>
        <v/>
      </c>
      <c r="T745" s="28" t="str">
        <f aca="false">IF(OR($J745="",$N745&lt;&gt;"Concluída",$O745=""),"",MAX(0,$O745-$J745))</f>
        <v/>
      </c>
      <c r="U745" s="33" t="str">
        <f aca="true">IF($E745="","",IF($N745="Cancelada","Cancelada",IF($N745="Concluída",IF($R745=1,"No prazo","Concluída com atraso"),IF($J745="","Na carteira",IF($J745&lt;TODAY(),"VENCIDA",IF($J745=TODAY(),"Hoje","Programada"))))))</f>
        <v/>
      </c>
    </row>
    <row r="746" customFormat="false" ht="15.75" hidden="false" customHeight="true" outlineLevel="0" collapsed="false">
      <c r="A746" s="28" t="str">
        <f aca="false">IF($E746="","",COUNTA($E$4:$E746))</f>
        <v/>
      </c>
      <c r="B746" s="29"/>
      <c r="C746" s="29"/>
      <c r="D746" s="29"/>
      <c r="E746" s="29"/>
      <c r="F746" s="30"/>
      <c r="G746" s="29"/>
      <c r="H746" s="30"/>
      <c r="I746" s="29"/>
      <c r="J746" s="31"/>
      <c r="K746" s="31"/>
      <c r="L746" s="30"/>
      <c r="M746" s="29"/>
      <c r="N746" s="30"/>
      <c r="O746" s="31"/>
      <c r="P746" s="32" t="str">
        <f aca="false">IF($J746="","",$J746-WEEKDAY($J746,3))</f>
        <v/>
      </c>
      <c r="Q746" s="32" t="str">
        <f aca="false">IF($J746="","",IF($K746="",$J746,$K746))</f>
        <v/>
      </c>
      <c r="R746" s="28" t="str">
        <f aca="false">IF($E746="","",IF(OR($N746&lt;&gt;"Concluída",$O746="",$J746=""),0,IF($O746&lt;=$J746,1,0)))</f>
        <v/>
      </c>
      <c r="S746" s="28" t="str">
        <f aca="false">IF($E746="","",IF(OR($N746&lt;&gt;"Concluída",$O746="",$Q746=""),0,IF($O746&lt;=$Q746,1,0)))</f>
        <v/>
      </c>
      <c r="T746" s="28" t="str">
        <f aca="false">IF(OR($J746="",$N746&lt;&gt;"Concluída",$O746=""),"",MAX(0,$O746-$J746))</f>
        <v/>
      </c>
      <c r="U746" s="33" t="str">
        <f aca="true">IF($E746="","",IF($N746="Cancelada","Cancelada",IF($N746="Concluída",IF($R746=1,"No prazo","Concluída com atraso"),IF($J746="","Na carteira",IF($J746&lt;TODAY(),"VENCIDA",IF($J746=TODAY(),"Hoje","Programada"))))))</f>
        <v/>
      </c>
    </row>
    <row r="747" customFormat="false" ht="15.75" hidden="false" customHeight="true" outlineLevel="0" collapsed="false">
      <c r="A747" s="28" t="str">
        <f aca="false">IF($E747="","",COUNTA($E$4:$E747))</f>
        <v/>
      </c>
      <c r="B747" s="34"/>
      <c r="C747" s="34"/>
      <c r="D747" s="34"/>
      <c r="E747" s="34"/>
      <c r="F747" s="35"/>
      <c r="G747" s="34"/>
      <c r="H747" s="35"/>
      <c r="I747" s="34"/>
      <c r="J747" s="36"/>
      <c r="K747" s="36"/>
      <c r="L747" s="35"/>
      <c r="M747" s="34"/>
      <c r="N747" s="35"/>
      <c r="O747" s="36"/>
      <c r="P747" s="32" t="str">
        <f aca="false">IF($J747="","",$J747-WEEKDAY($J747,3))</f>
        <v/>
      </c>
      <c r="Q747" s="32" t="str">
        <f aca="false">IF($J747="","",IF($K747="",$J747,$K747))</f>
        <v/>
      </c>
      <c r="R747" s="28" t="str">
        <f aca="false">IF($E747="","",IF(OR($N747&lt;&gt;"Concluída",$O747="",$J747=""),0,IF($O747&lt;=$J747,1,0)))</f>
        <v/>
      </c>
      <c r="S747" s="28" t="str">
        <f aca="false">IF($E747="","",IF(OR($N747&lt;&gt;"Concluída",$O747="",$Q747=""),0,IF($O747&lt;=$Q747,1,0)))</f>
        <v/>
      </c>
      <c r="T747" s="28" t="str">
        <f aca="false">IF(OR($J747="",$N747&lt;&gt;"Concluída",$O747=""),"",MAX(0,$O747-$J747))</f>
        <v/>
      </c>
      <c r="U747" s="33" t="str">
        <f aca="true">IF($E747="","",IF($N747="Cancelada","Cancelada",IF($N747="Concluída",IF($R747=1,"No prazo","Concluída com atraso"),IF($J747="","Na carteira",IF($J747&lt;TODAY(),"VENCIDA",IF($J747=TODAY(),"Hoje","Programada"))))))</f>
        <v/>
      </c>
    </row>
    <row r="748" customFormat="false" ht="15.75" hidden="false" customHeight="true" outlineLevel="0" collapsed="false">
      <c r="A748" s="28" t="str">
        <f aca="false">IF($E748="","",COUNTA($E$4:$E748))</f>
        <v/>
      </c>
      <c r="B748" s="29"/>
      <c r="C748" s="29"/>
      <c r="D748" s="29"/>
      <c r="E748" s="29"/>
      <c r="F748" s="30"/>
      <c r="G748" s="29"/>
      <c r="H748" s="30"/>
      <c r="I748" s="29"/>
      <c r="J748" s="31"/>
      <c r="K748" s="31"/>
      <c r="L748" s="30"/>
      <c r="M748" s="29"/>
      <c r="N748" s="30"/>
      <c r="O748" s="31"/>
      <c r="P748" s="32" t="str">
        <f aca="false">IF($J748="","",$J748-WEEKDAY($J748,3))</f>
        <v/>
      </c>
      <c r="Q748" s="32" t="str">
        <f aca="false">IF($J748="","",IF($K748="",$J748,$K748))</f>
        <v/>
      </c>
      <c r="R748" s="28" t="str">
        <f aca="false">IF($E748="","",IF(OR($N748&lt;&gt;"Concluída",$O748="",$J748=""),0,IF($O748&lt;=$J748,1,0)))</f>
        <v/>
      </c>
      <c r="S748" s="28" t="str">
        <f aca="false">IF($E748="","",IF(OR($N748&lt;&gt;"Concluída",$O748="",$Q748=""),0,IF($O748&lt;=$Q748,1,0)))</f>
        <v/>
      </c>
      <c r="T748" s="28" t="str">
        <f aca="false">IF(OR($J748="",$N748&lt;&gt;"Concluída",$O748=""),"",MAX(0,$O748-$J748))</f>
        <v/>
      </c>
      <c r="U748" s="33" t="str">
        <f aca="true">IF($E748="","",IF($N748="Cancelada","Cancelada",IF($N748="Concluída",IF($R748=1,"No prazo","Concluída com atraso"),IF($J748="","Na carteira",IF($J748&lt;TODAY(),"VENCIDA",IF($J748=TODAY(),"Hoje","Programada"))))))</f>
        <v/>
      </c>
    </row>
    <row r="749" customFormat="false" ht="15.75" hidden="false" customHeight="true" outlineLevel="0" collapsed="false">
      <c r="A749" s="28" t="str">
        <f aca="false">IF($E749="","",COUNTA($E$4:$E749))</f>
        <v/>
      </c>
      <c r="B749" s="34"/>
      <c r="C749" s="34"/>
      <c r="D749" s="34"/>
      <c r="E749" s="34"/>
      <c r="F749" s="35"/>
      <c r="G749" s="34"/>
      <c r="H749" s="35"/>
      <c r="I749" s="34"/>
      <c r="J749" s="36"/>
      <c r="K749" s="36"/>
      <c r="L749" s="35"/>
      <c r="M749" s="34"/>
      <c r="N749" s="35"/>
      <c r="O749" s="36"/>
      <c r="P749" s="32" t="str">
        <f aca="false">IF($J749="","",$J749-WEEKDAY($J749,3))</f>
        <v/>
      </c>
      <c r="Q749" s="32" t="str">
        <f aca="false">IF($J749="","",IF($K749="",$J749,$K749))</f>
        <v/>
      </c>
      <c r="R749" s="28" t="str">
        <f aca="false">IF($E749="","",IF(OR($N749&lt;&gt;"Concluída",$O749="",$J749=""),0,IF($O749&lt;=$J749,1,0)))</f>
        <v/>
      </c>
      <c r="S749" s="28" t="str">
        <f aca="false">IF($E749="","",IF(OR($N749&lt;&gt;"Concluída",$O749="",$Q749=""),0,IF($O749&lt;=$Q749,1,0)))</f>
        <v/>
      </c>
      <c r="T749" s="28" t="str">
        <f aca="false">IF(OR($J749="",$N749&lt;&gt;"Concluída",$O749=""),"",MAX(0,$O749-$J749))</f>
        <v/>
      </c>
      <c r="U749" s="33" t="str">
        <f aca="true">IF($E749="","",IF($N749="Cancelada","Cancelada",IF($N749="Concluída",IF($R749=1,"No prazo","Concluída com atraso"),IF($J749="","Na carteira",IF($J749&lt;TODAY(),"VENCIDA",IF($J749=TODAY(),"Hoje","Programada"))))))</f>
        <v/>
      </c>
    </row>
    <row r="750" customFormat="false" ht="15.75" hidden="false" customHeight="true" outlineLevel="0" collapsed="false">
      <c r="A750" s="28" t="str">
        <f aca="false">IF($E750="","",COUNTA($E$4:$E750))</f>
        <v/>
      </c>
      <c r="B750" s="29"/>
      <c r="C750" s="29"/>
      <c r="D750" s="29"/>
      <c r="E750" s="29"/>
      <c r="F750" s="30"/>
      <c r="G750" s="29"/>
      <c r="H750" s="30"/>
      <c r="I750" s="29"/>
      <c r="J750" s="31"/>
      <c r="K750" s="31"/>
      <c r="L750" s="30"/>
      <c r="M750" s="29"/>
      <c r="N750" s="30"/>
      <c r="O750" s="31"/>
      <c r="P750" s="32" t="str">
        <f aca="false">IF($J750="","",$J750-WEEKDAY($J750,3))</f>
        <v/>
      </c>
      <c r="Q750" s="32" t="str">
        <f aca="false">IF($J750="","",IF($K750="",$J750,$K750))</f>
        <v/>
      </c>
      <c r="R750" s="28" t="str">
        <f aca="false">IF($E750="","",IF(OR($N750&lt;&gt;"Concluída",$O750="",$J750=""),0,IF($O750&lt;=$J750,1,0)))</f>
        <v/>
      </c>
      <c r="S750" s="28" t="str">
        <f aca="false">IF($E750="","",IF(OR($N750&lt;&gt;"Concluída",$O750="",$Q750=""),0,IF($O750&lt;=$Q750,1,0)))</f>
        <v/>
      </c>
      <c r="T750" s="28" t="str">
        <f aca="false">IF(OR($J750="",$N750&lt;&gt;"Concluída",$O750=""),"",MAX(0,$O750-$J750))</f>
        <v/>
      </c>
      <c r="U750" s="33" t="str">
        <f aca="true">IF($E750="","",IF($N750="Cancelada","Cancelada",IF($N750="Concluída",IF($R750=1,"No prazo","Concluída com atraso"),IF($J750="","Na carteira",IF($J750&lt;TODAY(),"VENCIDA",IF($J750=TODAY(),"Hoje","Programada"))))))</f>
        <v/>
      </c>
    </row>
    <row r="751" customFormat="false" ht="15.75" hidden="false" customHeight="true" outlineLevel="0" collapsed="false">
      <c r="A751" s="28" t="str">
        <f aca="false">IF($E751="","",COUNTA($E$4:$E751))</f>
        <v/>
      </c>
      <c r="B751" s="34"/>
      <c r="C751" s="34"/>
      <c r="D751" s="34"/>
      <c r="E751" s="34"/>
      <c r="F751" s="35"/>
      <c r="G751" s="34"/>
      <c r="H751" s="35"/>
      <c r="I751" s="34"/>
      <c r="J751" s="36"/>
      <c r="K751" s="36"/>
      <c r="L751" s="35"/>
      <c r="M751" s="34"/>
      <c r="N751" s="35"/>
      <c r="O751" s="36"/>
      <c r="P751" s="32" t="str">
        <f aca="false">IF($J751="","",$J751-WEEKDAY($J751,3))</f>
        <v/>
      </c>
      <c r="Q751" s="32" t="str">
        <f aca="false">IF($J751="","",IF($K751="",$J751,$K751))</f>
        <v/>
      </c>
      <c r="R751" s="28" t="str">
        <f aca="false">IF($E751="","",IF(OR($N751&lt;&gt;"Concluída",$O751="",$J751=""),0,IF($O751&lt;=$J751,1,0)))</f>
        <v/>
      </c>
      <c r="S751" s="28" t="str">
        <f aca="false">IF($E751="","",IF(OR($N751&lt;&gt;"Concluída",$O751="",$Q751=""),0,IF($O751&lt;=$Q751,1,0)))</f>
        <v/>
      </c>
      <c r="T751" s="28" t="str">
        <f aca="false">IF(OR($J751="",$N751&lt;&gt;"Concluída",$O751=""),"",MAX(0,$O751-$J751))</f>
        <v/>
      </c>
      <c r="U751" s="33" t="str">
        <f aca="true">IF($E751="","",IF($N751="Cancelada","Cancelada",IF($N751="Concluída",IF($R751=1,"No prazo","Concluída com atraso"),IF($J751="","Na carteira",IF($J751&lt;TODAY(),"VENCIDA",IF($J751=TODAY(),"Hoje","Programada"))))))</f>
        <v/>
      </c>
    </row>
    <row r="752" customFormat="false" ht="15.75" hidden="false" customHeight="true" outlineLevel="0" collapsed="false">
      <c r="A752" s="28" t="str">
        <f aca="false">IF($E752="","",COUNTA($E$4:$E752))</f>
        <v/>
      </c>
      <c r="B752" s="29"/>
      <c r="C752" s="29"/>
      <c r="D752" s="29"/>
      <c r="E752" s="29"/>
      <c r="F752" s="30"/>
      <c r="G752" s="29"/>
      <c r="H752" s="30"/>
      <c r="I752" s="29"/>
      <c r="J752" s="31"/>
      <c r="K752" s="31"/>
      <c r="L752" s="30"/>
      <c r="M752" s="29"/>
      <c r="N752" s="30"/>
      <c r="O752" s="31"/>
      <c r="P752" s="32" t="str">
        <f aca="false">IF($J752="","",$J752-WEEKDAY($J752,3))</f>
        <v/>
      </c>
      <c r="Q752" s="32" t="str">
        <f aca="false">IF($J752="","",IF($K752="",$J752,$K752))</f>
        <v/>
      </c>
      <c r="R752" s="28" t="str">
        <f aca="false">IF($E752="","",IF(OR($N752&lt;&gt;"Concluída",$O752="",$J752=""),0,IF($O752&lt;=$J752,1,0)))</f>
        <v/>
      </c>
      <c r="S752" s="28" t="str">
        <f aca="false">IF($E752="","",IF(OR($N752&lt;&gt;"Concluída",$O752="",$Q752=""),0,IF($O752&lt;=$Q752,1,0)))</f>
        <v/>
      </c>
      <c r="T752" s="28" t="str">
        <f aca="false">IF(OR($J752="",$N752&lt;&gt;"Concluída",$O752=""),"",MAX(0,$O752-$J752))</f>
        <v/>
      </c>
      <c r="U752" s="33" t="str">
        <f aca="true">IF($E752="","",IF($N752="Cancelada","Cancelada",IF($N752="Concluída",IF($R752=1,"No prazo","Concluída com atraso"),IF($J752="","Na carteira",IF($J752&lt;TODAY(),"VENCIDA",IF($J752=TODAY(),"Hoje","Programada"))))))</f>
        <v/>
      </c>
    </row>
    <row r="753" customFormat="false" ht="15.75" hidden="false" customHeight="true" outlineLevel="0" collapsed="false">
      <c r="A753" s="28" t="str">
        <f aca="false">IF($E753="","",COUNTA($E$4:$E753))</f>
        <v/>
      </c>
      <c r="B753" s="34"/>
      <c r="C753" s="34"/>
      <c r="D753" s="34"/>
      <c r="E753" s="34"/>
      <c r="F753" s="35"/>
      <c r="G753" s="34"/>
      <c r="H753" s="35"/>
      <c r="I753" s="34"/>
      <c r="J753" s="36"/>
      <c r="K753" s="36"/>
      <c r="L753" s="35"/>
      <c r="M753" s="34"/>
      <c r="N753" s="35"/>
      <c r="O753" s="36"/>
      <c r="P753" s="32" t="str">
        <f aca="false">IF($J753="","",$J753-WEEKDAY($J753,3))</f>
        <v/>
      </c>
      <c r="Q753" s="32" t="str">
        <f aca="false">IF($J753="","",IF($K753="",$J753,$K753))</f>
        <v/>
      </c>
      <c r="R753" s="28" t="str">
        <f aca="false">IF($E753="","",IF(OR($N753&lt;&gt;"Concluída",$O753="",$J753=""),0,IF($O753&lt;=$J753,1,0)))</f>
        <v/>
      </c>
      <c r="S753" s="28" t="str">
        <f aca="false">IF($E753="","",IF(OR($N753&lt;&gt;"Concluída",$O753="",$Q753=""),0,IF($O753&lt;=$Q753,1,0)))</f>
        <v/>
      </c>
      <c r="T753" s="28" t="str">
        <f aca="false">IF(OR($J753="",$N753&lt;&gt;"Concluída",$O753=""),"",MAX(0,$O753-$J753))</f>
        <v/>
      </c>
      <c r="U753" s="33" t="str">
        <f aca="true">IF($E753="","",IF($N753="Cancelada","Cancelada",IF($N753="Concluída",IF($R753=1,"No prazo","Concluída com atraso"),IF($J753="","Na carteira",IF($J753&lt;TODAY(),"VENCIDA",IF($J753=TODAY(),"Hoje","Programada"))))))</f>
        <v/>
      </c>
    </row>
    <row r="754" customFormat="false" ht="15.75" hidden="false" customHeight="true" outlineLevel="0" collapsed="false">
      <c r="A754" s="28" t="str">
        <f aca="false">IF($E754="","",COUNTA($E$4:$E754))</f>
        <v/>
      </c>
      <c r="B754" s="29"/>
      <c r="C754" s="29"/>
      <c r="D754" s="29"/>
      <c r="E754" s="29"/>
      <c r="F754" s="30"/>
      <c r="G754" s="29"/>
      <c r="H754" s="30"/>
      <c r="I754" s="29"/>
      <c r="J754" s="31"/>
      <c r="K754" s="31"/>
      <c r="L754" s="30"/>
      <c r="M754" s="29"/>
      <c r="N754" s="30"/>
      <c r="O754" s="31"/>
      <c r="P754" s="32" t="str">
        <f aca="false">IF($J754="","",$J754-WEEKDAY($J754,3))</f>
        <v/>
      </c>
      <c r="Q754" s="32" t="str">
        <f aca="false">IF($J754="","",IF($K754="",$J754,$K754))</f>
        <v/>
      </c>
      <c r="R754" s="28" t="str">
        <f aca="false">IF($E754="","",IF(OR($N754&lt;&gt;"Concluída",$O754="",$J754=""),0,IF($O754&lt;=$J754,1,0)))</f>
        <v/>
      </c>
      <c r="S754" s="28" t="str">
        <f aca="false">IF($E754="","",IF(OR($N754&lt;&gt;"Concluída",$O754="",$Q754=""),0,IF($O754&lt;=$Q754,1,0)))</f>
        <v/>
      </c>
      <c r="T754" s="28" t="str">
        <f aca="false">IF(OR($J754="",$N754&lt;&gt;"Concluída",$O754=""),"",MAX(0,$O754-$J754))</f>
        <v/>
      </c>
      <c r="U754" s="33" t="str">
        <f aca="true">IF($E754="","",IF($N754="Cancelada","Cancelada",IF($N754="Concluída",IF($R754=1,"No prazo","Concluída com atraso"),IF($J754="","Na carteira",IF($J754&lt;TODAY(),"VENCIDA",IF($J754=TODAY(),"Hoje","Programada"))))))</f>
        <v/>
      </c>
    </row>
    <row r="755" customFormat="false" ht="15.75" hidden="false" customHeight="true" outlineLevel="0" collapsed="false">
      <c r="A755" s="28" t="str">
        <f aca="false">IF($E755="","",COUNTA($E$4:$E755))</f>
        <v/>
      </c>
      <c r="B755" s="34"/>
      <c r="C755" s="34"/>
      <c r="D755" s="34"/>
      <c r="E755" s="34"/>
      <c r="F755" s="35"/>
      <c r="G755" s="34"/>
      <c r="H755" s="35"/>
      <c r="I755" s="34"/>
      <c r="J755" s="36"/>
      <c r="K755" s="36"/>
      <c r="L755" s="35"/>
      <c r="M755" s="34"/>
      <c r="N755" s="35"/>
      <c r="O755" s="36"/>
      <c r="P755" s="32" t="str">
        <f aca="false">IF($J755="","",$J755-WEEKDAY($J755,3))</f>
        <v/>
      </c>
      <c r="Q755" s="32" t="str">
        <f aca="false">IF($J755="","",IF($K755="",$J755,$K755))</f>
        <v/>
      </c>
      <c r="R755" s="28" t="str">
        <f aca="false">IF($E755="","",IF(OR($N755&lt;&gt;"Concluída",$O755="",$J755=""),0,IF($O755&lt;=$J755,1,0)))</f>
        <v/>
      </c>
      <c r="S755" s="28" t="str">
        <f aca="false">IF($E755="","",IF(OR($N755&lt;&gt;"Concluída",$O755="",$Q755=""),0,IF($O755&lt;=$Q755,1,0)))</f>
        <v/>
      </c>
      <c r="T755" s="28" t="str">
        <f aca="false">IF(OR($J755="",$N755&lt;&gt;"Concluída",$O755=""),"",MAX(0,$O755-$J755))</f>
        <v/>
      </c>
      <c r="U755" s="33" t="str">
        <f aca="true">IF($E755="","",IF($N755="Cancelada","Cancelada",IF($N755="Concluída",IF($R755=1,"No prazo","Concluída com atraso"),IF($J755="","Na carteira",IF($J755&lt;TODAY(),"VENCIDA",IF($J755=TODAY(),"Hoje","Programada"))))))</f>
        <v/>
      </c>
    </row>
    <row r="756" customFormat="false" ht="15.75" hidden="false" customHeight="true" outlineLevel="0" collapsed="false">
      <c r="A756" s="28" t="str">
        <f aca="false">IF($E756="","",COUNTA($E$4:$E756))</f>
        <v/>
      </c>
      <c r="B756" s="29"/>
      <c r="C756" s="29"/>
      <c r="D756" s="29"/>
      <c r="E756" s="29"/>
      <c r="F756" s="30"/>
      <c r="G756" s="29"/>
      <c r="H756" s="30"/>
      <c r="I756" s="29"/>
      <c r="J756" s="31"/>
      <c r="K756" s="31"/>
      <c r="L756" s="30"/>
      <c r="M756" s="29"/>
      <c r="N756" s="30"/>
      <c r="O756" s="31"/>
      <c r="P756" s="32" t="str">
        <f aca="false">IF($J756="","",$J756-WEEKDAY($J756,3))</f>
        <v/>
      </c>
      <c r="Q756" s="32" t="str">
        <f aca="false">IF($J756="","",IF($K756="",$J756,$K756))</f>
        <v/>
      </c>
      <c r="R756" s="28" t="str">
        <f aca="false">IF($E756="","",IF(OR($N756&lt;&gt;"Concluída",$O756="",$J756=""),0,IF($O756&lt;=$J756,1,0)))</f>
        <v/>
      </c>
      <c r="S756" s="28" t="str">
        <f aca="false">IF($E756="","",IF(OR($N756&lt;&gt;"Concluída",$O756="",$Q756=""),0,IF($O756&lt;=$Q756,1,0)))</f>
        <v/>
      </c>
      <c r="T756" s="28" t="str">
        <f aca="false">IF(OR($J756="",$N756&lt;&gt;"Concluída",$O756=""),"",MAX(0,$O756-$J756))</f>
        <v/>
      </c>
      <c r="U756" s="33" t="str">
        <f aca="true">IF($E756="","",IF($N756="Cancelada","Cancelada",IF($N756="Concluída",IF($R756=1,"No prazo","Concluída com atraso"),IF($J756="","Na carteira",IF($J756&lt;TODAY(),"VENCIDA",IF($J756=TODAY(),"Hoje","Programada"))))))</f>
        <v/>
      </c>
    </row>
    <row r="757" customFormat="false" ht="15.75" hidden="false" customHeight="true" outlineLevel="0" collapsed="false">
      <c r="A757" s="28" t="str">
        <f aca="false">IF($E757="","",COUNTA($E$4:$E757))</f>
        <v/>
      </c>
      <c r="B757" s="34"/>
      <c r="C757" s="34"/>
      <c r="D757" s="34"/>
      <c r="E757" s="34"/>
      <c r="F757" s="35"/>
      <c r="G757" s="34"/>
      <c r="H757" s="35"/>
      <c r="I757" s="34"/>
      <c r="J757" s="36"/>
      <c r="K757" s="36"/>
      <c r="L757" s="35"/>
      <c r="M757" s="34"/>
      <c r="N757" s="35"/>
      <c r="O757" s="36"/>
      <c r="P757" s="32" t="str">
        <f aca="false">IF($J757="","",$J757-WEEKDAY($J757,3))</f>
        <v/>
      </c>
      <c r="Q757" s="32" t="str">
        <f aca="false">IF($J757="","",IF($K757="",$J757,$K757))</f>
        <v/>
      </c>
      <c r="R757" s="28" t="str">
        <f aca="false">IF($E757="","",IF(OR($N757&lt;&gt;"Concluída",$O757="",$J757=""),0,IF($O757&lt;=$J757,1,0)))</f>
        <v/>
      </c>
      <c r="S757" s="28" t="str">
        <f aca="false">IF($E757="","",IF(OR($N757&lt;&gt;"Concluída",$O757="",$Q757=""),0,IF($O757&lt;=$Q757,1,0)))</f>
        <v/>
      </c>
      <c r="T757" s="28" t="str">
        <f aca="false">IF(OR($J757="",$N757&lt;&gt;"Concluída",$O757=""),"",MAX(0,$O757-$J757))</f>
        <v/>
      </c>
      <c r="U757" s="33" t="str">
        <f aca="true">IF($E757="","",IF($N757="Cancelada","Cancelada",IF($N757="Concluída",IF($R757=1,"No prazo","Concluída com atraso"),IF($J757="","Na carteira",IF($J757&lt;TODAY(),"VENCIDA",IF($J757=TODAY(),"Hoje","Programada"))))))</f>
        <v/>
      </c>
    </row>
    <row r="758" customFormat="false" ht="15.75" hidden="false" customHeight="true" outlineLevel="0" collapsed="false">
      <c r="A758" s="28" t="str">
        <f aca="false">IF($E758="","",COUNTA($E$4:$E758))</f>
        <v/>
      </c>
      <c r="B758" s="29"/>
      <c r="C758" s="29"/>
      <c r="D758" s="29"/>
      <c r="E758" s="29"/>
      <c r="F758" s="30"/>
      <c r="G758" s="29"/>
      <c r="H758" s="30"/>
      <c r="I758" s="29"/>
      <c r="J758" s="31"/>
      <c r="K758" s="31"/>
      <c r="L758" s="30"/>
      <c r="M758" s="29"/>
      <c r="N758" s="30"/>
      <c r="O758" s="31"/>
      <c r="P758" s="32" t="str">
        <f aca="false">IF($J758="","",$J758-WEEKDAY($J758,3))</f>
        <v/>
      </c>
      <c r="Q758" s="32" t="str">
        <f aca="false">IF($J758="","",IF($K758="",$J758,$K758))</f>
        <v/>
      </c>
      <c r="R758" s="28" t="str">
        <f aca="false">IF($E758="","",IF(OR($N758&lt;&gt;"Concluída",$O758="",$J758=""),0,IF($O758&lt;=$J758,1,0)))</f>
        <v/>
      </c>
      <c r="S758" s="28" t="str">
        <f aca="false">IF($E758="","",IF(OR($N758&lt;&gt;"Concluída",$O758="",$Q758=""),0,IF($O758&lt;=$Q758,1,0)))</f>
        <v/>
      </c>
      <c r="T758" s="28" t="str">
        <f aca="false">IF(OR($J758="",$N758&lt;&gt;"Concluída",$O758=""),"",MAX(0,$O758-$J758))</f>
        <v/>
      </c>
      <c r="U758" s="33" t="str">
        <f aca="true">IF($E758="","",IF($N758="Cancelada","Cancelada",IF($N758="Concluída",IF($R758=1,"No prazo","Concluída com atraso"),IF($J758="","Na carteira",IF($J758&lt;TODAY(),"VENCIDA",IF($J758=TODAY(),"Hoje","Programada"))))))</f>
        <v/>
      </c>
    </row>
    <row r="759" customFormat="false" ht="15.75" hidden="false" customHeight="true" outlineLevel="0" collapsed="false">
      <c r="A759" s="28" t="str">
        <f aca="false">IF($E759="","",COUNTA($E$4:$E759))</f>
        <v/>
      </c>
      <c r="B759" s="34"/>
      <c r="C759" s="34"/>
      <c r="D759" s="34"/>
      <c r="E759" s="34"/>
      <c r="F759" s="35"/>
      <c r="G759" s="34"/>
      <c r="H759" s="35"/>
      <c r="I759" s="34"/>
      <c r="J759" s="36"/>
      <c r="K759" s="36"/>
      <c r="L759" s="35"/>
      <c r="M759" s="34"/>
      <c r="N759" s="35"/>
      <c r="O759" s="36"/>
      <c r="P759" s="32" t="str">
        <f aca="false">IF($J759="","",$J759-WEEKDAY($J759,3))</f>
        <v/>
      </c>
      <c r="Q759" s="32" t="str">
        <f aca="false">IF($J759="","",IF($K759="",$J759,$K759))</f>
        <v/>
      </c>
      <c r="R759" s="28" t="str">
        <f aca="false">IF($E759="","",IF(OR($N759&lt;&gt;"Concluída",$O759="",$J759=""),0,IF($O759&lt;=$J759,1,0)))</f>
        <v/>
      </c>
      <c r="S759" s="28" t="str">
        <f aca="false">IF($E759="","",IF(OR($N759&lt;&gt;"Concluída",$O759="",$Q759=""),0,IF($O759&lt;=$Q759,1,0)))</f>
        <v/>
      </c>
      <c r="T759" s="28" t="str">
        <f aca="false">IF(OR($J759="",$N759&lt;&gt;"Concluída",$O759=""),"",MAX(0,$O759-$J759))</f>
        <v/>
      </c>
      <c r="U759" s="33" t="str">
        <f aca="true">IF($E759="","",IF($N759="Cancelada","Cancelada",IF($N759="Concluída",IF($R759=1,"No prazo","Concluída com atraso"),IF($J759="","Na carteira",IF($J759&lt;TODAY(),"VENCIDA",IF($J759=TODAY(),"Hoje","Programada"))))))</f>
        <v/>
      </c>
    </row>
    <row r="760" customFormat="false" ht="15.75" hidden="false" customHeight="true" outlineLevel="0" collapsed="false">
      <c r="A760" s="28" t="str">
        <f aca="false">IF($E760="","",COUNTA($E$4:$E760))</f>
        <v/>
      </c>
      <c r="B760" s="29"/>
      <c r="C760" s="29"/>
      <c r="D760" s="29"/>
      <c r="E760" s="29"/>
      <c r="F760" s="30"/>
      <c r="G760" s="29"/>
      <c r="H760" s="30"/>
      <c r="I760" s="29"/>
      <c r="J760" s="31"/>
      <c r="K760" s="31"/>
      <c r="L760" s="30"/>
      <c r="M760" s="29"/>
      <c r="N760" s="30"/>
      <c r="O760" s="31"/>
      <c r="P760" s="32" t="str">
        <f aca="false">IF($J760="","",$J760-WEEKDAY($J760,3))</f>
        <v/>
      </c>
      <c r="Q760" s="32" t="str">
        <f aca="false">IF($J760="","",IF($K760="",$J760,$K760))</f>
        <v/>
      </c>
      <c r="R760" s="28" t="str">
        <f aca="false">IF($E760="","",IF(OR($N760&lt;&gt;"Concluída",$O760="",$J760=""),0,IF($O760&lt;=$J760,1,0)))</f>
        <v/>
      </c>
      <c r="S760" s="28" t="str">
        <f aca="false">IF($E760="","",IF(OR($N760&lt;&gt;"Concluída",$O760="",$Q760=""),0,IF($O760&lt;=$Q760,1,0)))</f>
        <v/>
      </c>
      <c r="T760" s="28" t="str">
        <f aca="false">IF(OR($J760="",$N760&lt;&gt;"Concluída",$O760=""),"",MAX(0,$O760-$J760))</f>
        <v/>
      </c>
      <c r="U760" s="33" t="str">
        <f aca="true">IF($E760="","",IF($N760="Cancelada","Cancelada",IF($N760="Concluída",IF($R760=1,"No prazo","Concluída com atraso"),IF($J760="","Na carteira",IF($J760&lt;TODAY(),"VENCIDA",IF($J760=TODAY(),"Hoje","Programada"))))))</f>
        <v/>
      </c>
    </row>
    <row r="761" customFormat="false" ht="15.75" hidden="false" customHeight="true" outlineLevel="0" collapsed="false">
      <c r="A761" s="28" t="str">
        <f aca="false">IF($E761="","",COUNTA($E$4:$E761))</f>
        <v/>
      </c>
      <c r="B761" s="34"/>
      <c r="C761" s="34"/>
      <c r="D761" s="34"/>
      <c r="E761" s="34"/>
      <c r="F761" s="35"/>
      <c r="G761" s="34"/>
      <c r="H761" s="35"/>
      <c r="I761" s="34"/>
      <c r="J761" s="36"/>
      <c r="K761" s="36"/>
      <c r="L761" s="35"/>
      <c r="M761" s="34"/>
      <c r="N761" s="35"/>
      <c r="O761" s="36"/>
      <c r="P761" s="32" t="str">
        <f aca="false">IF($J761="","",$J761-WEEKDAY($J761,3))</f>
        <v/>
      </c>
      <c r="Q761" s="32" t="str">
        <f aca="false">IF($J761="","",IF($K761="",$J761,$K761))</f>
        <v/>
      </c>
      <c r="R761" s="28" t="str">
        <f aca="false">IF($E761="","",IF(OR($N761&lt;&gt;"Concluída",$O761="",$J761=""),0,IF($O761&lt;=$J761,1,0)))</f>
        <v/>
      </c>
      <c r="S761" s="28" t="str">
        <f aca="false">IF($E761="","",IF(OR($N761&lt;&gt;"Concluída",$O761="",$Q761=""),0,IF($O761&lt;=$Q761,1,0)))</f>
        <v/>
      </c>
      <c r="T761" s="28" t="str">
        <f aca="false">IF(OR($J761="",$N761&lt;&gt;"Concluída",$O761=""),"",MAX(0,$O761-$J761))</f>
        <v/>
      </c>
      <c r="U761" s="33" t="str">
        <f aca="true">IF($E761="","",IF($N761="Cancelada","Cancelada",IF($N761="Concluída",IF($R761=1,"No prazo","Concluída com atraso"),IF($J761="","Na carteira",IF($J761&lt;TODAY(),"VENCIDA",IF($J761=TODAY(),"Hoje","Programada"))))))</f>
        <v/>
      </c>
    </row>
    <row r="762" customFormat="false" ht="15.75" hidden="false" customHeight="true" outlineLevel="0" collapsed="false">
      <c r="A762" s="28" t="str">
        <f aca="false">IF($E762="","",COUNTA($E$4:$E762))</f>
        <v/>
      </c>
      <c r="B762" s="29"/>
      <c r="C762" s="29"/>
      <c r="D762" s="29"/>
      <c r="E762" s="29"/>
      <c r="F762" s="30"/>
      <c r="G762" s="29"/>
      <c r="H762" s="30"/>
      <c r="I762" s="29"/>
      <c r="J762" s="31"/>
      <c r="K762" s="31"/>
      <c r="L762" s="30"/>
      <c r="M762" s="29"/>
      <c r="N762" s="30"/>
      <c r="O762" s="31"/>
      <c r="P762" s="32" t="str">
        <f aca="false">IF($J762="","",$J762-WEEKDAY($J762,3))</f>
        <v/>
      </c>
      <c r="Q762" s="32" t="str">
        <f aca="false">IF($J762="","",IF($K762="",$J762,$K762))</f>
        <v/>
      </c>
      <c r="R762" s="28" t="str">
        <f aca="false">IF($E762="","",IF(OR($N762&lt;&gt;"Concluída",$O762="",$J762=""),0,IF($O762&lt;=$J762,1,0)))</f>
        <v/>
      </c>
      <c r="S762" s="28" t="str">
        <f aca="false">IF($E762="","",IF(OR($N762&lt;&gt;"Concluída",$O762="",$Q762=""),0,IF($O762&lt;=$Q762,1,0)))</f>
        <v/>
      </c>
      <c r="T762" s="28" t="str">
        <f aca="false">IF(OR($J762="",$N762&lt;&gt;"Concluída",$O762=""),"",MAX(0,$O762-$J762))</f>
        <v/>
      </c>
      <c r="U762" s="33" t="str">
        <f aca="true">IF($E762="","",IF($N762="Cancelada","Cancelada",IF($N762="Concluída",IF($R762=1,"No prazo","Concluída com atraso"),IF($J762="","Na carteira",IF($J762&lt;TODAY(),"VENCIDA",IF($J762=TODAY(),"Hoje","Programada"))))))</f>
        <v/>
      </c>
    </row>
    <row r="763" customFormat="false" ht="15.75" hidden="false" customHeight="true" outlineLevel="0" collapsed="false">
      <c r="A763" s="28" t="str">
        <f aca="false">IF($E763="","",COUNTA($E$4:$E763))</f>
        <v/>
      </c>
      <c r="B763" s="34"/>
      <c r="C763" s="34"/>
      <c r="D763" s="34"/>
      <c r="E763" s="34"/>
      <c r="F763" s="35"/>
      <c r="G763" s="34"/>
      <c r="H763" s="35"/>
      <c r="I763" s="34"/>
      <c r="J763" s="36"/>
      <c r="K763" s="36"/>
      <c r="L763" s="35"/>
      <c r="M763" s="34"/>
      <c r="N763" s="35"/>
      <c r="O763" s="36"/>
      <c r="P763" s="32" t="str">
        <f aca="false">IF($J763="","",$J763-WEEKDAY($J763,3))</f>
        <v/>
      </c>
      <c r="Q763" s="32" t="str">
        <f aca="false">IF($J763="","",IF($K763="",$J763,$K763))</f>
        <v/>
      </c>
      <c r="R763" s="28" t="str">
        <f aca="false">IF($E763="","",IF(OR($N763&lt;&gt;"Concluída",$O763="",$J763=""),0,IF($O763&lt;=$J763,1,0)))</f>
        <v/>
      </c>
      <c r="S763" s="28" t="str">
        <f aca="false">IF($E763="","",IF(OR($N763&lt;&gt;"Concluída",$O763="",$Q763=""),0,IF($O763&lt;=$Q763,1,0)))</f>
        <v/>
      </c>
      <c r="T763" s="28" t="str">
        <f aca="false">IF(OR($J763="",$N763&lt;&gt;"Concluída",$O763=""),"",MAX(0,$O763-$J763))</f>
        <v/>
      </c>
      <c r="U763" s="33" t="str">
        <f aca="true">IF($E763="","",IF($N763="Cancelada","Cancelada",IF($N763="Concluída",IF($R763=1,"No prazo","Concluída com atraso"),IF($J763="","Na carteira",IF($J763&lt;TODAY(),"VENCIDA",IF($J763=TODAY(),"Hoje","Programada"))))))</f>
        <v/>
      </c>
    </row>
    <row r="764" customFormat="false" ht="15.75" hidden="false" customHeight="true" outlineLevel="0" collapsed="false">
      <c r="A764" s="28" t="str">
        <f aca="false">IF($E764="","",COUNTA($E$4:$E764))</f>
        <v/>
      </c>
      <c r="B764" s="29"/>
      <c r="C764" s="29"/>
      <c r="D764" s="29"/>
      <c r="E764" s="29"/>
      <c r="F764" s="30"/>
      <c r="G764" s="29"/>
      <c r="H764" s="30"/>
      <c r="I764" s="29"/>
      <c r="J764" s="31"/>
      <c r="K764" s="31"/>
      <c r="L764" s="30"/>
      <c r="M764" s="29"/>
      <c r="N764" s="30"/>
      <c r="O764" s="31"/>
      <c r="P764" s="32" t="str">
        <f aca="false">IF($J764="","",$J764-WEEKDAY($J764,3))</f>
        <v/>
      </c>
      <c r="Q764" s="32" t="str">
        <f aca="false">IF($J764="","",IF($K764="",$J764,$K764))</f>
        <v/>
      </c>
      <c r="R764" s="28" t="str">
        <f aca="false">IF($E764="","",IF(OR($N764&lt;&gt;"Concluída",$O764="",$J764=""),0,IF($O764&lt;=$J764,1,0)))</f>
        <v/>
      </c>
      <c r="S764" s="28" t="str">
        <f aca="false">IF($E764="","",IF(OR($N764&lt;&gt;"Concluída",$O764="",$Q764=""),0,IF($O764&lt;=$Q764,1,0)))</f>
        <v/>
      </c>
      <c r="T764" s="28" t="str">
        <f aca="false">IF(OR($J764="",$N764&lt;&gt;"Concluída",$O764=""),"",MAX(0,$O764-$J764))</f>
        <v/>
      </c>
      <c r="U764" s="33" t="str">
        <f aca="true">IF($E764="","",IF($N764="Cancelada","Cancelada",IF($N764="Concluída",IF($R764=1,"No prazo","Concluída com atraso"),IF($J764="","Na carteira",IF($J764&lt;TODAY(),"VENCIDA",IF($J764=TODAY(),"Hoje","Programada"))))))</f>
        <v/>
      </c>
    </row>
    <row r="765" customFormat="false" ht="15.75" hidden="false" customHeight="true" outlineLevel="0" collapsed="false">
      <c r="A765" s="28" t="str">
        <f aca="false">IF($E765="","",COUNTA($E$4:$E765))</f>
        <v/>
      </c>
      <c r="B765" s="34"/>
      <c r="C765" s="34"/>
      <c r="D765" s="34"/>
      <c r="E765" s="34"/>
      <c r="F765" s="35"/>
      <c r="G765" s="34"/>
      <c r="H765" s="35"/>
      <c r="I765" s="34"/>
      <c r="J765" s="36"/>
      <c r="K765" s="36"/>
      <c r="L765" s="35"/>
      <c r="M765" s="34"/>
      <c r="N765" s="35"/>
      <c r="O765" s="36"/>
      <c r="P765" s="32" t="str">
        <f aca="false">IF($J765="","",$J765-WEEKDAY($J765,3))</f>
        <v/>
      </c>
      <c r="Q765" s="32" t="str">
        <f aca="false">IF($J765="","",IF($K765="",$J765,$K765))</f>
        <v/>
      </c>
      <c r="R765" s="28" t="str">
        <f aca="false">IF($E765="","",IF(OR($N765&lt;&gt;"Concluída",$O765="",$J765=""),0,IF($O765&lt;=$J765,1,0)))</f>
        <v/>
      </c>
      <c r="S765" s="28" t="str">
        <f aca="false">IF($E765="","",IF(OR($N765&lt;&gt;"Concluída",$O765="",$Q765=""),0,IF($O765&lt;=$Q765,1,0)))</f>
        <v/>
      </c>
      <c r="T765" s="28" t="str">
        <f aca="false">IF(OR($J765="",$N765&lt;&gt;"Concluída",$O765=""),"",MAX(0,$O765-$J765))</f>
        <v/>
      </c>
      <c r="U765" s="33" t="str">
        <f aca="true">IF($E765="","",IF($N765="Cancelada","Cancelada",IF($N765="Concluída",IF($R765=1,"No prazo","Concluída com atraso"),IF($J765="","Na carteira",IF($J765&lt;TODAY(),"VENCIDA",IF($J765=TODAY(),"Hoje","Programada"))))))</f>
        <v/>
      </c>
    </row>
    <row r="766" customFormat="false" ht="15.75" hidden="false" customHeight="true" outlineLevel="0" collapsed="false">
      <c r="A766" s="28" t="str">
        <f aca="false">IF($E766="","",COUNTA($E$4:$E766))</f>
        <v/>
      </c>
      <c r="B766" s="29"/>
      <c r="C766" s="29"/>
      <c r="D766" s="29"/>
      <c r="E766" s="29"/>
      <c r="F766" s="30"/>
      <c r="G766" s="29"/>
      <c r="H766" s="30"/>
      <c r="I766" s="29"/>
      <c r="J766" s="31"/>
      <c r="K766" s="31"/>
      <c r="L766" s="30"/>
      <c r="M766" s="29"/>
      <c r="N766" s="30"/>
      <c r="O766" s="31"/>
      <c r="P766" s="32" t="str">
        <f aca="false">IF($J766="","",$J766-WEEKDAY($J766,3))</f>
        <v/>
      </c>
      <c r="Q766" s="32" t="str">
        <f aca="false">IF($J766="","",IF($K766="",$J766,$K766))</f>
        <v/>
      </c>
      <c r="R766" s="28" t="str">
        <f aca="false">IF($E766="","",IF(OR($N766&lt;&gt;"Concluída",$O766="",$J766=""),0,IF($O766&lt;=$J766,1,0)))</f>
        <v/>
      </c>
      <c r="S766" s="28" t="str">
        <f aca="false">IF($E766="","",IF(OR($N766&lt;&gt;"Concluída",$O766="",$Q766=""),0,IF($O766&lt;=$Q766,1,0)))</f>
        <v/>
      </c>
      <c r="T766" s="28" t="str">
        <f aca="false">IF(OR($J766="",$N766&lt;&gt;"Concluída",$O766=""),"",MAX(0,$O766-$J766))</f>
        <v/>
      </c>
      <c r="U766" s="33" t="str">
        <f aca="true">IF($E766="","",IF($N766="Cancelada","Cancelada",IF($N766="Concluída",IF($R766=1,"No prazo","Concluída com atraso"),IF($J766="","Na carteira",IF($J766&lt;TODAY(),"VENCIDA",IF($J766=TODAY(),"Hoje","Programada"))))))</f>
        <v/>
      </c>
    </row>
    <row r="767" customFormat="false" ht="15.75" hidden="false" customHeight="true" outlineLevel="0" collapsed="false">
      <c r="A767" s="28" t="str">
        <f aca="false">IF($E767="","",COUNTA($E$4:$E767))</f>
        <v/>
      </c>
      <c r="B767" s="34"/>
      <c r="C767" s="34"/>
      <c r="D767" s="34"/>
      <c r="E767" s="34"/>
      <c r="F767" s="35"/>
      <c r="G767" s="34"/>
      <c r="H767" s="35"/>
      <c r="I767" s="34"/>
      <c r="J767" s="36"/>
      <c r="K767" s="36"/>
      <c r="L767" s="35"/>
      <c r="M767" s="34"/>
      <c r="N767" s="35"/>
      <c r="O767" s="36"/>
      <c r="P767" s="32" t="str">
        <f aca="false">IF($J767="","",$J767-WEEKDAY($J767,3))</f>
        <v/>
      </c>
      <c r="Q767" s="32" t="str">
        <f aca="false">IF($J767="","",IF($K767="",$J767,$K767))</f>
        <v/>
      </c>
      <c r="R767" s="28" t="str">
        <f aca="false">IF($E767="","",IF(OR($N767&lt;&gt;"Concluída",$O767="",$J767=""),0,IF($O767&lt;=$J767,1,0)))</f>
        <v/>
      </c>
      <c r="S767" s="28" t="str">
        <f aca="false">IF($E767="","",IF(OR($N767&lt;&gt;"Concluída",$O767="",$Q767=""),0,IF($O767&lt;=$Q767,1,0)))</f>
        <v/>
      </c>
      <c r="T767" s="28" t="str">
        <f aca="false">IF(OR($J767="",$N767&lt;&gt;"Concluída",$O767=""),"",MAX(0,$O767-$J767))</f>
        <v/>
      </c>
      <c r="U767" s="33" t="str">
        <f aca="true">IF($E767="","",IF($N767="Cancelada","Cancelada",IF($N767="Concluída",IF($R767=1,"No prazo","Concluída com atraso"),IF($J767="","Na carteira",IF($J767&lt;TODAY(),"VENCIDA",IF($J767=TODAY(),"Hoje","Programada"))))))</f>
        <v/>
      </c>
    </row>
    <row r="768" customFormat="false" ht="15.75" hidden="false" customHeight="true" outlineLevel="0" collapsed="false">
      <c r="A768" s="28" t="str">
        <f aca="false">IF($E768="","",COUNTA($E$4:$E768))</f>
        <v/>
      </c>
      <c r="B768" s="29"/>
      <c r="C768" s="29"/>
      <c r="D768" s="29"/>
      <c r="E768" s="29"/>
      <c r="F768" s="30"/>
      <c r="G768" s="29"/>
      <c r="H768" s="30"/>
      <c r="I768" s="29"/>
      <c r="J768" s="31"/>
      <c r="K768" s="31"/>
      <c r="L768" s="30"/>
      <c r="M768" s="29"/>
      <c r="N768" s="30"/>
      <c r="O768" s="31"/>
      <c r="P768" s="32" t="str">
        <f aca="false">IF($J768="","",$J768-WEEKDAY($J768,3))</f>
        <v/>
      </c>
      <c r="Q768" s="32" t="str">
        <f aca="false">IF($J768="","",IF($K768="",$J768,$K768))</f>
        <v/>
      </c>
      <c r="R768" s="28" t="str">
        <f aca="false">IF($E768="","",IF(OR($N768&lt;&gt;"Concluída",$O768="",$J768=""),0,IF($O768&lt;=$J768,1,0)))</f>
        <v/>
      </c>
      <c r="S768" s="28" t="str">
        <f aca="false">IF($E768="","",IF(OR($N768&lt;&gt;"Concluída",$O768="",$Q768=""),0,IF($O768&lt;=$Q768,1,0)))</f>
        <v/>
      </c>
      <c r="T768" s="28" t="str">
        <f aca="false">IF(OR($J768="",$N768&lt;&gt;"Concluída",$O768=""),"",MAX(0,$O768-$J768))</f>
        <v/>
      </c>
      <c r="U768" s="33" t="str">
        <f aca="true">IF($E768="","",IF($N768="Cancelada","Cancelada",IF($N768="Concluída",IF($R768=1,"No prazo","Concluída com atraso"),IF($J768="","Na carteira",IF($J768&lt;TODAY(),"VENCIDA",IF($J768=TODAY(),"Hoje","Programada"))))))</f>
        <v/>
      </c>
    </row>
    <row r="769" customFormat="false" ht="15.75" hidden="false" customHeight="true" outlineLevel="0" collapsed="false">
      <c r="A769" s="28" t="str">
        <f aca="false">IF($E769="","",COUNTA($E$4:$E769))</f>
        <v/>
      </c>
      <c r="B769" s="34"/>
      <c r="C769" s="34"/>
      <c r="D769" s="34"/>
      <c r="E769" s="34"/>
      <c r="F769" s="35"/>
      <c r="G769" s="34"/>
      <c r="H769" s="35"/>
      <c r="I769" s="34"/>
      <c r="J769" s="36"/>
      <c r="K769" s="36"/>
      <c r="L769" s="35"/>
      <c r="M769" s="34"/>
      <c r="N769" s="35"/>
      <c r="O769" s="36"/>
      <c r="P769" s="32" t="str">
        <f aca="false">IF($J769="","",$J769-WEEKDAY($J769,3))</f>
        <v/>
      </c>
      <c r="Q769" s="32" t="str">
        <f aca="false">IF($J769="","",IF($K769="",$J769,$K769))</f>
        <v/>
      </c>
      <c r="R769" s="28" t="str">
        <f aca="false">IF($E769="","",IF(OR($N769&lt;&gt;"Concluída",$O769="",$J769=""),0,IF($O769&lt;=$J769,1,0)))</f>
        <v/>
      </c>
      <c r="S769" s="28" t="str">
        <f aca="false">IF($E769="","",IF(OR($N769&lt;&gt;"Concluída",$O769="",$Q769=""),0,IF($O769&lt;=$Q769,1,0)))</f>
        <v/>
      </c>
      <c r="T769" s="28" t="str">
        <f aca="false">IF(OR($J769="",$N769&lt;&gt;"Concluída",$O769=""),"",MAX(0,$O769-$J769))</f>
        <v/>
      </c>
      <c r="U769" s="33" t="str">
        <f aca="true">IF($E769="","",IF($N769="Cancelada","Cancelada",IF($N769="Concluída",IF($R769=1,"No prazo","Concluída com atraso"),IF($J769="","Na carteira",IF($J769&lt;TODAY(),"VENCIDA",IF($J769=TODAY(),"Hoje","Programada"))))))</f>
        <v/>
      </c>
    </row>
    <row r="770" customFormat="false" ht="15.75" hidden="false" customHeight="true" outlineLevel="0" collapsed="false">
      <c r="A770" s="28" t="str">
        <f aca="false">IF($E770="","",COUNTA($E$4:$E770))</f>
        <v/>
      </c>
      <c r="B770" s="29"/>
      <c r="C770" s="29"/>
      <c r="D770" s="29"/>
      <c r="E770" s="29"/>
      <c r="F770" s="30"/>
      <c r="G770" s="29"/>
      <c r="H770" s="30"/>
      <c r="I770" s="29"/>
      <c r="J770" s="31"/>
      <c r="K770" s="31"/>
      <c r="L770" s="30"/>
      <c r="M770" s="29"/>
      <c r="N770" s="30"/>
      <c r="O770" s="31"/>
      <c r="P770" s="32" t="str">
        <f aca="false">IF($J770="","",$J770-WEEKDAY($J770,3))</f>
        <v/>
      </c>
      <c r="Q770" s="32" t="str">
        <f aca="false">IF($J770="","",IF($K770="",$J770,$K770))</f>
        <v/>
      </c>
      <c r="R770" s="28" t="str">
        <f aca="false">IF($E770="","",IF(OR($N770&lt;&gt;"Concluída",$O770="",$J770=""),0,IF($O770&lt;=$J770,1,0)))</f>
        <v/>
      </c>
      <c r="S770" s="28" t="str">
        <f aca="false">IF($E770="","",IF(OR($N770&lt;&gt;"Concluída",$O770="",$Q770=""),0,IF($O770&lt;=$Q770,1,0)))</f>
        <v/>
      </c>
      <c r="T770" s="28" t="str">
        <f aca="false">IF(OR($J770="",$N770&lt;&gt;"Concluída",$O770=""),"",MAX(0,$O770-$J770))</f>
        <v/>
      </c>
      <c r="U770" s="33" t="str">
        <f aca="true">IF($E770="","",IF($N770="Cancelada","Cancelada",IF($N770="Concluída",IF($R770=1,"No prazo","Concluída com atraso"),IF($J770="","Na carteira",IF($J770&lt;TODAY(),"VENCIDA",IF($J770=TODAY(),"Hoje","Programada"))))))</f>
        <v/>
      </c>
    </row>
    <row r="771" customFormat="false" ht="15.75" hidden="false" customHeight="true" outlineLevel="0" collapsed="false">
      <c r="A771" s="28" t="str">
        <f aca="false">IF($E771="","",COUNTA($E$4:$E771))</f>
        <v/>
      </c>
      <c r="B771" s="34"/>
      <c r="C771" s="34"/>
      <c r="D771" s="34"/>
      <c r="E771" s="34"/>
      <c r="F771" s="35"/>
      <c r="G771" s="34"/>
      <c r="H771" s="35"/>
      <c r="I771" s="34"/>
      <c r="J771" s="36"/>
      <c r="K771" s="36"/>
      <c r="L771" s="35"/>
      <c r="M771" s="34"/>
      <c r="N771" s="35"/>
      <c r="O771" s="36"/>
      <c r="P771" s="32" t="str">
        <f aca="false">IF($J771="","",$J771-WEEKDAY($J771,3))</f>
        <v/>
      </c>
      <c r="Q771" s="32" t="str">
        <f aca="false">IF($J771="","",IF($K771="",$J771,$K771))</f>
        <v/>
      </c>
      <c r="R771" s="28" t="str">
        <f aca="false">IF($E771="","",IF(OR($N771&lt;&gt;"Concluída",$O771="",$J771=""),0,IF($O771&lt;=$J771,1,0)))</f>
        <v/>
      </c>
      <c r="S771" s="28" t="str">
        <f aca="false">IF($E771="","",IF(OR($N771&lt;&gt;"Concluída",$O771="",$Q771=""),0,IF($O771&lt;=$Q771,1,0)))</f>
        <v/>
      </c>
      <c r="T771" s="28" t="str">
        <f aca="false">IF(OR($J771="",$N771&lt;&gt;"Concluída",$O771=""),"",MAX(0,$O771-$J771))</f>
        <v/>
      </c>
      <c r="U771" s="33" t="str">
        <f aca="true">IF($E771="","",IF($N771="Cancelada","Cancelada",IF($N771="Concluída",IF($R771=1,"No prazo","Concluída com atraso"),IF($J771="","Na carteira",IF($J771&lt;TODAY(),"VENCIDA",IF($J771=TODAY(),"Hoje","Programada"))))))</f>
        <v/>
      </c>
    </row>
    <row r="772" customFormat="false" ht="15.75" hidden="false" customHeight="true" outlineLevel="0" collapsed="false">
      <c r="A772" s="28" t="str">
        <f aca="false">IF($E772="","",COUNTA($E$4:$E772))</f>
        <v/>
      </c>
      <c r="B772" s="29"/>
      <c r="C772" s="29"/>
      <c r="D772" s="29"/>
      <c r="E772" s="29"/>
      <c r="F772" s="30"/>
      <c r="G772" s="29"/>
      <c r="H772" s="30"/>
      <c r="I772" s="29"/>
      <c r="J772" s="31"/>
      <c r="K772" s="31"/>
      <c r="L772" s="30"/>
      <c r="M772" s="29"/>
      <c r="N772" s="30"/>
      <c r="O772" s="31"/>
      <c r="P772" s="32" t="str">
        <f aca="false">IF($J772="","",$J772-WEEKDAY($J772,3))</f>
        <v/>
      </c>
      <c r="Q772" s="32" t="str">
        <f aca="false">IF($J772="","",IF($K772="",$J772,$K772))</f>
        <v/>
      </c>
      <c r="R772" s="28" t="str">
        <f aca="false">IF($E772="","",IF(OR($N772&lt;&gt;"Concluída",$O772="",$J772=""),0,IF($O772&lt;=$J772,1,0)))</f>
        <v/>
      </c>
      <c r="S772" s="28" t="str">
        <f aca="false">IF($E772="","",IF(OR($N772&lt;&gt;"Concluída",$O772="",$Q772=""),0,IF($O772&lt;=$Q772,1,0)))</f>
        <v/>
      </c>
      <c r="T772" s="28" t="str">
        <f aca="false">IF(OR($J772="",$N772&lt;&gt;"Concluída",$O772=""),"",MAX(0,$O772-$J772))</f>
        <v/>
      </c>
      <c r="U772" s="33" t="str">
        <f aca="true">IF($E772="","",IF($N772="Cancelada","Cancelada",IF($N772="Concluída",IF($R772=1,"No prazo","Concluída com atraso"),IF($J772="","Na carteira",IF($J772&lt;TODAY(),"VENCIDA",IF($J772=TODAY(),"Hoje","Programada"))))))</f>
        <v/>
      </c>
    </row>
    <row r="773" customFormat="false" ht="15.75" hidden="false" customHeight="true" outlineLevel="0" collapsed="false">
      <c r="A773" s="28" t="str">
        <f aca="false">IF($E773="","",COUNTA($E$4:$E773))</f>
        <v/>
      </c>
      <c r="B773" s="34"/>
      <c r="C773" s="34"/>
      <c r="D773" s="34"/>
      <c r="E773" s="34"/>
      <c r="F773" s="35"/>
      <c r="G773" s="34"/>
      <c r="H773" s="35"/>
      <c r="I773" s="34"/>
      <c r="J773" s="36"/>
      <c r="K773" s="36"/>
      <c r="L773" s="35"/>
      <c r="M773" s="34"/>
      <c r="N773" s="35"/>
      <c r="O773" s="36"/>
      <c r="P773" s="32" t="str">
        <f aca="false">IF($J773="","",$J773-WEEKDAY($J773,3))</f>
        <v/>
      </c>
      <c r="Q773" s="32" t="str">
        <f aca="false">IF($J773="","",IF($K773="",$J773,$K773))</f>
        <v/>
      </c>
      <c r="R773" s="28" t="str">
        <f aca="false">IF($E773="","",IF(OR($N773&lt;&gt;"Concluída",$O773="",$J773=""),0,IF($O773&lt;=$J773,1,0)))</f>
        <v/>
      </c>
      <c r="S773" s="28" t="str">
        <f aca="false">IF($E773="","",IF(OR($N773&lt;&gt;"Concluída",$O773="",$Q773=""),0,IF($O773&lt;=$Q773,1,0)))</f>
        <v/>
      </c>
      <c r="T773" s="28" t="str">
        <f aca="false">IF(OR($J773="",$N773&lt;&gt;"Concluída",$O773=""),"",MAX(0,$O773-$J773))</f>
        <v/>
      </c>
      <c r="U773" s="33" t="str">
        <f aca="true">IF($E773="","",IF($N773="Cancelada","Cancelada",IF($N773="Concluída",IF($R773=1,"No prazo","Concluída com atraso"),IF($J773="","Na carteira",IF($J773&lt;TODAY(),"VENCIDA",IF($J773=TODAY(),"Hoje","Programada"))))))</f>
        <v/>
      </c>
    </row>
    <row r="774" customFormat="false" ht="15.75" hidden="false" customHeight="true" outlineLevel="0" collapsed="false">
      <c r="A774" s="28" t="str">
        <f aca="false">IF($E774="","",COUNTA($E$4:$E774))</f>
        <v/>
      </c>
      <c r="B774" s="29"/>
      <c r="C774" s="29"/>
      <c r="D774" s="29"/>
      <c r="E774" s="29"/>
      <c r="F774" s="30"/>
      <c r="G774" s="29"/>
      <c r="H774" s="30"/>
      <c r="I774" s="29"/>
      <c r="J774" s="31"/>
      <c r="K774" s="31"/>
      <c r="L774" s="30"/>
      <c r="M774" s="29"/>
      <c r="N774" s="30"/>
      <c r="O774" s="31"/>
      <c r="P774" s="32" t="str">
        <f aca="false">IF($J774="","",$J774-WEEKDAY($J774,3))</f>
        <v/>
      </c>
      <c r="Q774" s="32" t="str">
        <f aca="false">IF($J774="","",IF($K774="",$J774,$K774))</f>
        <v/>
      </c>
      <c r="R774" s="28" t="str">
        <f aca="false">IF($E774="","",IF(OR($N774&lt;&gt;"Concluída",$O774="",$J774=""),0,IF($O774&lt;=$J774,1,0)))</f>
        <v/>
      </c>
      <c r="S774" s="28" t="str">
        <f aca="false">IF($E774="","",IF(OR($N774&lt;&gt;"Concluída",$O774="",$Q774=""),0,IF($O774&lt;=$Q774,1,0)))</f>
        <v/>
      </c>
      <c r="T774" s="28" t="str">
        <f aca="false">IF(OR($J774="",$N774&lt;&gt;"Concluída",$O774=""),"",MAX(0,$O774-$J774))</f>
        <v/>
      </c>
      <c r="U774" s="33" t="str">
        <f aca="true">IF($E774="","",IF($N774="Cancelada","Cancelada",IF($N774="Concluída",IF($R774=1,"No prazo","Concluída com atraso"),IF($J774="","Na carteira",IF($J774&lt;TODAY(),"VENCIDA",IF($J774=TODAY(),"Hoje","Programada"))))))</f>
        <v/>
      </c>
    </row>
    <row r="775" customFormat="false" ht="15.75" hidden="false" customHeight="true" outlineLevel="0" collapsed="false">
      <c r="A775" s="28" t="str">
        <f aca="false">IF($E775="","",COUNTA($E$4:$E775))</f>
        <v/>
      </c>
      <c r="B775" s="34"/>
      <c r="C775" s="34"/>
      <c r="D775" s="34"/>
      <c r="E775" s="34"/>
      <c r="F775" s="35"/>
      <c r="G775" s="34"/>
      <c r="H775" s="35"/>
      <c r="I775" s="34"/>
      <c r="J775" s="36"/>
      <c r="K775" s="36"/>
      <c r="L775" s="35"/>
      <c r="M775" s="34"/>
      <c r="N775" s="35"/>
      <c r="O775" s="36"/>
      <c r="P775" s="32" t="str">
        <f aca="false">IF($J775="","",$J775-WEEKDAY($J775,3))</f>
        <v/>
      </c>
      <c r="Q775" s="32" t="str">
        <f aca="false">IF($J775="","",IF($K775="",$J775,$K775))</f>
        <v/>
      </c>
      <c r="R775" s="28" t="str">
        <f aca="false">IF($E775="","",IF(OR($N775&lt;&gt;"Concluída",$O775="",$J775=""),0,IF($O775&lt;=$J775,1,0)))</f>
        <v/>
      </c>
      <c r="S775" s="28" t="str">
        <f aca="false">IF($E775="","",IF(OR($N775&lt;&gt;"Concluída",$O775="",$Q775=""),0,IF($O775&lt;=$Q775,1,0)))</f>
        <v/>
      </c>
      <c r="T775" s="28" t="str">
        <f aca="false">IF(OR($J775="",$N775&lt;&gt;"Concluída",$O775=""),"",MAX(0,$O775-$J775))</f>
        <v/>
      </c>
      <c r="U775" s="33" t="str">
        <f aca="true">IF($E775="","",IF($N775="Cancelada","Cancelada",IF($N775="Concluída",IF($R775=1,"No prazo","Concluída com atraso"),IF($J775="","Na carteira",IF($J775&lt;TODAY(),"VENCIDA",IF($J775=TODAY(),"Hoje","Programada"))))))</f>
        <v/>
      </c>
    </row>
    <row r="776" customFormat="false" ht="15.75" hidden="false" customHeight="true" outlineLevel="0" collapsed="false">
      <c r="A776" s="28" t="str">
        <f aca="false">IF($E776="","",COUNTA($E$4:$E776))</f>
        <v/>
      </c>
      <c r="B776" s="29"/>
      <c r="C776" s="29"/>
      <c r="D776" s="29"/>
      <c r="E776" s="29"/>
      <c r="F776" s="30"/>
      <c r="G776" s="29"/>
      <c r="H776" s="30"/>
      <c r="I776" s="29"/>
      <c r="J776" s="31"/>
      <c r="K776" s="31"/>
      <c r="L776" s="30"/>
      <c r="M776" s="29"/>
      <c r="N776" s="30"/>
      <c r="O776" s="31"/>
      <c r="P776" s="32" t="str">
        <f aca="false">IF($J776="","",$J776-WEEKDAY($J776,3))</f>
        <v/>
      </c>
      <c r="Q776" s="32" t="str">
        <f aca="false">IF($J776="","",IF($K776="",$J776,$K776))</f>
        <v/>
      </c>
      <c r="R776" s="28" t="str">
        <f aca="false">IF($E776="","",IF(OR($N776&lt;&gt;"Concluída",$O776="",$J776=""),0,IF($O776&lt;=$J776,1,0)))</f>
        <v/>
      </c>
      <c r="S776" s="28" t="str">
        <f aca="false">IF($E776="","",IF(OR($N776&lt;&gt;"Concluída",$O776="",$Q776=""),0,IF($O776&lt;=$Q776,1,0)))</f>
        <v/>
      </c>
      <c r="T776" s="28" t="str">
        <f aca="false">IF(OR($J776="",$N776&lt;&gt;"Concluída",$O776=""),"",MAX(0,$O776-$J776))</f>
        <v/>
      </c>
      <c r="U776" s="33" t="str">
        <f aca="true">IF($E776="","",IF($N776="Cancelada","Cancelada",IF($N776="Concluída",IF($R776=1,"No prazo","Concluída com atraso"),IF($J776="","Na carteira",IF($J776&lt;TODAY(),"VENCIDA",IF($J776=TODAY(),"Hoje","Programada"))))))</f>
        <v/>
      </c>
    </row>
    <row r="777" customFormat="false" ht="15.75" hidden="false" customHeight="true" outlineLevel="0" collapsed="false">
      <c r="A777" s="28" t="str">
        <f aca="false">IF($E777="","",COUNTA($E$4:$E777))</f>
        <v/>
      </c>
      <c r="B777" s="34"/>
      <c r="C777" s="34"/>
      <c r="D777" s="34"/>
      <c r="E777" s="34"/>
      <c r="F777" s="35"/>
      <c r="G777" s="34"/>
      <c r="H777" s="35"/>
      <c r="I777" s="34"/>
      <c r="J777" s="36"/>
      <c r="K777" s="36"/>
      <c r="L777" s="35"/>
      <c r="M777" s="34"/>
      <c r="N777" s="35"/>
      <c r="O777" s="36"/>
      <c r="P777" s="32" t="str">
        <f aca="false">IF($J777="","",$J777-WEEKDAY($J777,3))</f>
        <v/>
      </c>
      <c r="Q777" s="32" t="str">
        <f aca="false">IF($J777="","",IF($K777="",$J777,$K777))</f>
        <v/>
      </c>
      <c r="R777" s="28" t="str">
        <f aca="false">IF($E777="","",IF(OR($N777&lt;&gt;"Concluída",$O777="",$J777=""),0,IF($O777&lt;=$J777,1,0)))</f>
        <v/>
      </c>
      <c r="S777" s="28" t="str">
        <f aca="false">IF($E777="","",IF(OR($N777&lt;&gt;"Concluída",$O777="",$Q777=""),0,IF($O777&lt;=$Q777,1,0)))</f>
        <v/>
      </c>
      <c r="T777" s="28" t="str">
        <f aca="false">IF(OR($J777="",$N777&lt;&gt;"Concluída",$O777=""),"",MAX(0,$O777-$J777))</f>
        <v/>
      </c>
      <c r="U777" s="33" t="str">
        <f aca="true">IF($E777="","",IF($N777="Cancelada","Cancelada",IF($N777="Concluída",IF($R777=1,"No prazo","Concluída com atraso"),IF($J777="","Na carteira",IF($J777&lt;TODAY(),"VENCIDA",IF($J777=TODAY(),"Hoje","Programada"))))))</f>
        <v/>
      </c>
    </row>
    <row r="778" customFormat="false" ht="15.75" hidden="false" customHeight="true" outlineLevel="0" collapsed="false">
      <c r="A778" s="28" t="str">
        <f aca="false">IF($E778="","",COUNTA($E$4:$E778))</f>
        <v/>
      </c>
      <c r="B778" s="29"/>
      <c r="C778" s="29"/>
      <c r="D778" s="29"/>
      <c r="E778" s="29"/>
      <c r="F778" s="30"/>
      <c r="G778" s="29"/>
      <c r="H778" s="30"/>
      <c r="I778" s="29"/>
      <c r="J778" s="31"/>
      <c r="K778" s="31"/>
      <c r="L778" s="30"/>
      <c r="M778" s="29"/>
      <c r="N778" s="30"/>
      <c r="O778" s="31"/>
      <c r="P778" s="32" t="str">
        <f aca="false">IF($J778="","",$J778-WEEKDAY($J778,3))</f>
        <v/>
      </c>
      <c r="Q778" s="32" t="str">
        <f aca="false">IF($J778="","",IF($K778="",$J778,$K778))</f>
        <v/>
      </c>
      <c r="R778" s="28" t="str">
        <f aca="false">IF($E778="","",IF(OR($N778&lt;&gt;"Concluída",$O778="",$J778=""),0,IF($O778&lt;=$J778,1,0)))</f>
        <v/>
      </c>
      <c r="S778" s="28" t="str">
        <f aca="false">IF($E778="","",IF(OR($N778&lt;&gt;"Concluída",$O778="",$Q778=""),0,IF($O778&lt;=$Q778,1,0)))</f>
        <v/>
      </c>
      <c r="T778" s="28" t="str">
        <f aca="false">IF(OR($J778="",$N778&lt;&gt;"Concluída",$O778=""),"",MAX(0,$O778-$J778))</f>
        <v/>
      </c>
      <c r="U778" s="33" t="str">
        <f aca="true">IF($E778="","",IF($N778="Cancelada","Cancelada",IF($N778="Concluída",IF($R778=1,"No prazo","Concluída com atraso"),IF($J778="","Na carteira",IF($J778&lt;TODAY(),"VENCIDA",IF($J778=TODAY(),"Hoje","Programada"))))))</f>
        <v/>
      </c>
    </row>
    <row r="779" customFormat="false" ht="15.75" hidden="false" customHeight="true" outlineLevel="0" collapsed="false">
      <c r="A779" s="28" t="str">
        <f aca="false">IF($E779="","",COUNTA($E$4:$E779))</f>
        <v/>
      </c>
      <c r="B779" s="34"/>
      <c r="C779" s="34"/>
      <c r="D779" s="34"/>
      <c r="E779" s="34"/>
      <c r="F779" s="35"/>
      <c r="G779" s="34"/>
      <c r="H779" s="35"/>
      <c r="I779" s="34"/>
      <c r="J779" s="36"/>
      <c r="K779" s="36"/>
      <c r="L779" s="35"/>
      <c r="M779" s="34"/>
      <c r="N779" s="35"/>
      <c r="O779" s="36"/>
      <c r="P779" s="32" t="str">
        <f aca="false">IF($J779="","",$J779-WEEKDAY($J779,3))</f>
        <v/>
      </c>
      <c r="Q779" s="32" t="str">
        <f aca="false">IF($J779="","",IF($K779="",$J779,$K779))</f>
        <v/>
      </c>
      <c r="R779" s="28" t="str">
        <f aca="false">IF($E779="","",IF(OR($N779&lt;&gt;"Concluída",$O779="",$J779=""),0,IF($O779&lt;=$J779,1,0)))</f>
        <v/>
      </c>
      <c r="S779" s="28" t="str">
        <f aca="false">IF($E779="","",IF(OR($N779&lt;&gt;"Concluída",$O779="",$Q779=""),0,IF($O779&lt;=$Q779,1,0)))</f>
        <v/>
      </c>
      <c r="T779" s="28" t="str">
        <f aca="false">IF(OR($J779="",$N779&lt;&gt;"Concluída",$O779=""),"",MAX(0,$O779-$J779))</f>
        <v/>
      </c>
      <c r="U779" s="33" t="str">
        <f aca="true">IF($E779="","",IF($N779="Cancelada","Cancelada",IF($N779="Concluída",IF($R779=1,"No prazo","Concluída com atraso"),IF($J779="","Na carteira",IF($J779&lt;TODAY(),"VENCIDA",IF($J779=TODAY(),"Hoje","Programada"))))))</f>
        <v/>
      </c>
    </row>
    <row r="780" customFormat="false" ht="15.75" hidden="false" customHeight="true" outlineLevel="0" collapsed="false">
      <c r="A780" s="28" t="str">
        <f aca="false">IF($E780="","",COUNTA($E$4:$E780))</f>
        <v/>
      </c>
      <c r="B780" s="29"/>
      <c r="C780" s="29"/>
      <c r="D780" s="29"/>
      <c r="E780" s="29"/>
      <c r="F780" s="30"/>
      <c r="G780" s="29"/>
      <c r="H780" s="30"/>
      <c r="I780" s="29"/>
      <c r="J780" s="31"/>
      <c r="K780" s="31"/>
      <c r="L780" s="30"/>
      <c r="M780" s="29"/>
      <c r="N780" s="30"/>
      <c r="O780" s="31"/>
      <c r="P780" s="32" t="str">
        <f aca="false">IF($J780="","",$J780-WEEKDAY($J780,3))</f>
        <v/>
      </c>
      <c r="Q780" s="32" t="str">
        <f aca="false">IF($J780="","",IF($K780="",$J780,$K780))</f>
        <v/>
      </c>
      <c r="R780" s="28" t="str">
        <f aca="false">IF($E780="","",IF(OR($N780&lt;&gt;"Concluída",$O780="",$J780=""),0,IF($O780&lt;=$J780,1,0)))</f>
        <v/>
      </c>
      <c r="S780" s="28" t="str">
        <f aca="false">IF($E780="","",IF(OR($N780&lt;&gt;"Concluída",$O780="",$Q780=""),0,IF($O780&lt;=$Q780,1,0)))</f>
        <v/>
      </c>
      <c r="T780" s="28" t="str">
        <f aca="false">IF(OR($J780="",$N780&lt;&gt;"Concluída",$O780=""),"",MAX(0,$O780-$J780))</f>
        <v/>
      </c>
      <c r="U780" s="33" t="str">
        <f aca="true">IF($E780="","",IF($N780="Cancelada","Cancelada",IF($N780="Concluída",IF($R780=1,"No prazo","Concluída com atraso"),IF($J780="","Na carteira",IF($J780&lt;TODAY(),"VENCIDA",IF($J780=TODAY(),"Hoje","Programada"))))))</f>
        <v/>
      </c>
    </row>
    <row r="781" customFormat="false" ht="15.75" hidden="false" customHeight="true" outlineLevel="0" collapsed="false">
      <c r="A781" s="28" t="str">
        <f aca="false">IF($E781="","",COUNTA($E$4:$E781))</f>
        <v/>
      </c>
      <c r="B781" s="34"/>
      <c r="C781" s="34"/>
      <c r="D781" s="34"/>
      <c r="E781" s="34"/>
      <c r="F781" s="35"/>
      <c r="G781" s="34"/>
      <c r="H781" s="35"/>
      <c r="I781" s="34"/>
      <c r="J781" s="36"/>
      <c r="K781" s="36"/>
      <c r="L781" s="35"/>
      <c r="M781" s="34"/>
      <c r="N781" s="35"/>
      <c r="O781" s="36"/>
      <c r="P781" s="32" t="str">
        <f aca="false">IF($J781="","",$J781-WEEKDAY($J781,3))</f>
        <v/>
      </c>
      <c r="Q781" s="32" t="str">
        <f aca="false">IF($J781="","",IF($K781="",$J781,$K781))</f>
        <v/>
      </c>
      <c r="R781" s="28" t="str">
        <f aca="false">IF($E781="","",IF(OR($N781&lt;&gt;"Concluída",$O781="",$J781=""),0,IF($O781&lt;=$J781,1,0)))</f>
        <v/>
      </c>
      <c r="S781" s="28" t="str">
        <f aca="false">IF($E781="","",IF(OR($N781&lt;&gt;"Concluída",$O781="",$Q781=""),0,IF($O781&lt;=$Q781,1,0)))</f>
        <v/>
      </c>
      <c r="T781" s="28" t="str">
        <f aca="false">IF(OR($J781="",$N781&lt;&gt;"Concluída",$O781=""),"",MAX(0,$O781-$J781))</f>
        <v/>
      </c>
      <c r="U781" s="33" t="str">
        <f aca="true">IF($E781="","",IF($N781="Cancelada","Cancelada",IF($N781="Concluída",IF($R781=1,"No prazo","Concluída com atraso"),IF($J781="","Na carteira",IF($J781&lt;TODAY(),"VENCIDA",IF($J781=TODAY(),"Hoje","Programada"))))))</f>
        <v/>
      </c>
    </row>
    <row r="782" customFormat="false" ht="15.75" hidden="false" customHeight="true" outlineLevel="0" collapsed="false">
      <c r="A782" s="28" t="str">
        <f aca="false">IF($E782="","",COUNTA($E$4:$E782))</f>
        <v/>
      </c>
      <c r="B782" s="29"/>
      <c r="C782" s="29"/>
      <c r="D782" s="29"/>
      <c r="E782" s="29"/>
      <c r="F782" s="30"/>
      <c r="G782" s="29"/>
      <c r="H782" s="30"/>
      <c r="I782" s="29"/>
      <c r="J782" s="31"/>
      <c r="K782" s="31"/>
      <c r="L782" s="30"/>
      <c r="M782" s="29"/>
      <c r="N782" s="30"/>
      <c r="O782" s="31"/>
      <c r="P782" s="32" t="str">
        <f aca="false">IF($J782="","",$J782-WEEKDAY($J782,3))</f>
        <v/>
      </c>
      <c r="Q782" s="32" t="str">
        <f aca="false">IF($J782="","",IF($K782="",$J782,$K782))</f>
        <v/>
      </c>
      <c r="R782" s="28" t="str">
        <f aca="false">IF($E782="","",IF(OR($N782&lt;&gt;"Concluída",$O782="",$J782=""),0,IF($O782&lt;=$J782,1,0)))</f>
        <v/>
      </c>
      <c r="S782" s="28" t="str">
        <f aca="false">IF($E782="","",IF(OR($N782&lt;&gt;"Concluída",$O782="",$Q782=""),0,IF($O782&lt;=$Q782,1,0)))</f>
        <v/>
      </c>
      <c r="T782" s="28" t="str">
        <f aca="false">IF(OR($J782="",$N782&lt;&gt;"Concluída",$O782=""),"",MAX(0,$O782-$J782))</f>
        <v/>
      </c>
      <c r="U782" s="33" t="str">
        <f aca="true">IF($E782="","",IF($N782="Cancelada","Cancelada",IF($N782="Concluída",IF($R782=1,"No prazo","Concluída com atraso"),IF($J782="","Na carteira",IF($J782&lt;TODAY(),"VENCIDA",IF($J782=TODAY(),"Hoje","Programada"))))))</f>
        <v/>
      </c>
    </row>
    <row r="783" customFormat="false" ht="15.75" hidden="false" customHeight="true" outlineLevel="0" collapsed="false">
      <c r="A783" s="28" t="str">
        <f aca="false">IF($E783="","",COUNTA($E$4:$E783))</f>
        <v/>
      </c>
      <c r="B783" s="34"/>
      <c r="C783" s="34"/>
      <c r="D783" s="34"/>
      <c r="E783" s="34"/>
      <c r="F783" s="35"/>
      <c r="G783" s="34"/>
      <c r="H783" s="35"/>
      <c r="I783" s="34"/>
      <c r="J783" s="36"/>
      <c r="K783" s="36"/>
      <c r="L783" s="35"/>
      <c r="M783" s="34"/>
      <c r="N783" s="35"/>
      <c r="O783" s="36"/>
      <c r="P783" s="32" t="str">
        <f aca="false">IF($J783="","",$J783-WEEKDAY($J783,3))</f>
        <v/>
      </c>
      <c r="Q783" s="32" t="str">
        <f aca="false">IF($J783="","",IF($K783="",$J783,$K783))</f>
        <v/>
      </c>
      <c r="R783" s="28" t="str">
        <f aca="false">IF($E783="","",IF(OR($N783&lt;&gt;"Concluída",$O783="",$J783=""),0,IF($O783&lt;=$J783,1,0)))</f>
        <v/>
      </c>
      <c r="S783" s="28" t="str">
        <f aca="false">IF($E783="","",IF(OR($N783&lt;&gt;"Concluída",$O783="",$Q783=""),0,IF($O783&lt;=$Q783,1,0)))</f>
        <v/>
      </c>
      <c r="T783" s="28" t="str">
        <f aca="false">IF(OR($J783="",$N783&lt;&gt;"Concluída",$O783=""),"",MAX(0,$O783-$J783))</f>
        <v/>
      </c>
      <c r="U783" s="33" t="str">
        <f aca="true">IF($E783="","",IF($N783="Cancelada","Cancelada",IF($N783="Concluída",IF($R783=1,"No prazo","Concluída com atraso"),IF($J783="","Na carteira",IF($J783&lt;TODAY(),"VENCIDA",IF($J783=TODAY(),"Hoje","Programada"))))))</f>
        <v/>
      </c>
    </row>
    <row r="784" customFormat="false" ht="15.75" hidden="false" customHeight="true" outlineLevel="0" collapsed="false">
      <c r="A784" s="28" t="str">
        <f aca="false">IF($E784="","",COUNTA($E$4:$E784))</f>
        <v/>
      </c>
      <c r="B784" s="29"/>
      <c r="C784" s="29"/>
      <c r="D784" s="29"/>
      <c r="E784" s="29"/>
      <c r="F784" s="30"/>
      <c r="G784" s="29"/>
      <c r="H784" s="30"/>
      <c r="I784" s="29"/>
      <c r="J784" s="31"/>
      <c r="K784" s="31"/>
      <c r="L784" s="30"/>
      <c r="M784" s="29"/>
      <c r="N784" s="30"/>
      <c r="O784" s="31"/>
      <c r="P784" s="32" t="str">
        <f aca="false">IF($J784="","",$J784-WEEKDAY($J784,3))</f>
        <v/>
      </c>
      <c r="Q784" s="32" t="str">
        <f aca="false">IF($J784="","",IF($K784="",$J784,$K784))</f>
        <v/>
      </c>
      <c r="R784" s="28" t="str">
        <f aca="false">IF($E784="","",IF(OR($N784&lt;&gt;"Concluída",$O784="",$J784=""),0,IF($O784&lt;=$J784,1,0)))</f>
        <v/>
      </c>
      <c r="S784" s="28" t="str">
        <f aca="false">IF($E784="","",IF(OR($N784&lt;&gt;"Concluída",$O784="",$Q784=""),0,IF($O784&lt;=$Q784,1,0)))</f>
        <v/>
      </c>
      <c r="T784" s="28" t="str">
        <f aca="false">IF(OR($J784="",$N784&lt;&gt;"Concluída",$O784=""),"",MAX(0,$O784-$J784))</f>
        <v/>
      </c>
      <c r="U784" s="33" t="str">
        <f aca="true">IF($E784="","",IF($N784="Cancelada","Cancelada",IF($N784="Concluída",IF($R784=1,"No prazo","Concluída com atraso"),IF($J784="","Na carteira",IF($J784&lt;TODAY(),"VENCIDA",IF($J784=TODAY(),"Hoje","Programada"))))))</f>
        <v/>
      </c>
    </row>
    <row r="785" customFormat="false" ht="15.75" hidden="false" customHeight="true" outlineLevel="0" collapsed="false">
      <c r="A785" s="28" t="str">
        <f aca="false">IF($E785="","",COUNTA($E$4:$E785))</f>
        <v/>
      </c>
      <c r="B785" s="34"/>
      <c r="C785" s="34"/>
      <c r="D785" s="34"/>
      <c r="E785" s="34"/>
      <c r="F785" s="35"/>
      <c r="G785" s="34"/>
      <c r="H785" s="35"/>
      <c r="I785" s="34"/>
      <c r="J785" s="36"/>
      <c r="K785" s="36"/>
      <c r="L785" s="35"/>
      <c r="M785" s="34"/>
      <c r="N785" s="35"/>
      <c r="O785" s="36"/>
      <c r="P785" s="32" t="str">
        <f aca="false">IF($J785="","",$J785-WEEKDAY($J785,3))</f>
        <v/>
      </c>
      <c r="Q785" s="32" t="str">
        <f aca="false">IF($J785="","",IF($K785="",$J785,$K785))</f>
        <v/>
      </c>
      <c r="R785" s="28" t="str">
        <f aca="false">IF($E785="","",IF(OR($N785&lt;&gt;"Concluída",$O785="",$J785=""),0,IF($O785&lt;=$J785,1,0)))</f>
        <v/>
      </c>
      <c r="S785" s="28" t="str">
        <f aca="false">IF($E785="","",IF(OR($N785&lt;&gt;"Concluída",$O785="",$Q785=""),0,IF($O785&lt;=$Q785,1,0)))</f>
        <v/>
      </c>
      <c r="T785" s="28" t="str">
        <f aca="false">IF(OR($J785="",$N785&lt;&gt;"Concluída",$O785=""),"",MAX(0,$O785-$J785))</f>
        <v/>
      </c>
      <c r="U785" s="33" t="str">
        <f aca="true">IF($E785="","",IF($N785="Cancelada","Cancelada",IF($N785="Concluída",IF($R785=1,"No prazo","Concluída com atraso"),IF($J785="","Na carteira",IF($J785&lt;TODAY(),"VENCIDA",IF($J785=TODAY(),"Hoje","Programada"))))))</f>
        <v/>
      </c>
    </row>
    <row r="786" customFormat="false" ht="15.75" hidden="false" customHeight="true" outlineLevel="0" collapsed="false">
      <c r="A786" s="28" t="str">
        <f aca="false">IF($E786="","",COUNTA($E$4:$E786))</f>
        <v/>
      </c>
      <c r="B786" s="29"/>
      <c r="C786" s="29"/>
      <c r="D786" s="29"/>
      <c r="E786" s="29"/>
      <c r="F786" s="30"/>
      <c r="G786" s="29"/>
      <c r="H786" s="30"/>
      <c r="I786" s="29"/>
      <c r="J786" s="31"/>
      <c r="K786" s="31"/>
      <c r="L786" s="30"/>
      <c r="M786" s="29"/>
      <c r="N786" s="30"/>
      <c r="O786" s="31"/>
      <c r="P786" s="32" t="str">
        <f aca="false">IF($J786="","",$J786-WEEKDAY($J786,3))</f>
        <v/>
      </c>
      <c r="Q786" s="32" t="str">
        <f aca="false">IF($J786="","",IF($K786="",$J786,$K786))</f>
        <v/>
      </c>
      <c r="R786" s="28" t="str">
        <f aca="false">IF($E786="","",IF(OR($N786&lt;&gt;"Concluída",$O786="",$J786=""),0,IF($O786&lt;=$J786,1,0)))</f>
        <v/>
      </c>
      <c r="S786" s="28" t="str">
        <f aca="false">IF($E786="","",IF(OR($N786&lt;&gt;"Concluída",$O786="",$Q786=""),0,IF($O786&lt;=$Q786,1,0)))</f>
        <v/>
      </c>
      <c r="T786" s="28" t="str">
        <f aca="false">IF(OR($J786="",$N786&lt;&gt;"Concluída",$O786=""),"",MAX(0,$O786-$J786))</f>
        <v/>
      </c>
      <c r="U786" s="33" t="str">
        <f aca="true">IF($E786="","",IF($N786="Cancelada","Cancelada",IF($N786="Concluída",IF($R786=1,"No prazo","Concluída com atraso"),IF($J786="","Na carteira",IF($J786&lt;TODAY(),"VENCIDA",IF($J786=TODAY(),"Hoje","Programada"))))))</f>
        <v/>
      </c>
    </row>
    <row r="787" customFormat="false" ht="15.75" hidden="false" customHeight="true" outlineLevel="0" collapsed="false">
      <c r="A787" s="28" t="str">
        <f aca="false">IF($E787="","",COUNTA($E$4:$E787))</f>
        <v/>
      </c>
      <c r="B787" s="34"/>
      <c r="C787" s="34"/>
      <c r="D787" s="34"/>
      <c r="E787" s="34"/>
      <c r="F787" s="35"/>
      <c r="G787" s="34"/>
      <c r="H787" s="35"/>
      <c r="I787" s="34"/>
      <c r="J787" s="36"/>
      <c r="K787" s="36"/>
      <c r="L787" s="35"/>
      <c r="M787" s="34"/>
      <c r="N787" s="35"/>
      <c r="O787" s="36"/>
      <c r="P787" s="32" t="str">
        <f aca="false">IF($J787="","",$J787-WEEKDAY($J787,3))</f>
        <v/>
      </c>
      <c r="Q787" s="32" t="str">
        <f aca="false">IF($J787="","",IF($K787="",$J787,$K787))</f>
        <v/>
      </c>
      <c r="R787" s="28" t="str">
        <f aca="false">IF($E787="","",IF(OR($N787&lt;&gt;"Concluída",$O787="",$J787=""),0,IF($O787&lt;=$J787,1,0)))</f>
        <v/>
      </c>
      <c r="S787" s="28" t="str">
        <f aca="false">IF($E787="","",IF(OR($N787&lt;&gt;"Concluída",$O787="",$Q787=""),0,IF($O787&lt;=$Q787,1,0)))</f>
        <v/>
      </c>
      <c r="T787" s="28" t="str">
        <f aca="false">IF(OR($J787="",$N787&lt;&gt;"Concluída",$O787=""),"",MAX(0,$O787-$J787))</f>
        <v/>
      </c>
      <c r="U787" s="33" t="str">
        <f aca="true">IF($E787="","",IF($N787="Cancelada","Cancelada",IF($N787="Concluída",IF($R787=1,"No prazo","Concluída com atraso"),IF($J787="","Na carteira",IF($J787&lt;TODAY(),"VENCIDA",IF($J787=TODAY(),"Hoje","Programada"))))))</f>
        <v/>
      </c>
    </row>
    <row r="788" customFormat="false" ht="15.75" hidden="false" customHeight="true" outlineLevel="0" collapsed="false">
      <c r="A788" s="28" t="str">
        <f aca="false">IF($E788="","",COUNTA($E$4:$E788))</f>
        <v/>
      </c>
      <c r="B788" s="29"/>
      <c r="C788" s="29"/>
      <c r="D788" s="29"/>
      <c r="E788" s="29"/>
      <c r="F788" s="30"/>
      <c r="G788" s="29"/>
      <c r="H788" s="30"/>
      <c r="I788" s="29"/>
      <c r="J788" s="31"/>
      <c r="K788" s="31"/>
      <c r="L788" s="30"/>
      <c r="M788" s="29"/>
      <c r="N788" s="30"/>
      <c r="O788" s="31"/>
      <c r="P788" s="32" t="str">
        <f aca="false">IF($J788="","",$J788-WEEKDAY($J788,3))</f>
        <v/>
      </c>
      <c r="Q788" s="32" t="str">
        <f aca="false">IF($J788="","",IF($K788="",$J788,$K788))</f>
        <v/>
      </c>
      <c r="R788" s="28" t="str">
        <f aca="false">IF($E788="","",IF(OR($N788&lt;&gt;"Concluída",$O788="",$J788=""),0,IF($O788&lt;=$J788,1,0)))</f>
        <v/>
      </c>
      <c r="S788" s="28" t="str">
        <f aca="false">IF($E788="","",IF(OR($N788&lt;&gt;"Concluída",$O788="",$Q788=""),0,IF($O788&lt;=$Q788,1,0)))</f>
        <v/>
      </c>
      <c r="T788" s="28" t="str">
        <f aca="false">IF(OR($J788="",$N788&lt;&gt;"Concluída",$O788=""),"",MAX(0,$O788-$J788))</f>
        <v/>
      </c>
      <c r="U788" s="33" t="str">
        <f aca="true">IF($E788="","",IF($N788="Cancelada","Cancelada",IF($N788="Concluída",IF($R788=1,"No prazo","Concluída com atraso"),IF($J788="","Na carteira",IF($J788&lt;TODAY(),"VENCIDA",IF($J788=TODAY(),"Hoje","Programada"))))))</f>
        <v/>
      </c>
    </row>
    <row r="789" customFormat="false" ht="15.75" hidden="false" customHeight="true" outlineLevel="0" collapsed="false">
      <c r="A789" s="28" t="str">
        <f aca="false">IF($E789="","",COUNTA($E$4:$E789))</f>
        <v/>
      </c>
      <c r="B789" s="34"/>
      <c r="C789" s="34"/>
      <c r="D789" s="34"/>
      <c r="E789" s="34"/>
      <c r="F789" s="35"/>
      <c r="G789" s="34"/>
      <c r="H789" s="35"/>
      <c r="I789" s="34"/>
      <c r="J789" s="36"/>
      <c r="K789" s="36"/>
      <c r="L789" s="35"/>
      <c r="M789" s="34"/>
      <c r="N789" s="35"/>
      <c r="O789" s="36"/>
      <c r="P789" s="32" t="str">
        <f aca="false">IF($J789="","",$J789-WEEKDAY($J789,3))</f>
        <v/>
      </c>
      <c r="Q789" s="32" t="str">
        <f aca="false">IF($J789="","",IF($K789="",$J789,$K789))</f>
        <v/>
      </c>
      <c r="R789" s="28" t="str">
        <f aca="false">IF($E789="","",IF(OR($N789&lt;&gt;"Concluída",$O789="",$J789=""),0,IF($O789&lt;=$J789,1,0)))</f>
        <v/>
      </c>
      <c r="S789" s="28" t="str">
        <f aca="false">IF($E789="","",IF(OR($N789&lt;&gt;"Concluída",$O789="",$Q789=""),0,IF($O789&lt;=$Q789,1,0)))</f>
        <v/>
      </c>
      <c r="T789" s="28" t="str">
        <f aca="false">IF(OR($J789="",$N789&lt;&gt;"Concluída",$O789=""),"",MAX(0,$O789-$J789))</f>
        <v/>
      </c>
      <c r="U789" s="33" t="str">
        <f aca="true">IF($E789="","",IF($N789="Cancelada","Cancelada",IF($N789="Concluída",IF($R789=1,"No prazo","Concluída com atraso"),IF($J789="","Na carteira",IF($J789&lt;TODAY(),"VENCIDA",IF($J789=TODAY(),"Hoje","Programada"))))))</f>
        <v/>
      </c>
    </row>
    <row r="790" customFormat="false" ht="15.75" hidden="false" customHeight="true" outlineLevel="0" collapsed="false">
      <c r="A790" s="28" t="str">
        <f aca="false">IF($E790="","",COUNTA($E$4:$E790))</f>
        <v/>
      </c>
      <c r="B790" s="29"/>
      <c r="C790" s="29"/>
      <c r="D790" s="29"/>
      <c r="E790" s="29"/>
      <c r="F790" s="30"/>
      <c r="G790" s="29"/>
      <c r="H790" s="30"/>
      <c r="I790" s="29"/>
      <c r="J790" s="31"/>
      <c r="K790" s="31"/>
      <c r="L790" s="30"/>
      <c r="M790" s="29"/>
      <c r="N790" s="30"/>
      <c r="O790" s="31"/>
      <c r="P790" s="32" t="str">
        <f aca="false">IF($J790="","",$J790-WEEKDAY($J790,3))</f>
        <v/>
      </c>
      <c r="Q790" s="32" t="str">
        <f aca="false">IF($J790="","",IF($K790="",$J790,$K790))</f>
        <v/>
      </c>
      <c r="R790" s="28" t="str">
        <f aca="false">IF($E790="","",IF(OR($N790&lt;&gt;"Concluída",$O790="",$J790=""),0,IF($O790&lt;=$J790,1,0)))</f>
        <v/>
      </c>
      <c r="S790" s="28" t="str">
        <f aca="false">IF($E790="","",IF(OR($N790&lt;&gt;"Concluída",$O790="",$Q790=""),0,IF($O790&lt;=$Q790,1,0)))</f>
        <v/>
      </c>
      <c r="T790" s="28" t="str">
        <f aca="false">IF(OR($J790="",$N790&lt;&gt;"Concluída",$O790=""),"",MAX(0,$O790-$J790))</f>
        <v/>
      </c>
      <c r="U790" s="33" t="str">
        <f aca="true">IF($E790="","",IF($N790="Cancelada","Cancelada",IF($N790="Concluída",IF($R790=1,"No prazo","Concluída com atraso"),IF($J790="","Na carteira",IF($J790&lt;TODAY(),"VENCIDA",IF($J790=TODAY(),"Hoje","Programada"))))))</f>
        <v/>
      </c>
    </row>
    <row r="791" customFormat="false" ht="15.75" hidden="false" customHeight="true" outlineLevel="0" collapsed="false">
      <c r="A791" s="28" t="str">
        <f aca="false">IF($E791="","",COUNTA($E$4:$E791))</f>
        <v/>
      </c>
      <c r="B791" s="34"/>
      <c r="C791" s="34"/>
      <c r="D791" s="34"/>
      <c r="E791" s="34"/>
      <c r="F791" s="35"/>
      <c r="G791" s="34"/>
      <c r="H791" s="35"/>
      <c r="I791" s="34"/>
      <c r="J791" s="36"/>
      <c r="K791" s="36"/>
      <c r="L791" s="35"/>
      <c r="M791" s="34"/>
      <c r="N791" s="35"/>
      <c r="O791" s="36"/>
      <c r="P791" s="32" t="str">
        <f aca="false">IF($J791="","",$J791-WEEKDAY($J791,3))</f>
        <v/>
      </c>
      <c r="Q791" s="32" t="str">
        <f aca="false">IF($J791="","",IF($K791="",$J791,$K791))</f>
        <v/>
      </c>
      <c r="R791" s="28" t="str">
        <f aca="false">IF($E791="","",IF(OR($N791&lt;&gt;"Concluída",$O791="",$J791=""),0,IF($O791&lt;=$J791,1,0)))</f>
        <v/>
      </c>
      <c r="S791" s="28" t="str">
        <f aca="false">IF($E791="","",IF(OR($N791&lt;&gt;"Concluída",$O791="",$Q791=""),0,IF($O791&lt;=$Q791,1,0)))</f>
        <v/>
      </c>
      <c r="T791" s="28" t="str">
        <f aca="false">IF(OR($J791="",$N791&lt;&gt;"Concluída",$O791=""),"",MAX(0,$O791-$J791))</f>
        <v/>
      </c>
      <c r="U791" s="33" t="str">
        <f aca="true">IF($E791="","",IF($N791="Cancelada","Cancelada",IF($N791="Concluída",IF($R791=1,"No prazo","Concluída com atraso"),IF($J791="","Na carteira",IF($J791&lt;TODAY(),"VENCIDA",IF($J791=TODAY(),"Hoje","Programada"))))))</f>
        <v/>
      </c>
    </row>
    <row r="792" customFormat="false" ht="15.75" hidden="false" customHeight="true" outlineLevel="0" collapsed="false">
      <c r="A792" s="28" t="str">
        <f aca="false">IF($E792="","",COUNTA($E$4:$E792))</f>
        <v/>
      </c>
      <c r="B792" s="29"/>
      <c r="C792" s="29"/>
      <c r="D792" s="29"/>
      <c r="E792" s="29"/>
      <c r="F792" s="30"/>
      <c r="G792" s="29"/>
      <c r="H792" s="30"/>
      <c r="I792" s="29"/>
      <c r="J792" s="31"/>
      <c r="K792" s="31"/>
      <c r="L792" s="30"/>
      <c r="M792" s="29"/>
      <c r="N792" s="30"/>
      <c r="O792" s="31"/>
      <c r="P792" s="32" t="str">
        <f aca="false">IF($J792="","",$J792-WEEKDAY($J792,3))</f>
        <v/>
      </c>
      <c r="Q792" s="32" t="str">
        <f aca="false">IF($J792="","",IF($K792="",$J792,$K792))</f>
        <v/>
      </c>
      <c r="R792" s="28" t="str">
        <f aca="false">IF($E792="","",IF(OR($N792&lt;&gt;"Concluída",$O792="",$J792=""),0,IF($O792&lt;=$J792,1,0)))</f>
        <v/>
      </c>
      <c r="S792" s="28" t="str">
        <f aca="false">IF($E792="","",IF(OR($N792&lt;&gt;"Concluída",$O792="",$Q792=""),0,IF($O792&lt;=$Q792,1,0)))</f>
        <v/>
      </c>
      <c r="T792" s="28" t="str">
        <f aca="false">IF(OR($J792="",$N792&lt;&gt;"Concluída",$O792=""),"",MAX(0,$O792-$J792))</f>
        <v/>
      </c>
      <c r="U792" s="33" t="str">
        <f aca="true">IF($E792="","",IF($N792="Cancelada","Cancelada",IF($N792="Concluída",IF($R792=1,"No prazo","Concluída com atraso"),IF($J792="","Na carteira",IF($J792&lt;TODAY(),"VENCIDA",IF($J792=TODAY(),"Hoje","Programada"))))))</f>
        <v/>
      </c>
    </row>
    <row r="793" customFormat="false" ht="15.75" hidden="false" customHeight="true" outlineLevel="0" collapsed="false">
      <c r="A793" s="28" t="str">
        <f aca="false">IF($E793="","",COUNTA($E$4:$E793))</f>
        <v/>
      </c>
      <c r="B793" s="34"/>
      <c r="C793" s="34"/>
      <c r="D793" s="34"/>
      <c r="E793" s="34"/>
      <c r="F793" s="35"/>
      <c r="G793" s="34"/>
      <c r="H793" s="35"/>
      <c r="I793" s="34"/>
      <c r="J793" s="36"/>
      <c r="K793" s="36"/>
      <c r="L793" s="35"/>
      <c r="M793" s="34"/>
      <c r="N793" s="35"/>
      <c r="O793" s="36"/>
      <c r="P793" s="32" t="str">
        <f aca="false">IF($J793="","",$J793-WEEKDAY($J793,3))</f>
        <v/>
      </c>
      <c r="Q793" s="32" t="str">
        <f aca="false">IF($J793="","",IF($K793="",$J793,$K793))</f>
        <v/>
      </c>
      <c r="R793" s="28" t="str">
        <f aca="false">IF($E793="","",IF(OR($N793&lt;&gt;"Concluída",$O793="",$J793=""),0,IF($O793&lt;=$J793,1,0)))</f>
        <v/>
      </c>
      <c r="S793" s="28" t="str">
        <f aca="false">IF($E793="","",IF(OR($N793&lt;&gt;"Concluída",$O793="",$Q793=""),0,IF($O793&lt;=$Q793,1,0)))</f>
        <v/>
      </c>
      <c r="T793" s="28" t="str">
        <f aca="false">IF(OR($J793="",$N793&lt;&gt;"Concluída",$O793=""),"",MAX(0,$O793-$J793))</f>
        <v/>
      </c>
      <c r="U793" s="33" t="str">
        <f aca="true">IF($E793="","",IF($N793="Cancelada","Cancelada",IF($N793="Concluída",IF($R793=1,"No prazo","Concluída com atraso"),IF($J793="","Na carteira",IF($J793&lt;TODAY(),"VENCIDA",IF($J793=TODAY(),"Hoje","Programada"))))))</f>
        <v/>
      </c>
    </row>
    <row r="794" customFormat="false" ht="15.75" hidden="false" customHeight="true" outlineLevel="0" collapsed="false">
      <c r="A794" s="28" t="str">
        <f aca="false">IF($E794="","",COUNTA($E$4:$E794))</f>
        <v/>
      </c>
      <c r="B794" s="29"/>
      <c r="C794" s="29"/>
      <c r="D794" s="29"/>
      <c r="E794" s="29"/>
      <c r="F794" s="30"/>
      <c r="G794" s="29"/>
      <c r="H794" s="30"/>
      <c r="I794" s="29"/>
      <c r="J794" s="31"/>
      <c r="K794" s="31"/>
      <c r="L794" s="30"/>
      <c r="M794" s="29"/>
      <c r="N794" s="30"/>
      <c r="O794" s="31"/>
      <c r="P794" s="32" t="str">
        <f aca="false">IF($J794="","",$J794-WEEKDAY($J794,3))</f>
        <v/>
      </c>
      <c r="Q794" s="32" t="str">
        <f aca="false">IF($J794="","",IF($K794="",$J794,$K794))</f>
        <v/>
      </c>
      <c r="R794" s="28" t="str">
        <f aca="false">IF($E794="","",IF(OR($N794&lt;&gt;"Concluída",$O794="",$J794=""),0,IF($O794&lt;=$J794,1,0)))</f>
        <v/>
      </c>
      <c r="S794" s="28" t="str">
        <f aca="false">IF($E794="","",IF(OR($N794&lt;&gt;"Concluída",$O794="",$Q794=""),0,IF($O794&lt;=$Q794,1,0)))</f>
        <v/>
      </c>
      <c r="T794" s="28" t="str">
        <f aca="false">IF(OR($J794="",$N794&lt;&gt;"Concluída",$O794=""),"",MAX(0,$O794-$J794))</f>
        <v/>
      </c>
      <c r="U794" s="33" t="str">
        <f aca="true">IF($E794="","",IF($N794="Cancelada","Cancelada",IF($N794="Concluída",IF($R794=1,"No prazo","Concluída com atraso"),IF($J794="","Na carteira",IF($J794&lt;TODAY(),"VENCIDA",IF($J794=TODAY(),"Hoje","Programada"))))))</f>
        <v/>
      </c>
    </row>
    <row r="795" customFormat="false" ht="15.75" hidden="false" customHeight="true" outlineLevel="0" collapsed="false">
      <c r="A795" s="28" t="str">
        <f aca="false">IF($E795="","",COUNTA($E$4:$E795))</f>
        <v/>
      </c>
      <c r="B795" s="34"/>
      <c r="C795" s="34"/>
      <c r="D795" s="34"/>
      <c r="E795" s="34"/>
      <c r="F795" s="35"/>
      <c r="G795" s="34"/>
      <c r="H795" s="35"/>
      <c r="I795" s="34"/>
      <c r="J795" s="36"/>
      <c r="K795" s="36"/>
      <c r="L795" s="35"/>
      <c r="M795" s="34"/>
      <c r="N795" s="35"/>
      <c r="O795" s="36"/>
      <c r="P795" s="32" t="str">
        <f aca="false">IF($J795="","",$J795-WEEKDAY($J795,3))</f>
        <v/>
      </c>
      <c r="Q795" s="32" t="str">
        <f aca="false">IF($J795="","",IF($K795="",$J795,$K795))</f>
        <v/>
      </c>
      <c r="R795" s="28" t="str">
        <f aca="false">IF($E795="","",IF(OR($N795&lt;&gt;"Concluída",$O795="",$J795=""),0,IF($O795&lt;=$J795,1,0)))</f>
        <v/>
      </c>
      <c r="S795" s="28" t="str">
        <f aca="false">IF($E795="","",IF(OR($N795&lt;&gt;"Concluída",$O795="",$Q795=""),0,IF($O795&lt;=$Q795,1,0)))</f>
        <v/>
      </c>
      <c r="T795" s="28" t="str">
        <f aca="false">IF(OR($J795="",$N795&lt;&gt;"Concluída",$O795=""),"",MAX(0,$O795-$J795))</f>
        <v/>
      </c>
      <c r="U795" s="33" t="str">
        <f aca="true">IF($E795="","",IF($N795="Cancelada","Cancelada",IF($N795="Concluída",IF($R795=1,"No prazo","Concluída com atraso"),IF($J795="","Na carteira",IF($J795&lt;TODAY(),"VENCIDA",IF($J795=TODAY(),"Hoje","Programada"))))))</f>
        <v/>
      </c>
    </row>
    <row r="796" customFormat="false" ht="15.75" hidden="false" customHeight="true" outlineLevel="0" collapsed="false">
      <c r="A796" s="28" t="str">
        <f aca="false">IF($E796="","",COUNTA($E$4:$E796))</f>
        <v/>
      </c>
      <c r="B796" s="29"/>
      <c r="C796" s="29"/>
      <c r="D796" s="29"/>
      <c r="E796" s="29"/>
      <c r="F796" s="30"/>
      <c r="G796" s="29"/>
      <c r="H796" s="30"/>
      <c r="I796" s="29"/>
      <c r="J796" s="31"/>
      <c r="K796" s="31"/>
      <c r="L796" s="30"/>
      <c r="M796" s="29"/>
      <c r="N796" s="30"/>
      <c r="O796" s="31"/>
      <c r="P796" s="32" t="str">
        <f aca="false">IF($J796="","",$J796-WEEKDAY($J796,3))</f>
        <v/>
      </c>
      <c r="Q796" s="32" t="str">
        <f aca="false">IF($J796="","",IF($K796="",$J796,$K796))</f>
        <v/>
      </c>
      <c r="R796" s="28" t="str">
        <f aca="false">IF($E796="","",IF(OR($N796&lt;&gt;"Concluída",$O796="",$J796=""),0,IF($O796&lt;=$J796,1,0)))</f>
        <v/>
      </c>
      <c r="S796" s="28" t="str">
        <f aca="false">IF($E796="","",IF(OR($N796&lt;&gt;"Concluída",$O796="",$Q796=""),0,IF($O796&lt;=$Q796,1,0)))</f>
        <v/>
      </c>
      <c r="T796" s="28" t="str">
        <f aca="false">IF(OR($J796="",$N796&lt;&gt;"Concluída",$O796=""),"",MAX(0,$O796-$J796))</f>
        <v/>
      </c>
      <c r="U796" s="33" t="str">
        <f aca="true">IF($E796="","",IF($N796="Cancelada","Cancelada",IF($N796="Concluída",IF($R796=1,"No prazo","Concluída com atraso"),IF($J796="","Na carteira",IF($J796&lt;TODAY(),"VENCIDA",IF($J796=TODAY(),"Hoje","Programada"))))))</f>
        <v/>
      </c>
    </row>
    <row r="797" customFormat="false" ht="15.75" hidden="false" customHeight="true" outlineLevel="0" collapsed="false">
      <c r="A797" s="28" t="str">
        <f aca="false">IF($E797="","",COUNTA($E$4:$E797))</f>
        <v/>
      </c>
      <c r="B797" s="34"/>
      <c r="C797" s="34"/>
      <c r="D797" s="34"/>
      <c r="E797" s="34"/>
      <c r="F797" s="35"/>
      <c r="G797" s="34"/>
      <c r="H797" s="35"/>
      <c r="I797" s="34"/>
      <c r="J797" s="36"/>
      <c r="K797" s="36"/>
      <c r="L797" s="35"/>
      <c r="M797" s="34"/>
      <c r="N797" s="35"/>
      <c r="O797" s="36"/>
      <c r="P797" s="32" t="str">
        <f aca="false">IF($J797="","",$J797-WEEKDAY($J797,3))</f>
        <v/>
      </c>
      <c r="Q797" s="32" t="str">
        <f aca="false">IF($J797="","",IF($K797="",$J797,$K797))</f>
        <v/>
      </c>
      <c r="R797" s="28" t="str">
        <f aca="false">IF($E797="","",IF(OR($N797&lt;&gt;"Concluída",$O797="",$J797=""),0,IF($O797&lt;=$J797,1,0)))</f>
        <v/>
      </c>
      <c r="S797" s="28" t="str">
        <f aca="false">IF($E797="","",IF(OR($N797&lt;&gt;"Concluída",$O797="",$Q797=""),0,IF($O797&lt;=$Q797,1,0)))</f>
        <v/>
      </c>
      <c r="T797" s="28" t="str">
        <f aca="false">IF(OR($J797="",$N797&lt;&gt;"Concluída",$O797=""),"",MAX(0,$O797-$J797))</f>
        <v/>
      </c>
      <c r="U797" s="33" t="str">
        <f aca="true">IF($E797="","",IF($N797="Cancelada","Cancelada",IF($N797="Concluída",IF($R797=1,"No prazo","Concluída com atraso"),IF($J797="","Na carteira",IF($J797&lt;TODAY(),"VENCIDA",IF($J797=TODAY(),"Hoje","Programada"))))))</f>
        <v/>
      </c>
    </row>
    <row r="798" customFormat="false" ht="15.75" hidden="false" customHeight="true" outlineLevel="0" collapsed="false">
      <c r="A798" s="28" t="str">
        <f aca="false">IF($E798="","",COUNTA($E$4:$E798))</f>
        <v/>
      </c>
      <c r="B798" s="29"/>
      <c r="C798" s="29"/>
      <c r="D798" s="29"/>
      <c r="E798" s="29"/>
      <c r="F798" s="30"/>
      <c r="G798" s="29"/>
      <c r="H798" s="30"/>
      <c r="I798" s="29"/>
      <c r="J798" s="31"/>
      <c r="K798" s="31"/>
      <c r="L798" s="30"/>
      <c r="M798" s="29"/>
      <c r="N798" s="30"/>
      <c r="O798" s="31"/>
      <c r="P798" s="32" t="str">
        <f aca="false">IF($J798="","",$J798-WEEKDAY($J798,3))</f>
        <v/>
      </c>
      <c r="Q798" s="32" t="str">
        <f aca="false">IF($J798="","",IF($K798="",$J798,$K798))</f>
        <v/>
      </c>
      <c r="R798" s="28" t="str">
        <f aca="false">IF($E798="","",IF(OR($N798&lt;&gt;"Concluída",$O798="",$J798=""),0,IF($O798&lt;=$J798,1,0)))</f>
        <v/>
      </c>
      <c r="S798" s="28" t="str">
        <f aca="false">IF($E798="","",IF(OR($N798&lt;&gt;"Concluída",$O798="",$Q798=""),0,IF($O798&lt;=$Q798,1,0)))</f>
        <v/>
      </c>
      <c r="T798" s="28" t="str">
        <f aca="false">IF(OR($J798="",$N798&lt;&gt;"Concluída",$O798=""),"",MAX(0,$O798-$J798))</f>
        <v/>
      </c>
      <c r="U798" s="33" t="str">
        <f aca="true">IF($E798="","",IF($N798="Cancelada","Cancelada",IF($N798="Concluída",IF($R798=1,"No prazo","Concluída com atraso"),IF($J798="","Na carteira",IF($J798&lt;TODAY(),"VENCIDA",IF($J798=TODAY(),"Hoje","Programada"))))))</f>
        <v/>
      </c>
    </row>
    <row r="799" customFormat="false" ht="15.75" hidden="false" customHeight="true" outlineLevel="0" collapsed="false">
      <c r="A799" s="28" t="str">
        <f aca="false">IF($E799="","",COUNTA($E$4:$E799))</f>
        <v/>
      </c>
      <c r="B799" s="34"/>
      <c r="C799" s="34"/>
      <c r="D799" s="34"/>
      <c r="E799" s="34"/>
      <c r="F799" s="35"/>
      <c r="G799" s="34"/>
      <c r="H799" s="35"/>
      <c r="I799" s="34"/>
      <c r="J799" s="36"/>
      <c r="K799" s="36"/>
      <c r="L799" s="35"/>
      <c r="M799" s="34"/>
      <c r="N799" s="35"/>
      <c r="O799" s="36"/>
      <c r="P799" s="32" t="str">
        <f aca="false">IF($J799="","",$J799-WEEKDAY($J799,3))</f>
        <v/>
      </c>
      <c r="Q799" s="32" t="str">
        <f aca="false">IF($J799="","",IF($K799="",$J799,$K799))</f>
        <v/>
      </c>
      <c r="R799" s="28" t="str">
        <f aca="false">IF($E799="","",IF(OR($N799&lt;&gt;"Concluída",$O799="",$J799=""),0,IF($O799&lt;=$J799,1,0)))</f>
        <v/>
      </c>
      <c r="S799" s="28" t="str">
        <f aca="false">IF($E799="","",IF(OR($N799&lt;&gt;"Concluída",$O799="",$Q799=""),0,IF($O799&lt;=$Q799,1,0)))</f>
        <v/>
      </c>
      <c r="T799" s="28" t="str">
        <f aca="false">IF(OR($J799="",$N799&lt;&gt;"Concluída",$O799=""),"",MAX(0,$O799-$J799))</f>
        <v/>
      </c>
      <c r="U799" s="33" t="str">
        <f aca="true">IF($E799="","",IF($N799="Cancelada","Cancelada",IF($N799="Concluída",IF($R799=1,"No prazo","Concluída com atraso"),IF($J799="","Na carteira",IF($J799&lt;TODAY(),"VENCIDA",IF($J799=TODAY(),"Hoje","Programada"))))))</f>
        <v/>
      </c>
    </row>
    <row r="800" customFormat="false" ht="15.75" hidden="false" customHeight="true" outlineLevel="0" collapsed="false">
      <c r="A800" s="28" t="str">
        <f aca="false">IF($E800="","",COUNTA($E$4:$E800))</f>
        <v/>
      </c>
      <c r="B800" s="29"/>
      <c r="C800" s="29"/>
      <c r="D800" s="29"/>
      <c r="E800" s="29"/>
      <c r="F800" s="30"/>
      <c r="G800" s="29"/>
      <c r="H800" s="30"/>
      <c r="I800" s="29"/>
      <c r="J800" s="31"/>
      <c r="K800" s="31"/>
      <c r="L800" s="30"/>
      <c r="M800" s="29"/>
      <c r="N800" s="30"/>
      <c r="O800" s="31"/>
      <c r="P800" s="32" t="str">
        <f aca="false">IF($J800="","",$J800-WEEKDAY($J800,3))</f>
        <v/>
      </c>
      <c r="Q800" s="32" t="str">
        <f aca="false">IF($J800="","",IF($K800="",$J800,$K800))</f>
        <v/>
      </c>
      <c r="R800" s="28" t="str">
        <f aca="false">IF($E800="","",IF(OR($N800&lt;&gt;"Concluída",$O800="",$J800=""),0,IF($O800&lt;=$J800,1,0)))</f>
        <v/>
      </c>
      <c r="S800" s="28" t="str">
        <f aca="false">IF($E800="","",IF(OR($N800&lt;&gt;"Concluída",$O800="",$Q800=""),0,IF($O800&lt;=$Q800,1,0)))</f>
        <v/>
      </c>
      <c r="T800" s="28" t="str">
        <f aca="false">IF(OR($J800="",$N800&lt;&gt;"Concluída",$O800=""),"",MAX(0,$O800-$J800))</f>
        <v/>
      </c>
      <c r="U800" s="33" t="str">
        <f aca="true">IF($E800="","",IF($N800="Cancelada","Cancelada",IF($N800="Concluída",IF($R800=1,"No prazo","Concluída com atraso"),IF($J800="","Na carteira",IF($J800&lt;TODAY(),"VENCIDA",IF($J800=TODAY(),"Hoje","Programada"))))))</f>
        <v/>
      </c>
    </row>
    <row r="801" customFormat="false" ht="15.75" hidden="false" customHeight="true" outlineLevel="0" collapsed="false">
      <c r="A801" s="28" t="str">
        <f aca="false">IF($E801="","",COUNTA($E$4:$E801))</f>
        <v/>
      </c>
      <c r="B801" s="34"/>
      <c r="C801" s="34"/>
      <c r="D801" s="34"/>
      <c r="E801" s="34"/>
      <c r="F801" s="35"/>
      <c r="G801" s="34"/>
      <c r="H801" s="35"/>
      <c r="I801" s="34"/>
      <c r="J801" s="36"/>
      <c r="K801" s="36"/>
      <c r="L801" s="35"/>
      <c r="M801" s="34"/>
      <c r="N801" s="35"/>
      <c r="O801" s="36"/>
      <c r="P801" s="32" t="str">
        <f aca="false">IF($J801="","",$J801-WEEKDAY($J801,3))</f>
        <v/>
      </c>
      <c r="Q801" s="32" t="str">
        <f aca="false">IF($J801="","",IF($K801="",$J801,$K801))</f>
        <v/>
      </c>
      <c r="R801" s="28" t="str">
        <f aca="false">IF($E801="","",IF(OR($N801&lt;&gt;"Concluída",$O801="",$J801=""),0,IF($O801&lt;=$J801,1,0)))</f>
        <v/>
      </c>
      <c r="S801" s="28" t="str">
        <f aca="false">IF($E801="","",IF(OR($N801&lt;&gt;"Concluída",$O801="",$Q801=""),0,IF($O801&lt;=$Q801,1,0)))</f>
        <v/>
      </c>
      <c r="T801" s="28" t="str">
        <f aca="false">IF(OR($J801="",$N801&lt;&gt;"Concluída",$O801=""),"",MAX(0,$O801-$J801))</f>
        <v/>
      </c>
      <c r="U801" s="33" t="str">
        <f aca="true">IF($E801="","",IF($N801="Cancelada","Cancelada",IF($N801="Concluída",IF($R801=1,"No prazo","Concluída com atraso"),IF($J801="","Na carteira",IF($J801&lt;TODAY(),"VENCIDA",IF($J801=TODAY(),"Hoje","Programada"))))))</f>
        <v/>
      </c>
    </row>
    <row r="802" customFormat="false" ht="15.75" hidden="false" customHeight="true" outlineLevel="0" collapsed="false">
      <c r="A802" s="28" t="str">
        <f aca="false">IF($E802="","",COUNTA($E$4:$E802))</f>
        <v/>
      </c>
      <c r="B802" s="29"/>
      <c r="C802" s="29"/>
      <c r="D802" s="29"/>
      <c r="E802" s="29"/>
      <c r="F802" s="30"/>
      <c r="G802" s="29"/>
      <c r="H802" s="30"/>
      <c r="I802" s="29"/>
      <c r="J802" s="31"/>
      <c r="K802" s="31"/>
      <c r="L802" s="30"/>
      <c r="M802" s="29"/>
      <c r="N802" s="30"/>
      <c r="O802" s="31"/>
      <c r="P802" s="32" t="str">
        <f aca="false">IF($J802="","",$J802-WEEKDAY($J802,3))</f>
        <v/>
      </c>
      <c r="Q802" s="32" t="str">
        <f aca="false">IF($J802="","",IF($K802="",$J802,$K802))</f>
        <v/>
      </c>
      <c r="R802" s="28" t="str">
        <f aca="false">IF($E802="","",IF(OR($N802&lt;&gt;"Concluída",$O802="",$J802=""),0,IF($O802&lt;=$J802,1,0)))</f>
        <v/>
      </c>
      <c r="S802" s="28" t="str">
        <f aca="false">IF($E802="","",IF(OR($N802&lt;&gt;"Concluída",$O802="",$Q802=""),0,IF($O802&lt;=$Q802,1,0)))</f>
        <v/>
      </c>
      <c r="T802" s="28" t="str">
        <f aca="false">IF(OR($J802="",$N802&lt;&gt;"Concluída",$O802=""),"",MAX(0,$O802-$J802))</f>
        <v/>
      </c>
      <c r="U802" s="33" t="str">
        <f aca="true">IF($E802="","",IF($N802="Cancelada","Cancelada",IF($N802="Concluída",IF($R802=1,"No prazo","Concluída com atraso"),IF($J802="","Na carteira",IF($J802&lt;TODAY(),"VENCIDA",IF($J802=TODAY(),"Hoje","Programada"))))))</f>
        <v/>
      </c>
    </row>
    <row r="803" customFormat="false" ht="15.75" hidden="false" customHeight="true" outlineLevel="0" collapsed="false">
      <c r="A803" s="28" t="str">
        <f aca="false">IF($E803="","",COUNTA($E$4:$E803))</f>
        <v/>
      </c>
      <c r="B803" s="34"/>
      <c r="C803" s="34"/>
      <c r="D803" s="34"/>
      <c r="E803" s="34"/>
      <c r="F803" s="35"/>
      <c r="G803" s="34"/>
      <c r="H803" s="35"/>
      <c r="I803" s="34"/>
      <c r="J803" s="36"/>
      <c r="K803" s="36"/>
      <c r="L803" s="35"/>
      <c r="M803" s="34"/>
      <c r="N803" s="35"/>
      <c r="O803" s="36"/>
      <c r="P803" s="32" t="str">
        <f aca="false">IF($J803="","",$J803-WEEKDAY($J803,3))</f>
        <v/>
      </c>
      <c r="Q803" s="32" t="str">
        <f aca="false">IF($J803="","",IF($K803="",$J803,$K803))</f>
        <v/>
      </c>
      <c r="R803" s="28" t="str">
        <f aca="false">IF($E803="","",IF(OR($N803&lt;&gt;"Concluída",$O803="",$J803=""),0,IF($O803&lt;=$J803,1,0)))</f>
        <v/>
      </c>
      <c r="S803" s="28" t="str">
        <f aca="false">IF($E803="","",IF(OR($N803&lt;&gt;"Concluída",$O803="",$Q803=""),0,IF($O803&lt;=$Q803,1,0)))</f>
        <v/>
      </c>
      <c r="T803" s="28" t="str">
        <f aca="false">IF(OR($J803="",$N803&lt;&gt;"Concluída",$O803=""),"",MAX(0,$O803-$J803))</f>
        <v/>
      </c>
      <c r="U803" s="33" t="str">
        <f aca="true">IF($E803="","",IF($N803="Cancelada","Cancelada",IF($N803="Concluída",IF($R803=1,"No prazo","Concluída com atraso"),IF($J803="","Na carteira",IF($J803&lt;TODAY(),"VENCIDA",IF($J803=TODAY(),"Hoje","Programada"))))))</f>
        <v/>
      </c>
    </row>
    <row r="804" customFormat="false" ht="15.75" hidden="false" customHeight="true" outlineLevel="0" collapsed="false">
      <c r="A804" s="28" t="str">
        <f aca="false">IF($E804="","",COUNTA($E$4:$E804))</f>
        <v/>
      </c>
      <c r="B804" s="29"/>
      <c r="C804" s="29"/>
      <c r="D804" s="29"/>
      <c r="E804" s="29"/>
      <c r="F804" s="30"/>
      <c r="G804" s="29"/>
      <c r="H804" s="30"/>
      <c r="I804" s="29"/>
      <c r="J804" s="31"/>
      <c r="K804" s="31"/>
      <c r="L804" s="30"/>
      <c r="M804" s="29"/>
      <c r="N804" s="30"/>
      <c r="O804" s="31"/>
      <c r="P804" s="32" t="str">
        <f aca="false">IF($J804="","",$J804-WEEKDAY($J804,3))</f>
        <v/>
      </c>
      <c r="Q804" s="32" t="str">
        <f aca="false">IF($J804="","",IF($K804="",$J804,$K804))</f>
        <v/>
      </c>
      <c r="R804" s="28" t="str">
        <f aca="false">IF($E804="","",IF(OR($N804&lt;&gt;"Concluída",$O804="",$J804=""),0,IF($O804&lt;=$J804,1,0)))</f>
        <v/>
      </c>
      <c r="S804" s="28" t="str">
        <f aca="false">IF($E804="","",IF(OR($N804&lt;&gt;"Concluída",$O804="",$Q804=""),0,IF($O804&lt;=$Q804,1,0)))</f>
        <v/>
      </c>
      <c r="T804" s="28" t="str">
        <f aca="false">IF(OR($J804="",$N804&lt;&gt;"Concluída",$O804=""),"",MAX(0,$O804-$J804))</f>
        <v/>
      </c>
      <c r="U804" s="33" t="str">
        <f aca="true">IF($E804="","",IF($N804="Cancelada","Cancelada",IF($N804="Concluída",IF($R804=1,"No prazo","Concluída com atraso"),IF($J804="","Na carteira",IF($J804&lt;TODAY(),"VENCIDA",IF($J804=TODAY(),"Hoje","Programada"))))))</f>
        <v/>
      </c>
    </row>
    <row r="805" customFormat="false" ht="15.75" hidden="false" customHeight="true" outlineLevel="0" collapsed="false">
      <c r="A805" s="28" t="str">
        <f aca="false">IF($E805="","",COUNTA($E$4:$E805))</f>
        <v/>
      </c>
      <c r="B805" s="34"/>
      <c r="C805" s="34"/>
      <c r="D805" s="34"/>
      <c r="E805" s="34"/>
      <c r="F805" s="35"/>
      <c r="G805" s="34"/>
      <c r="H805" s="35"/>
      <c r="I805" s="34"/>
      <c r="J805" s="36"/>
      <c r="K805" s="36"/>
      <c r="L805" s="35"/>
      <c r="M805" s="34"/>
      <c r="N805" s="35"/>
      <c r="O805" s="36"/>
      <c r="P805" s="32" t="str">
        <f aca="false">IF($J805="","",$J805-WEEKDAY($J805,3))</f>
        <v/>
      </c>
      <c r="Q805" s="32" t="str">
        <f aca="false">IF($J805="","",IF($K805="",$J805,$K805))</f>
        <v/>
      </c>
      <c r="R805" s="28" t="str">
        <f aca="false">IF($E805="","",IF(OR($N805&lt;&gt;"Concluída",$O805="",$J805=""),0,IF($O805&lt;=$J805,1,0)))</f>
        <v/>
      </c>
      <c r="S805" s="28" t="str">
        <f aca="false">IF($E805="","",IF(OR($N805&lt;&gt;"Concluída",$O805="",$Q805=""),0,IF($O805&lt;=$Q805,1,0)))</f>
        <v/>
      </c>
      <c r="T805" s="28" t="str">
        <f aca="false">IF(OR($J805="",$N805&lt;&gt;"Concluída",$O805=""),"",MAX(0,$O805-$J805))</f>
        <v/>
      </c>
      <c r="U805" s="33" t="str">
        <f aca="true">IF($E805="","",IF($N805="Cancelada","Cancelada",IF($N805="Concluída",IF($R805=1,"No prazo","Concluída com atraso"),IF($J805="","Na carteira",IF($J805&lt;TODAY(),"VENCIDA",IF($J805=TODAY(),"Hoje","Programada"))))))</f>
        <v/>
      </c>
    </row>
    <row r="806" customFormat="false" ht="15.75" hidden="false" customHeight="true" outlineLevel="0" collapsed="false">
      <c r="A806" s="28" t="str">
        <f aca="false">IF($E806="","",COUNTA($E$4:$E806))</f>
        <v/>
      </c>
      <c r="B806" s="29"/>
      <c r="C806" s="29"/>
      <c r="D806" s="29"/>
      <c r="E806" s="29"/>
      <c r="F806" s="30"/>
      <c r="G806" s="29"/>
      <c r="H806" s="30"/>
      <c r="I806" s="29"/>
      <c r="J806" s="31"/>
      <c r="K806" s="31"/>
      <c r="L806" s="30"/>
      <c r="M806" s="29"/>
      <c r="N806" s="30"/>
      <c r="O806" s="31"/>
      <c r="P806" s="32" t="str">
        <f aca="false">IF($J806="","",$J806-WEEKDAY($J806,3))</f>
        <v/>
      </c>
      <c r="Q806" s="32" t="str">
        <f aca="false">IF($J806="","",IF($K806="",$J806,$K806))</f>
        <v/>
      </c>
      <c r="R806" s="28" t="str">
        <f aca="false">IF($E806="","",IF(OR($N806&lt;&gt;"Concluída",$O806="",$J806=""),0,IF($O806&lt;=$J806,1,0)))</f>
        <v/>
      </c>
      <c r="S806" s="28" t="str">
        <f aca="false">IF($E806="","",IF(OR($N806&lt;&gt;"Concluída",$O806="",$Q806=""),0,IF($O806&lt;=$Q806,1,0)))</f>
        <v/>
      </c>
      <c r="T806" s="28" t="str">
        <f aca="false">IF(OR($J806="",$N806&lt;&gt;"Concluída",$O806=""),"",MAX(0,$O806-$J806))</f>
        <v/>
      </c>
      <c r="U806" s="33" t="str">
        <f aca="true">IF($E806="","",IF($N806="Cancelada","Cancelada",IF($N806="Concluída",IF($R806=1,"No prazo","Concluída com atraso"),IF($J806="","Na carteira",IF($J806&lt;TODAY(),"VENCIDA",IF($J806=TODAY(),"Hoje","Programada"))))))</f>
        <v/>
      </c>
    </row>
    <row r="807" customFormat="false" ht="15.75" hidden="false" customHeight="true" outlineLevel="0" collapsed="false">
      <c r="A807" s="28" t="str">
        <f aca="false">IF($E807="","",COUNTA($E$4:$E807))</f>
        <v/>
      </c>
      <c r="B807" s="34"/>
      <c r="C807" s="34"/>
      <c r="D807" s="34"/>
      <c r="E807" s="34"/>
      <c r="F807" s="35"/>
      <c r="G807" s="34"/>
      <c r="H807" s="35"/>
      <c r="I807" s="34"/>
      <c r="J807" s="36"/>
      <c r="K807" s="36"/>
      <c r="L807" s="35"/>
      <c r="M807" s="34"/>
      <c r="N807" s="35"/>
      <c r="O807" s="36"/>
      <c r="P807" s="32" t="str">
        <f aca="false">IF($J807="","",$J807-WEEKDAY($J807,3))</f>
        <v/>
      </c>
      <c r="Q807" s="32" t="str">
        <f aca="false">IF($J807="","",IF($K807="",$J807,$K807))</f>
        <v/>
      </c>
      <c r="R807" s="28" t="str">
        <f aca="false">IF($E807="","",IF(OR($N807&lt;&gt;"Concluída",$O807="",$J807=""),0,IF($O807&lt;=$J807,1,0)))</f>
        <v/>
      </c>
      <c r="S807" s="28" t="str">
        <f aca="false">IF($E807="","",IF(OR($N807&lt;&gt;"Concluída",$O807="",$Q807=""),0,IF($O807&lt;=$Q807,1,0)))</f>
        <v/>
      </c>
      <c r="T807" s="28" t="str">
        <f aca="false">IF(OR($J807="",$N807&lt;&gt;"Concluída",$O807=""),"",MAX(0,$O807-$J807))</f>
        <v/>
      </c>
      <c r="U807" s="33" t="str">
        <f aca="true">IF($E807="","",IF($N807="Cancelada","Cancelada",IF($N807="Concluída",IF($R807=1,"No prazo","Concluída com atraso"),IF($J807="","Na carteira",IF($J807&lt;TODAY(),"VENCIDA",IF($J807=TODAY(),"Hoje","Programada"))))))</f>
        <v/>
      </c>
    </row>
    <row r="808" customFormat="false" ht="15.75" hidden="false" customHeight="true" outlineLevel="0" collapsed="false">
      <c r="A808" s="28" t="str">
        <f aca="false">IF($E808="","",COUNTA($E$4:$E808))</f>
        <v/>
      </c>
      <c r="B808" s="29"/>
      <c r="C808" s="29"/>
      <c r="D808" s="29"/>
      <c r="E808" s="29"/>
      <c r="F808" s="30"/>
      <c r="G808" s="29"/>
      <c r="H808" s="30"/>
      <c r="I808" s="29"/>
      <c r="J808" s="31"/>
      <c r="K808" s="31"/>
      <c r="L808" s="30"/>
      <c r="M808" s="29"/>
      <c r="N808" s="30"/>
      <c r="O808" s="31"/>
      <c r="P808" s="32" t="str">
        <f aca="false">IF($J808="","",$J808-WEEKDAY($J808,3))</f>
        <v/>
      </c>
      <c r="Q808" s="32" t="str">
        <f aca="false">IF($J808="","",IF($K808="",$J808,$K808))</f>
        <v/>
      </c>
      <c r="R808" s="28" t="str">
        <f aca="false">IF($E808="","",IF(OR($N808&lt;&gt;"Concluída",$O808="",$J808=""),0,IF($O808&lt;=$J808,1,0)))</f>
        <v/>
      </c>
      <c r="S808" s="28" t="str">
        <f aca="false">IF($E808="","",IF(OR($N808&lt;&gt;"Concluída",$O808="",$Q808=""),0,IF($O808&lt;=$Q808,1,0)))</f>
        <v/>
      </c>
      <c r="T808" s="28" t="str">
        <f aca="false">IF(OR($J808="",$N808&lt;&gt;"Concluída",$O808=""),"",MAX(0,$O808-$J808))</f>
        <v/>
      </c>
      <c r="U808" s="33" t="str">
        <f aca="true">IF($E808="","",IF($N808="Cancelada","Cancelada",IF($N808="Concluída",IF($R808=1,"No prazo","Concluída com atraso"),IF($J808="","Na carteira",IF($J808&lt;TODAY(),"VENCIDA",IF($J808=TODAY(),"Hoje","Programada"))))))</f>
        <v/>
      </c>
    </row>
    <row r="809" customFormat="false" ht="15.75" hidden="false" customHeight="true" outlineLevel="0" collapsed="false">
      <c r="A809" s="28" t="str">
        <f aca="false">IF($E809="","",COUNTA($E$4:$E809))</f>
        <v/>
      </c>
      <c r="B809" s="34"/>
      <c r="C809" s="34"/>
      <c r="D809" s="34"/>
      <c r="E809" s="34"/>
      <c r="F809" s="35"/>
      <c r="G809" s="34"/>
      <c r="H809" s="35"/>
      <c r="I809" s="34"/>
      <c r="J809" s="36"/>
      <c r="K809" s="36"/>
      <c r="L809" s="35"/>
      <c r="M809" s="34"/>
      <c r="N809" s="35"/>
      <c r="O809" s="36"/>
      <c r="P809" s="32" t="str">
        <f aca="false">IF($J809="","",$J809-WEEKDAY($J809,3))</f>
        <v/>
      </c>
      <c r="Q809" s="32" t="str">
        <f aca="false">IF($J809="","",IF($K809="",$J809,$K809))</f>
        <v/>
      </c>
      <c r="R809" s="28" t="str">
        <f aca="false">IF($E809="","",IF(OR($N809&lt;&gt;"Concluída",$O809="",$J809=""),0,IF($O809&lt;=$J809,1,0)))</f>
        <v/>
      </c>
      <c r="S809" s="28" t="str">
        <f aca="false">IF($E809="","",IF(OR($N809&lt;&gt;"Concluída",$O809="",$Q809=""),0,IF($O809&lt;=$Q809,1,0)))</f>
        <v/>
      </c>
      <c r="T809" s="28" t="str">
        <f aca="false">IF(OR($J809="",$N809&lt;&gt;"Concluída",$O809=""),"",MAX(0,$O809-$J809))</f>
        <v/>
      </c>
      <c r="U809" s="33" t="str">
        <f aca="true">IF($E809="","",IF($N809="Cancelada","Cancelada",IF($N809="Concluída",IF($R809=1,"No prazo","Concluída com atraso"),IF($J809="","Na carteira",IF($J809&lt;TODAY(),"VENCIDA",IF($J809=TODAY(),"Hoje","Programada"))))))</f>
        <v/>
      </c>
    </row>
    <row r="810" customFormat="false" ht="15.75" hidden="false" customHeight="true" outlineLevel="0" collapsed="false">
      <c r="A810" s="28" t="str">
        <f aca="false">IF($E810="","",COUNTA($E$4:$E810))</f>
        <v/>
      </c>
      <c r="B810" s="29"/>
      <c r="C810" s="29"/>
      <c r="D810" s="29"/>
      <c r="E810" s="29"/>
      <c r="F810" s="30"/>
      <c r="G810" s="29"/>
      <c r="H810" s="30"/>
      <c r="I810" s="29"/>
      <c r="J810" s="31"/>
      <c r="K810" s="31"/>
      <c r="L810" s="30"/>
      <c r="M810" s="29"/>
      <c r="N810" s="30"/>
      <c r="O810" s="31"/>
      <c r="P810" s="32" t="str">
        <f aca="false">IF($J810="","",$J810-WEEKDAY($J810,3))</f>
        <v/>
      </c>
      <c r="Q810" s="32" t="str">
        <f aca="false">IF($J810="","",IF($K810="",$J810,$K810))</f>
        <v/>
      </c>
      <c r="R810" s="28" t="str">
        <f aca="false">IF($E810="","",IF(OR($N810&lt;&gt;"Concluída",$O810="",$J810=""),0,IF($O810&lt;=$J810,1,0)))</f>
        <v/>
      </c>
      <c r="S810" s="28" t="str">
        <f aca="false">IF($E810="","",IF(OR($N810&lt;&gt;"Concluída",$O810="",$Q810=""),0,IF($O810&lt;=$Q810,1,0)))</f>
        <v/>
      </c>
      <c r="T810" s="28" t="str">
        <f aca="false">IF(OR($J810="",$N810&lt;&gt;"Concluída",$O810=""),"",MAX(0,$O810-$J810))</f>
        <v/>
      </c>
      <c r="U810" s="33" t="str">
        <f aca="true">IF($E810="","",IF($N810="Cancelada","Cancelada",IF($N810="Concluída",IF($R810=1,"No prazo","Concluída com atraso"),IF($J810="","Na carteira",IF($J810&lt;TODAY(),"VENCIDA",IF($J810=TODAY(),"Hoje","Programada"))))))</f>
        <v/>
      </c>
    </row>
    <row r="811" customFormat="false" ht="15.75" hidden="false" customHeight="true" outlineLevel="0" collapsed="false">
      <c r="A811" s="28" t="str">
        <f aca="false">IF($E811="","",COUNTA($E$4:$E811))</f>
        <v/>
      </c>
      <c r="B811" s="34"/>
      <c r="C811" s="34"/>
      <c r="D811" s="34"/>
      <c r="E811" s="34"/>
      <c r="F811" s="35"/>
      <c r="G811" s="34"/>
      <c r="H811" s="35"/>
      <c r="I811" s="34"/>
      <c r="J811" s="36"/>
      <c r="K811" s="36"/>
      <c r="L811" s="35"/>
      <c r="M811" s="34"/>
      <c r="N811" s="35"/>
      <c r="O811" s="36"/>
      <c r="P811" s="32" t="str">
        <f aca="false">IF($J811="","",$J811-WEEKDAY($J811,3))</f>
        <v/>
      </c>
      <c r="Q811" s="32" t="str">
        <f aca="false">IF($J811="","",IF($K811="",$J811,$K811))</f>
        <v/>
      </c>
      <c r="R811" s="28" t="str">
        <f aca="false">IF($E811="","",IF(OR($N811&lt;&gt;"Concluída",$O811="",$J811=""),0,IF($O811&lt;=$J811,1,0)))</f>
        <v/>
      </c>
      <c r="S811" s="28" t="str">
        <f aca="false">IF($E811="","",IF(OR($N811&lt;&gt;"Concluída",$O811="",$Q811=""),0,IF($O811&lt;=$Q811,1,0)))</f>
        <v/>
      </c>
      <c r="T811" s="28" t="str">
        <f aca="false">IF(OR($J811="",$N811&lt;&gt;"Concluída",$O811=""),"",MAX(0,$O811-$J811))</f>
        <v/>
      </c>
      <c r="U811" s="33" t="str">
        <f aca="true">IF($E811="","",IF($N811="Cancelada","Cancelada",IF($N811="Concluída",IF($R811=1,"No prazo","Concluída com atraso"),IF($J811="","Na carteira",IF($J811&lt;TODAY(),"VENCIDA",IF($J811=TODAY(),"Hoje","Programada"))))))</f>
        <v/>
      </c>
    </row>
    <row r="812" customFormat="false" ht="15.75" hidden="false" customHeight="true" outlineLevel="0" collapsed="false">
      <c r="A812" s="28" t="str">
        <f aca="false">IF($E812="","",COUNTA($E$4:$E812))</f>
        <v/>
      </c>
      <c r="B812" s="29"/>
      <c r="C812" s="29"/>
      <c r="D812" s="29"/>
      <c r="E812" s="29"/>
      <c r="F812" s="30"/>
      <c r="G812" s="29"/>
      <c r="H812" s="30"/>
      <c r="I812" s="29"/>
      <c r="J812" s="31"/>
      <c r="K812" s="31"/>
      <c r="L812" s="30"/>
      <c r="M812" s="29"/>
      <c r="N812" s="30"/>
      <c r="O812" s="31"/>
      <c r="P812" s="32" t="str">
        <f aca="false">IF($J812="","",$J812-WEEKDAY($J812,3))</f>
        <v/>
      </c>
      <c r="Q812" s="32" t="str">
        <f aca="false">IF($J812="","",IF($K812="",$J812,$K812))</f>
        <v/>
      </c>
      <c r="R812" s="28" t="str">
        <f aca="false">IF($E812="","",IF(OR($N812&lt;&gt;"Concluída",$O812="",$J812=""),0,IF($O812&lt;=$J812,1,0)))</f>
        <v/>
      </c>
      <c r="S812" s="28" t="str">
        <f aca="false">IF($E812="","",IF(OR($N812&lt;&gt;"Concluída",$O812="",$Q812=""),0,IF($O812&lt;=$Q812,1,0)))</f>
        <v/>
      </c>
      <c r="T812" s="28" t="str">
        <f aca="false">IF(OR($J812="",$N812&lt;&gt;"Concluída",$O812=""),"",MAX(0,$O812-$J812))</f>
        <v/>
      </c>
      <c r="U812" s="33" t="str">
        <f aca="true">IF($E812="","",IF($N812="Cancelada","Cancelada",IF($N812="Concluída",IF($R812=1,"No prazo","Concluída com atraso"),IF($J812="","Na carteira",IF($J812&lt;TODAY(),"VENCIDA",IF($J812=TODAY(),"Hoje","Programada"))))))</f>
        <v/>
      </c>
    </row>
    <row r="813" customFormat="false" ht="15.75" hidden="false" customHeight="true" outlineLevel="0" collapsed="false">
      <c r="A813" s="28" t="str">
        <f aca="false">IF($E813="","",COUNTA($E$4:$E813))</f>
        <v/>
      </c>
      <c r="B813" s="34"/>
      <c r="C813" s="34"/>
      <c r="D813" s="34"/>
      <c r="E813" s="34"/>
      <c r="F813" s="35"/>
      <c r="G813" s="34"/>
      <c r="H813" s="35"/>
      <c r="I813" s="34"/>
      <c r="J813" s="36"/>
      <c r="K813" s="36"/>
      <c r="L813" s="35"/>
      <c r="M813" s="34"/>
      <c r="N813" s="35"/>
      <c r="O813" s="36"/>
      <c r="P813" s="32" t="str">
        <f aca="false">IF($J813="","",$J813-WEEKDAY($J813,3))</f>
        <v/>
      </c>
      <c r="Q813" s="32" t="str">
        <f aca="false">IF($J813="","",IF($K813="",$J813,$K813))</f>
        <v/>
      </c>
      <c r="R813" s="28" t="str">
        <f aca="false">IF($E813="","",IF(OR($N813&lt;&gt;"Concluída",$O813="",$J813=""),0,IF($O813&lt;=$J813,1,0)))</f>
        <v/>
      </c>
      <c r="S813" s="28" t="str">
        <f aca="false">IF($E813="","",IF(OR($N813&lt;&gt;"Concluída",$O813="",$Q813=""),0,IF($O813&lt;=$Q813,1,0)))</f>
        <v/>
      </c>
      <c r="T813" s="28" t="str">
        <f aca="false">IF(OR($J813="",$N813&lt;&gt;"Concluída",$O813=""),"",MAX(0,$O813-$J813))</f>
        <v/>
      </c>
      <c r="U813" s="33" t="str">
        <f aca="true">IF($E813="","",IF($N813="Cancelada","Cancelada",IF($N813="Concluída",IF($R813=1,"No prazo","Concluída com atraso"),IF($J813="","Na carteira",IF($J813&lt;TODAY(),"VENCIDA",IF($J813=TODAY(),"Hoje","Programada"))))))</f>
        <v/>
      </c>
    </row>
    <row r="814" customFormat="false" ht="15.75" hidden="false" customHeight="true" outlineLevel="0" collapsed="false">
      <c r="A814" s="28" t="str">
        <f aca="false">IF($E814="","",COUNTA($E$4:$E814))</f>
        <v/>
      </c>
      <c r="B814" s="29"/>
      <c r="C814" s="29"/>
      <c r="D814" s="29"/>
      <c r="E814" s="29"/>
      <c r="F814" s="30"/>
      <c r="G814" s="29"/>
      <c r="H814" s="30"/>
      <c r="I814" s="29"/>
      <c r="J814" s="31"/>
      <c r="K814" s="31"/>
      <c r="L814" s="30"/>
      <c r="M814" s="29"/>
      <c r="N814" s="30"/>
      <c r="O814" s="31"/>
      <c r="P814" s="32" t="str">
        <f aca="false">IF($J814="","",$J814-WEEKDAY($J814,3))</f>
        <v/>
      </c>
      <c r="Q814" s="32" t="str">
        <f aca="false">IF($J814="","",IF($K814="",$J814,$K814))</f>
        <v/>
      </c>
      <c r="R814" s="28" t="str">
        <f aca="false">IF($E814="","",IF(OR($N814&lt;&gt;"Concluída",$O814="",$J814=""),0,IF($O814&lt;=$J814,1,0)))</f>
        <v/>
      </c>
      <c r="S814" s="28" t="str">
        <f aca="false">IF($E814="","",IF(OR($N814&lt;&gt;"Concluída",$O814="",$Q814=""),0,IF($O814&lt;=$Q814,1,0)))</f>
        <v/>
      </c>
      <c r="T814" s="28" t="str">
        <f aca="false">IF(OR($J814="",$N814&lt;&gt;"Concluída",$O814=""),"",MAX(0,$O814-$J814))</f>
        <v/>
      </c>
      <c r="U814" s="33" t="str">
        <f aca="true">IF($E814="","",IF($N814="Cancelada","Cancelada",IF($N814="Concluída",IF($R814=1,"No prazo","Concluída com atraso"),IF($J814="","Na carteira",IF($J814&lt;TODAY(),"VENCIDA",IF($J814=TODAY(),"Hoje","Programada"))))))</f>
        <v/>
      </c>
    </row>
    <row r="815" customFormat="false" ht="15.75" hidden="false" customHeight="true" outlineLevel="0" collapsed="false">
      <c r="A815" s="28" t="str">
        <f aca="false">IF($E815="","",COUNTA($E$4:$E815))</f>
        <v/>
      </c>
      <c r="B815" s="34"/>
      <c r="C815" s="34"/>
      <c r="D815" s="34"/>
      <c r="E815" s="34"/>
      <c r="F815" s="35"/>
      <c r="G815" s="34"/>
      <c r="H815" s="35"/>
      <c r="I815" s="34"/>
      <c r="J815" s="36"/>
      <c r="K815" s="36"/>
      <c r="L815" s="35"/>
      <c r="M815" s="34"/>
      <c r="N815" s="35"/>
      <c r="O815" s="36"/>
      <c r="P815" s="32" t="str">
        <f aca="false">IF($J815="","",$J815-WEEKDAY($J815,3))</f>
        <v/>
      </c>
      <c r="Q815" s="32" t="str">
        <f aca="false">IF($J815="","",IF($K815="",$J815,$K815))</f>
        <v/>
      </c>
      <c r="R815" s="28" t="str">
        <f aca="false">IF($E815="","",IF(OR($N815&lt;&gt;"Concluída",$O815="",$J815=""),0,IF($O815&lt;=$J815,1,0)))</f>
        <v/>
      </c>
      <c r="S815" s="28" t="str">
        <f aca="false">IF($E815="","",IF(OR($N815&lt;&gt;"Concluída",$O815="",$Q815=""),0,IF($O815&lt;=$Q815,1,0)))</f>
        <v/>
      </c>
      <c r="T815" s="28" t="str">
        <f aca="false">IF(OR($J815="",$N815&lt;&gt;"Concluída",$O815=""),"",MAX(0,$O815-$J815))</f>
        <v/>
      </c>
      <c r="U815" s="33" t="str">
        <f aca="true">IF($E815="","",IF($N815="Cancelada","Cancelada",IF($N815="Concluída",IF($R815=1,"No prazo","Concluída com atraso"),IF($J815="","Na carteira",IF($J815&lt;TODAY(),"VENCIDA",IF($J815=TODAY(),"Hoje","Programada"))))))</f>
        <v/>
      </c>
    </row>
    <row r="816" customFormat="false" ht="15.75" hidden="false" customHeight="true" outlineLevel="0" collapsed="false">
      <c r="A816" s="28" t="str">
        <f aca="false">IF($E816="","",COUNTA($E$4:$E816))</f>
        <v/>
      </c>
      <c r="B816" s="29"/>
      <c r="C816" s="29"/>
      <c r="D816" s="29"/>
      <c r="E816" s="29"/>
      <c r="F816" s="30"/>
      <c r="G816" s="29"/>
      <c r="H816" s="30"/>
      <c r="I816" s="29"/>
      <c r="J816" s="31"/>
      <c r="K816" s="31"/>
      <c r="L816" s="30"/>
      <c r="M816" s="29"/>
      <c r="N816" s="30"/>
      <c r="O816" s="31"/>
      <c r="P816" s="32" t="str">
        <f aca="false">IF($J816="","",$J816-WEEKDAY($J816,3))</f>
        <v/>
      </c>
      <c r="Q816" s="32" t="str">
        <f aca="false">IF($J816="","",IF($K816="",$J816,$K816))</f>
        <v/>
      </c>
      <c r="R816" s="28" t="str">
        <f aca="false">IF($E816="","",IF(OR($N816&lt;&gt;"Concluída",$O816="",$J816=""),0,IF($O816&lt;=$J816,1,0)))</f>
        <v/>
      </c>
      <c r="S816" s="28" t="str">
        <f aca="false">IF($E816="","",IF(OR($N816&lt;&gt;"Concluída",$O816="",$Q816=""),0,IF($O816&lt;=$Q816,1,0)))</f>
        <v/>
      </c>
      <c r="T816" s="28" t="str">
        <f aca="false">IF(OR($J816="",$N816&lt;&gt;"Concluída",$O816=""),"",MAX(0,$O816-$J816))</f>
        <v/>
      </c>
      <c r="U816" s="33" t="str">
        <f aca="true">IF($E816="","",IF($N816="Cancelada","Cancelada",IF($N816="Concluída",IF($R816=1,"No prazo","Concluída com atraso"),IF($J816="","Na carteira",IF($J816&lt;TODAY(),"VENCIDA",IF($J816=TODAY(),"Hoje","Programada"))))))</f>
        <v/>
      </c>
    </row>
    <row r="817" customFormat="false" ht="15.75" hidden="false" customHeight="true" outlineLevel="0" collapsed="false">
      <c r="A817" s="28" t="str">
        <f aca="false">IF($E817="","",COUNTA($E$4:$E817))</f>
        <v/>
      </c>
      <c r="B817" s="34"/>
      <c r="C817" s="34"/>
      <c r="D817" s="34"/>
      <c r="E817" s="34"/>
      <c r="F817" s="35"/>
      <c r="G817" s="34"/>
      <c r="H817" s="35"/>
      <c r="I817" s="34"/>
      <c r="J817" s="36"/>
      <c r="K817" s="36"/>
      <c r="L817" s="35"/>
      <c r="M817" s="34"/>
      <c r="N817" s="35"/>
      <c r="O817" s="36"/>
      <c r="P817" s="32" t="str">
        <f aca="false">IF($J817="","",$J817-WEEKDAY($J817,3))</f>
        <v/>
      </c>
      <c r="Q817" s="32" t="str">
        <f aca="false">IF($J817="","",IF($K817="",$J817,$K817))</f>
        <v/>
      </c>
      <c r="R817" s="28" t="str">
        <f aca="false">IF($E817="","",IF(OR($N817&lt;&gt;"Concluída",$O817="",$J817=""),0,IF($O817&lt;=$J817,1,0)))</f>
        <v/>
      </c>
      <c r="S817" s="28" t="str">
        <f aca="false">IF($E817="","",IF(OR($N817&lt;&gt;"Concluída",$O817="",$Q817=""),0,IF($O817&lt;=$Q817,1,0)))</f>
        <v/>
      </c>
      <c r="T817" s="28" t="str">
        <f aca="false">IF(OR($J817="",$N817&lt;&gt;"Concluída",$O817=""),"",MAX(0,$O817-$J817))</f>
        <v/>
      </c>
      <c r="U817" s="33" t="str">
        <f aca="true">IF($E817="","",IF($N817="Cancelada","Cancelada",IF($N817="Concluída",IF($R817=1,"No prazo","Concluída com atraso"),IF($J817="","Na carteira",IF($J817&lt;TODAY(),"VENCIDA",IF($J817=TODAY(),"Hoje","Programada"))))))</f>
        <v/>
      </c>
    </row>
    <row r="818" customFormat="false" ht="15.75" hidden="false" customHeight="true" outlineLevel="0" collapsed="false">
      <c r="A818" s="28" t="str">
        <f aca="false">IF($E818="","",COUNTA($E$4:$E818))</f>
        <v/>
      </c>
      <c r="B818" s="29"/>
      <c r="C818" s="29"/>
      <c r="D818" s="29"/>
      <c r="E818" s="29"/>
      <c r="F818" s="30"/>
      <c r="G818" s="29"/>
      <c r="H818" s="30"/>
      <c r="I818" s="29"/>
      <c r="J818" s="31"/>
      <c r="K818" s="31"/>
      <c r="L818" s="30"/>
      <c r="M818" s="29"/>
      <c r="N818" s="30"/>
      <c r="O818" s="31"/>
      <c r="P818" s="32" t="str">
        <f aca="false">IF($J818="","",$J818-WEEKDAY($J818,3))</f>
        <v/>
      </c>
      <c r="Q818" s="32" t="str">
        <f aca="false">IF($J818="","",IF($K818="",$J818,$K818))</f>
        <v/>
      </c>
      <c r="R818" s="28" t="str">
        <f aca="false">IF($E818="","",IF(OR($N818&lt;&gt;"Concluída",$O818="",$J818=""),0,IF($O818&lt;=$J818,1,0)))</f>
        <v/>
      </c>
      <c r="S818" s="28" t="str">
        <f aca="false">IF($E818="","",IF(OR($N818&lt;&gt;"Concluída",$O818="",$Q818=""),0,IF($O818&lt;=$Q818,1,0)))</f>
        <v/>
      </c>
      <c r="T818" s="28" t="str">
        <f aca="false">IF(OR($J818="",$N818&lt;&gt;"Concluída",$O818=""),"",MAX(0,$O818-$J818))</f>
        <v/>
      </c>
      <c r="U818" s="33" t="str">
        <f aca="true">IF($E818="","",IF($N818="Cancelada","Cancelada",IF($N818="Concluída",IF($R818=1,"No prazo","Concluída com atraso"),IF($J818="","Na carteira",IF($J818&lt;TODAY(),"VENCIDA",IF($J818=TODAY(),"Hoje","Programada"))))))</f>
        <v/>
      </c>
    </row>
    <row r="819" customFormat="false" ht="15.75" hidden="false" customHeight="true" outlineLevel="0" collapsed="false">
      <c r="A819" s="28" t="str">
        <f aca="false">IF($E819="","",COUNTA($E$4:$E819))</f>
        <v/>
      </c>
      <c r="B819" s="34"/>
      <c r="C819" s="34"/>
      <c r="D819" s="34"/>
      <c r="E819" s="34"/>
      <c r="F819" s="35"/>
      <c r="G819" s="34"/>
      <c r="H819" s="35"/>
      <c r="I819" s="34"/>
      <c r="J819" s="36"/>
      <c r="K819" s="36"/>
      <c r="L819" s="35"/>
      <c r="M819" s="34"/>
      <c r="N819" s="35"/>
      <c r="O819" s="36"/>
      <c r="P819" s="32" t="str">
        <f aca="false">IF($J819="","",$J819-WEEKDAY($J819,3))</f>
        <v/>
      </c>
      <c r="Q819" s="32" t="str">
        <f aca="false">IF($J819="","",IF($K819="",$J819,$K819))</f>
        <v/>
      </c>
      <c r="R819" s="28" t="str">
        <f aca="false">IF($E819="","",IF(OR($N819&lt;&gt;"Concluída",$O819="",$J819=""),0,IF($O819&lt;=$J819,1,0)))</f>
        <v/>
      </c>
      <c r="S819" s="28" t="str">
        <f aca="false">IF($E819="","",IF(OR($N819&lt;&gt;"Concluída",$O819="",$Q819=""),0,IF($O819&lt;=$Q819,1,0)))</f>
        <v/>
      </c>
      <c r="T819" s="28" t="str">
        <f aca="false">IF(OR($J819="",$N819&lt;&gt;"Concluída",$O819=""),"",MAX(0,$O819-$J819))</f>
        <v/>
      </c>
      <c r="U819" s="33" t="str">
        <f aca="true">IF($E819="","",IF($N819="Cancelada","Cancelada",IF($N819="Concluída",IF($R819=1,"No prazo","Concluída com atraso"),IF($J819="","Na carteira",IF($J819&lt;TODAY(),"VENCIDA",IF($J819=TODAY(),"Hoje","Programada"))))))</f>
        <v/>
      </c>
    </row>
    <row r="820" customFormat="false" ht="15.75" hidden="false" customHeight="true" outlineLevel="0" collapsed="false">
      <c r="A820" s="28" t="str">
        <f aca="false">IF($E820="","",COUNTA($E$4:$E820))</f>
        <v/>
      </c>
      <c r="B820" s="29"/>
      <c r="C820" s="29"/>
      <c r="D820" s="29"/>
      <c r="E820" s="29"/>
      <c r="F820" s="30"/>
      <c r="G820" s="29"/>
      <c r="H820" s="30"/>
      <c r="I820" s="29"/>
      <c r="J820" s="31"/>
      <c r="K820" s="31"/>
      <c r="L820" s="30"/>
      <c r="M820" s="29"/>
      <c r="N820" s="30"/>
      <c r="O820" s="31"/>
      <c r="P820" s="32" t="str">
        <f aca="false">IF($J820="","",$J820-WEEKDAY($J820,3))</f>
        <v/>
      </c>
      <c r="Q820" s="32" t="str">
        <f aca="false">IF($J820="","",IF($K820="",$J820,$K820))</f>
        <v/>
      </c>
      <c r="R820" s="28" t="str">
        <f aca="false">IF($E820="","",IF(OR($N820&lt;&gt;"Concluída",$O820="",$J820=""),0,IF($O820&lt;=$J820,1,0)))</f>
        <v/>
      </c>
      <c r="S820" s="28" t="str">
        <f aca="false">IF($E820="","",IF(OR($N820&lt;&gt;"Concluída",$O820="",$Q820=""),0,IF($O820&lt;=$Q820,1,0)))</f>
        <v/>
      </c>
      <c r="T820" s="28" t="str">
        <f aca="false">IF(OR($J820="",$N820&lt;&gt;"Concluída",$O820=""),"",MAX(0,$O820-$J820))</f>
        <v/>
      </c>
      <c r="U820" s="33" t="str">
        <f aca="true">IF($E820="","",IF($N820="Cancelada","Cancelada",IF($N820="Concluída",IF($R820=1,"No prazo","Concluída com atraso"),IF($J820="","Na carteira",IF($J820&lt;TODAY(),"VENCIDA",IF($J820=TODAY(),"Hoje","Programada"))))))</f>
        <v/>
      </c>
    </row>
    <row r="821" customFormat="false" ht="15.75" hidden="false" customHeight="true" outlineLevel="0" collapsed="false">
      <c r="A821" s="28" t="str">
        <f aca="false">IF($E821="","",COUNTA($E$4:$E821))</f>
        <v/>
      </c>
      <c r="B821" s="34"/>
      <c r="C821" s="34"/>
      <c r="D821" s="34"/>
      <c r="E821" s="34"/>
      <c r="F821" s="35"/>
      <c r="G821" s="34"/>
      <c r="H821" s="35"/>
      <c r="I821" s="34"/>
      <c r="J821" s="36"/>
      <c r="K821" s="36"/>
      <c r="L821" s="35"/>
      <c r="M821" s="34"/>
      <c r="N821" s="35"/>
      <c r="O821" s="36"/>
      <c r="P821" s="32" t="str">
        <f aca="false">IF($J821="","",$J821-WEEKDAY($J821,3))</f>
        <v/>
      </c>
      <c r="Q821" s="32" t="str">
        <f aca="false">IF($J821="","",IF($K821="",$J821,$K821))</f>
        <v/>
      </c>
      <c r="R821" s="28" t="str">
        <f aca="false">IF($E821="","",IF(OR($N821&lt;&gt;"Concluída",$O821="",$J821=""),0,IF($O821&lt;=$J821,1,0)))</f>
        <v/>
      </c>
      <c r="S821" s="28" t="str">
        <f aca="false">IF($E821="","",IF(OR($N821&lt;&gt;"Concluída",$O821="",$Q821=""),0,IF($O821&lt;=$Q821,1,0)))</f>
        <v/>
      </c>
      <c r="T821" s="28" t="str">
        <f aca="false">IF(OR($J821="",$N821&lt;&gt;"Concluída",$O821=""),"",MAX(0,$O821-$J821))</f>
        <v/>
      </c>
      <c r="U821" s="33" t="str">
        <f aca="true">IF($E821="","",IF($N821="Cancelada","Cancelada",IF($N821="Concluída",IF($R821=1,"No prazo","Concluída com atraso"),IF($J821="","Na carteira",IF($J821&lt;TODAY(),"VENCIDA",IF($J821=TODAY(),"Hoje","Programada"))))))</f>
        <v/>
      </c>
    </row>
    <row r="822" customFormat="false" ht="15.75" hidden="false" customHeight="true" outlineLevel="0" collapsed="false">
      <c r="A822" s="28" t="str">
        <f aca="false">IF($E822="","",COUNTA($E$4:$E822))</f>
        <v/>
      </c>
      <c r="B822" s="29"/>
      <c r="C822" s="29"/>
      <c r="D822" s="29"/>
      <c r="E822" s="29"/>
      <c r="F822" s="30"/>
      <c r="G822" s="29"/>
      <c r="H822" s="30"/>
      <c r="I822" s="29"/>
      <c r="J822" s="31"/>
      <c r="K822" s="31"/>
      <c r="L822" s="30"/>
      <c r="M822" s="29"/>
      <c r="N822" s="30"/>
      <c r="O822" s="31"/>
      <c r="P822" s="32" t="str">
        <f aca="false">IF($J822="","",$J822-WEEKDAY($J822,3))</f>
        <v/>
      </c>
      <c r="Q822" s="32" t="str">
        <f aca="false">IF($J822="","",IF($K822="",$J822,$K822))</f>
        <v/>
      </c>
      <c r="R822" s="28" t="str">
        <f aca="false">IF($E822="","",IF(OR($N822&lt;&gt;"Concluída",$O822="",$J822=""),0,IF($O822&lt;=$J822,1,0)))</f>
        <v/>
      </c>
      <c r="S822" s="28" t="str">
        <f aca="false">IF($E822="","",IF(OR($N822&lt;&gt;"Concluída",$O822="",$Q822=""),0,IF($O822&lt;=$Q822,1,0)))</f>
        <v/>
      </c>
      <c r="T822" s="28" t="str">
        <f aca="false">IF(OR($J822="",$N822&lt;&gt;"Concluída",$O822=""),"",MAX(0,$O822-$J822))</f>
        <v/>
      </c>
      <c r="U822" s="33" t="str">
        <f aca="true">IF($E822="","",IF($N822="Cancelada","Cancelada",IF($N822="Concluída",IF($R822=1,"No prazo","Concluída com atraso"),IF($J822="","Na carteira",IF($J822&lt;TODAY(),"VENCIDA",IF($J822=TODAY(),"Hoje","Programada"))))))</f>
        <v/>
      </c>
    </row>
    <row r="823" customFormat="false" ht="15.75" hidden="false" customHeight="true" outlineLevel="0" collapsed="false">
      <c r="A823" s="28" t="str">
        <f aca="false">IF($E823="","",COUNTA($E$4:$E823))</f>
        <v/>
      </c>
      <c r="B823" s="34"/>
      <c r="C823" s="34"/>
      <c r="D823" s="34"/>
      <c r="E823" s="34"/>
      <c r="F823" s="35"/>
      <c r="G823" s="34"/>
      <c r="H823" s="35"/>
      <c r="I823" s="34"/>
      <c r="J823" s="36"/>
      <c r="K823" s="36"/>
      <c r="L823" s="35"/>
      <c r="M823" s="34"/>
      <c r="N823" s="35"/>
      <c r="O823" s="36"/>
      <c r="P823" s="32" t="str">
        <f aca="false">IF($J823="","",$J823-WEEKDAY($J823,3))</f>
        <v/>
      </c>
      <c r="Q823" s="32" t="str">
        <f aca="false">IF($J823="","",IF($K823="",$J823,$K823))</f>
        <v/>
      </c>
      <c r="R823" s="28" t="str">
        <f aca="false">IF($E823="","",IF(OR($N823&lt;&gt;"Concluída",$O823="",$J823=""),0,IF($O823&lt;=$J823,1,0)))</f>
        <v/>
      </c>
      <c r="S823" s="28" t="str">
        <f aca="false">IF($E823="","",IF(OR($N823&lt;&gt;"Concluída",$O823="",$Q823=""),0,IF($O823&lt;=$Q823,1,0)))</f>
        <v/>
      </c>
      <c r="T823" s="28" t="str">
        <f aca="false">IF(OR($J823="",$N823&lt;&gt;"Concluída",$O823=""),"",MAX(0,$O823-$J823))</f>
        <v/>
      </c>
      <c r="U823" s="33" t="str">
        <f aca="true">IF($E823="","",IF($N823="Cancelada","Cancelada",IF($N823="Concluída",IF($R823=1,"No prazo","Concluída com atraso"),IF($J823="","Na carteira",IF($J823&lt;TODAY(),"VENCIDA",IF($J823=TODAY(),"Hoje","Programada"))))))</f>
        <v/>
      </c>
    </row>
    <row r="824" customFormat="false" ht="15.75" hidden="false" customHeight="true" outlineLevel="0" collapsed="false">
      <c r="A824" s="28" t="str">
        <f aca="false">IF($E824="","",COUNTA($E$4:$E824))</f>
        <v/>
      </c>
      <c r="B824" s="29"/>
      <c r="C824" s="29"/>
      <c r="D824" s="29"/>
      <c r="E824" s="29"/>
      <c r="F824" s="30"/>
      <c r="G824" s="29"/>
      <c r="H824" s="30"/>
      <c r="I824" s="29"/>
      <c r="J824" s="31"/>
      <c r="K824" s="31"/>
      <c r="L824" s="30"/>
      <c r="M824" s="29"/>
      <c r="N824" s="30"/>
      <c r="O824" s="31"/>
      <c r="P824" s="32" t="str">
        <f aca="false">IF($J824="","",$J824-WEEKDAY($J824,3))</f>
        <v/>
      </c>
      <c r="Q824" s="32" t="str">
        <f aca="false">IF($J824="","",IF($K824="",$J824,$K824))</f>
        <v/>
      </c>
      <c r="R824" s="28" t="str">
        <f aca="false">IF($E824="","",IF(OR($N824&lt;&gt;"Concluída",$O824="",$J824=""),0,IF($O824&lt;=$J824,1,0)))</f>
        <v/>
      </c>
      <c r="S824" s="28" t="str">
        <f aca="false">IF($E824="","",IF(OR($N824&lt;&gt;"Concluída",$O824="",$Q824=""),0,IF($O824&lt;=$Q824,1,0)))</f>
        <v/>
      </c>
      <c r="T824" s="28" t="str">
        <f aca="false">IF(OR($J824="",$N824&lt;&gt;"Concluída",$O824=""),"",MAX(0,$O824-$J824))</f>
        <v/>
      </c>
      <c r="U824" s="33" t="str">
        <f aca="true">IF($E824="","",IF($N824="Cancelada","Cancelada",IF($N824="Concluída",IF($R824=1,"No prazo","Concluída com atraso"),IF($J824="","Na carteira",IF($J824&lt;TODAY(),"VENCIDA",IF($J824=TODAY(),"Hoje","Programada"))))))</f>
        <v/>
      </c>
    </row>
    <row r="825" customFormat="false" ht="15.75" hidden="false" customHeight="true" outlineLevel="0" collapsed="false">
      <c r="A825" s="28" t="str">
        <f aca="false">IF($E825="","",COUNTA($E$4:$E825))</f>
        <v/>
      </c>
      <c r="B825" s="34"/>
      <c r="C825" s="34"/>
      <c r="D825" s="34"/>
      <c r="E825" s="34"/>
      <c r="F825" s="35"/>
      <c r="G825" s="34"/>
      <c r="H825" s="35"/>
      <c r="I825" s="34"/>
      <c r="J825" s="36"/>
      <c r="K825" s="36"/>
      <c r="L825" s="35"/>
      <c r="M825" s="34"/>
      <c r="N825" s="35"/>
      <c r="O825" s="36"/>
      <c r="P825" s="32" t="str">
        <f aca="false">IF($J825="","",$J825-WEEKDAY($J825,3))</f>
        <v/>
      </c>
      <c r="Q825" s="32" t="str">
        <f aca="false">IF($J825="","",IF($K825="",$J825,$K825))</f>
        <v/>
      </c>
      <c r="R825" s="28" t="str">
        <f aca="false">IF($E825="","",IF(OR($N825&lt;&gt;"Concluída",$O825="",$J825=""),0,IF($O825&lt;=$J825,1,0)))</f>
        <v/>
      </c>
      <c r="S825" s="28" t="str">
        <f aca="false">IF($E825="","",IF(OR($N825&lt;&gt;"Concluída",$O825="",$Q825=""),0,IF($O825&lt;=$Q825,1,0)))</f>
        <v/>
      </c>
      <c r="T825" s="28" t="str">
        <f aca="false">IF(OR($J825="",$N825&lt;&gt;"Concluída",$O825=""),"",MAX(0,$O825-$J825))</f>
        <v/>
      </c>
      <c r="U825" s="33" t="str">
        <f aca="true">IF($E825="","",IF($N825="Cancelada","Cancelada",IF($N825="Concluída",IF($R825=1,"No prazo","Concluída com atraso"),IF($J825="","Na carteira",IF($J825&lt;TODAY(),"VENCIDA",IF($J825=TODAY(),"Hoje","Programada"))))))</f>
        <v/>
      </c>
    </row>
    <row r="826" customFormat="false" ht="15.75" hidden="false" customHeight="true" outlineLevel="0" collapsed="false">
      <c r="A826" s="28" t="str">
        <f aca="false">IF($E826="","",COUNTA($E$4:$E826))</f>
        <v/>
      </c>
      <c r="B826" s="29"/>
      <c r="C826" s="29"/>
      <c r="D826" s="29"/>
      <c r="E826" s="29"/>
      <c r="F826" s="30"/>
      <c r="G826" s="29"/>
      <c r="H826" s="30"/>
      <c r="I826" s="29"/>
      <c r="J826" s="31"/>
      <c r="K826" s="31"/>
      <c r="L826" s="30"/>
      <c r="M826" s="29"/>
      <c r="N826" s="30"/>
      <c r="O826" s="31"/>
      <c r="P826" s="32" t="str">
        <f aca="false">IF($J826="","",$J826-WEEKDAY($J826,3))</f>
        <v/>
      </c>
      <c r="Q826" s="32" t="str">
        <f aca="false">IF($J826="","",IF($K826="",$J826,$K826))</f>
        <v/>
      </c>
      <c r="R826" s="28" t="str">
        <f aca="false">IF($E826="","",IF(OR($N826&lt;&gt;"Concluída",$O826="",$J826=""),0,IF($O826&lt;=$J826,1,0)))</f>
        <v/>
      </c>
      <c r="S826" s="28" t="str">
        <f aca="false">IF($E826="","",IF(OR($N826&lt;&gt;"Concluída",$O826="",$Q826=""),0,IF($O826&lt;=$Q826,1,0)))</f>
        <v/>
      </c>
      <c r="T826" s="28" t="str">
        <f aca="false">IF(OR($J826="",$N826&lt;&gt;"Concluída",$O826=""),"",MAX(0,$O826-$J826))</f>
        <v/>
      </c>
      <c r="U826" s="33" t="str">
        <f aca="true">IF($E826="","",IF($N826="Cancelada","Cancelada",IF($N826="Concluída",IF($R826=1,"No prazo","Concluída com atraso"),IF($J826="","Na carteira",IF($J826&lt;TODAY(),"VENCIDA",IF($J826=TODAY(),"Hoje","Programada"))))))</f>
        <v/>
      </c>
    </row>
    <row r="827" customFormat="false" ht="15.75" hidden="false" customHeight="true" outlineLevel="0" collapsed="false">
      <c r="A827" s="28" t="str">
        <f aca="false">IF($E827="","",COUNTA($E$4:$E827))</f>
        <v/>
      </c>
      <c r="B827" s="34"/>
      <c r="C827" s="34"/>
      <c r="D827" s="34"/>
      <c r="E827" s="34"/>
      <c r="F827" s="35"/>
      <c r="G827" s="34"/>
      <c r="H827" s="35"/>
      <c r="I827" s="34"/>
      <c r="J827" s="36"/>
      <c r="K827" s="36"/>
      <c r="L827" s="35"/>
      <c r="M827" s="34"/>
      <c r="N827" s="35"/>
      <c r="O827" s="36"/>
      <c r="P827" s="32" t="str">
        <f aca="false">IF($J827="","",$J827-WEEKDAY($J827,3))</f>
        <v/>
      </c>
      <c r="Q827" s="32" t="str">
        <f aca="false">IF($J827="","",IF($K827="",$J827,$K827))</f>
        <v/>
      </c>
      <c r="R827" s="28" t="str">
        <f aca="false">IF($E827="","",IF(OR($N827&lt;&gt;"Concluída",$O827="",$J827=""),0,IF($O827&lt;=$J827,1,0)))</f>
        <v/>
      </c>
      <c r="S827" s="28" t="str">
        <f aca="false">IF($E827="","",IF(OR($N827&lt;&gt;"Concluída",$O827="",$Q827=""),0,IF($O827&lt;=$Q827,1,0)))</f>
        <v/>
      </c>
      <c r="T827" s="28" t="str">
        <f aca="false">IF(OR($J827="",$N827&lt;&gt;"Concluída",$O827=""),"",MAX(0,$O827-$J827))</f>
        <v/>
      </c>
      <c r="U827" s="33" t="str">
        <f aca="true">IF($E827="","",IF($N827="Cancelada","Cancelada",IF($N827="Concluída",IF($R827=1,"No prazo","Concluída com atraso"),IF($J827="","Na carteira",IF($J827&lt;TODAY(),"VENCIDA",IF($J827=TODAY(),"Hoje","Programada"))))))</f>
        <v/>
      </c>
    </row>
    <row r="828" customFormat="false" ht="15.75" hidden="false" customHeight="true" outlineLevel="0" collapsed="false">
      <c r="A828" s="28" t="str">
        <f aca="false">IF($E828="","",COUNTA($E$4:$E828))</f>
        <v/>
      </c>
      <c r="B828" s="29"/>
      <c r="C828" s="29"/>
      <c r="D828" s="29"/>
      <c r="E828" s="29"/>
      <c r="F828" s="30"/>
      <c r="G828" s="29"/>
      <c r="H828" s="30"/>
      <c r="I828" s="29"/>
      <c r="J828" s="31"/>
      <c r="K828" s="31"/>
      <c r="L828" s="30"/>
      <c r="M828" s="29"/>
      <c r="N828" s="30"/>
      <c r="O828" s="31"/>
      <c r="P828" s="32" t="str">
        <f aca="false">IF($J828="","",$J828-WEEKDAY($J828,3))</f>
        <v/>
      </c>
      <c r="Q828" s="32" t="str">
        <f aca="false">IF($J828="","",IF($K828="",$J828,$K828))</f>
        <v/>
      </c>
      <c r="R828" s="28" t="str">
        <f aca="false">IF($E828="","",IF(OR($N828&lt;&gt;"Concluída",$O828="",$J828=""),0,IF($O828&lt;=$J828,1,0)))</f>
        <v/>
      </c>
      <c r="S828" s="28" t="str">
        <f aca="false">IF($E828="","",IF(OR($N828&lt;&gt;"Concluída",$O828="",$Q828=""),0,IF($O828&lt;=$Q828,1,0)))</f>
        <v/>
      </c>
      <c r="T828" s="28" t="str">
        <f aca="false">IF(OR($J828="",$N828&lt;&gt;"Concluída",$O828=""),"",MAX(0,$O828-$J828))</f>
        <v/>
      </c>
      <c r="U828" s="33" t="str">
        <f aca="true">IF($E828="","",IF($N828="Cancelada","Cancelada",IF($N828="Concluída",IF($R828=1,"No prazo","Concluída com atraso"),IF($J828="","Na carteira",IF($J828&lt;TODAY(),"VENCIDA",IF($J828=TODAY(),"Hoje","Programada"))))))</f>
        <v/>
      </c>
    </row>
    <row r="829" customFormat="false" ht="15.75" hidden="false" customHeight="true" outlineLevel="0" collapsed="false">
      <c r="A829" s="28" t="str">
        <f aca="false">IF($E829="","",COUNTA($E$4:$E829))</f>
        <v/>
      </c>
      <c r="B829" s="34"/>
      <c r="C829" s="34"/>
      <c r="D829" s="34"/>
      <c r="E829" s="34"/>
      <c r="F829" s="35"/>
      <c r="G829" s="34"/>
      <c r="H829" s="35"/>
      <c r="I829" s="34"/>
      <c r="J829" s="36"/>
      <c r="K829" s="36"/>
      <c r="L829" s="35"/>
      <c r="M829" s="34"/>
      <c r="N829" s="35"/>
      <c r="O829" s="36"/>
      <c r="P829" s="32" t="str">
        <f aca="false">IF($J829="","",$J829-WEEKDAY($J829,3))</f>
        <v/>
      </c>
      <c r="Q829" s="32" t="str">
        <f aca="false">IF($J829="","",IF($K829="",$J829,$K829))</f>
        <v/>
      </c>
      <c r="R829" s="28" t="str">
        <f aca="false">IF($E829="","",IF(OR($N829&lt;&gt;"Concluída",$O829="",$J829=""),0,IF($O829&lt;=$J829,1,0)))</f>
        <v/>
      </c>
      <c r="S829" s="28" t="str">
        <f aca="false">IF($E829="","",IF(OR($N829&lt;&gt;"Concluída",$O829="",$Q829=""),0,IF($O829&lt;=$Q829,1,0)))</f>
        <v/>
      </c>
      <c r="T829" s="28" t="str">
        <f aca="false">IF(OR($J829="",$N829&lt;&gt;"Concluída",$O829=""),"",MAX(0,$O829-$J829))</f>
        <v/>
      </c>
      <c r="U829" s="33" t="str">
        <f aca="true">IF($E829="","",IF($N829="Cancelada","Cancelada",IF($N829="Concluída",IF($R829=1,"No prazo","Concluída com atraso"),IF($J829="","Na carteira",IF($J829&lt;TODAY(),"VENCIDA",IF($J829=TODAY(),"Hoje","Programada"))))))</f>
        <v/>
      </c>
    </row>
    <row r="830" customFormat="false" ht="15.75" hidden="false" customHeight="true" outlineLevel="0" collapsed="false">
      <c r="A830" s="28" t="str">
        <f aca="false">IF($E830="","",COUNTA($E$4:$E830))</f>
        <v/>
      </c>
      <c r="B830" s="29"/>
      <c r="C830" s="29"/>
      <c r="D830" s="29"/>
      <c r="E830" s="29"/>
      <c r="F830" s="30"/>
      <c r="G830" s="29"/>
      <c r="H830" s="30"/>
      <c r="I830" s="29"/>
      <c r="J830" s="31"/>
      <c r="K830" s="31"/>
      <c r="L830" s="30"/>
      <c r="M830" s="29"/>
      <c r="N830" s="30"/>
      <c r="O830" s="31"/>
      <c r="P830" s="32" t="str">
        <f aca="false">IF($J830="","",$J830-WEEKDAY($J830,3))</f>
        <v/>
      </c>
      <c r="Q830" s="32" t="str">
        <f aca="false">IF($J830="","",IF($K830="",$J830,$K830))</f>
        <v/>
      </c>
      <c r="R830" s="28" t="str">
        <f aca="false">IF($E830="","",IF(OR($N830&lt;&gt;"Concluída",$O830="",$J830=""),0,IF($O830&lt;=$J830,1,0)))</f>
        <v/>
      </c>
      <c r="S830" s="28" t="str">
        <f aca="false">IF($E830="","",IF(OR($N830&lt;&gt;"Concluída",$O830="",$Q830=""),0,IF($O830&lt;=$Q830,1,0)))</f>
        <v/>
      </c>
      <c r="T830" s="28" t="str">
        <f aca="false">IF(OR($J830="",$N830&lt;&gt;"Concluída",$O830=""),"",MAX(0,$O830-$J830))</f>
        <v/>
      </c>
      <c r="U830" s="33" t="str">
        <f aca="true">IF($E830="","",IF($N830="Cancelada","Cancelada",IF($N830="Concluída",IF($R830=1,"No prazo","Concluída com atraso"),IF($J830="","Na carteira",IF($J830&lt;TODAY(),"VENCIDA",IF($J830=TODAY(),"Hoje","Programada"))))))</f>
        <v/>
      </c>
    </row>
    <row r="831" customFormat="false" ht="15.75" hidden="false" customHeight="true" outlineLevel="0" collapsed="false">
      <c r="A831" s="28" t="str">
        <f aca="false">IF($E831="","",COUNTA($E$4:$E831))</f>
        <v/>
      </c>
      <c r="B831" s="34"/>
      <c r="C831" s="34"/>
      <c r="D831" s="34"/>
      <c r="E831" s="34"/>
      <c r="F831" s="35"/>
      <c r="G831" s="34"/>
      <c r="H831" s="35"/>
      <c r="I831" s="34"/>
      <c r="J831" s="36"/>
      <c r="K831" s="36"/>
      <c r="L831" s="35"/>
      <c r="M831" s="34"/>
      <c r="N831" s="35"/>
      <c r="O831" s="36"/>
      <c r="P831" s="32" t="str">
        <f aca="false">IF($J831="","",$J831-WEEKDAY($J831,3))</f>
        <v/>
      </c>
      <c r="Q831" s="32" t="str">
        <f aca="false">IF($J831="","",IF($K831="",$J831,$K831))</f>
        <v/>
      </c>
      <c r="R831" s="28" t="str">
        <f aca="false">IF($E831="","",IF(OR($N831&lt;&gt;"Concluída",$O831="",$J831=""),0,IF($O831&lt;=$J831,1,0)))</f>
        <v/>
      </c>
      <c r="S831" s="28" t="str">
        <f aca="false">IF($E831="","",IF(OR($N831&lt;&gt;"Concluída",$O831="",$Q831=""),0,IF($O831&lt;=$Q831,1,0)))</f>
        <v/>
      </c>
      <c r="T831" s="28" t="str">
        <f aca="false">IF(OR($J831="",$N831&lt;&gt;"Concluída",$O831=""),"",MAX(0,$O831-$J831))</f>
        <v/>
      </c>
      <c r="U831" s="33" t="str">
        <f aca="true">IF($E831="","",IF($N831="Cancelada","Cancelada",IF($N831="Concluída",IF($R831=1,"No prazo","Concluída com atraso"),IF($J831="","Na carteira",IF($J831&lt;TODAY(),"VENCIDA",IF($J831=TODAY(),"Hoje","Programada"))))))</f>
        <v/>
      </c>
    </row>
    <row r="832" customFormat="false" ht="15.75" hidden="false" customHeight="true" outlineLevel="0" collapsed="false">
      <c r="A832" s="28" t="str">
        <f aca="false">IF($E832="","",COUNTA($E$4:$E832))</f>
        <v/>
      </c>
      <c r="B832" s="29"/>
      <c r="C832" s="29"/>
      <c r="D832" s="29"/>
      <c r="E832" s="29"/>
      <c r="F832" s="30"/>
      <c r="G832" s="29"/>
      <c r="H832" s="30"/>
      <c r="I832" s="29"/>
      <c r="J832" s="31"/>
      <c r="K832" s="31"/>
      <c r="L832" s="30"/>
      <c r="M832" s="29"/>
      <c r="N832" s="30"/>
      <c r="O832" s="31"/>
      <c r="P832" s="32" t="str">
        <f aca="false">IF($J832="","",$J832-WEEKDAY($J832,3))</f>
        <v/>
      </c>
      <c r="Q832" s="32" t="str">
        <f aca="false">IF($J832="","",IF($K832="",$J832,$K832))</f>
        <v/>
      </c>
      <c r="R832" s="28" t="str">
        <f aca="false">IF($E832="","",IF(OR($N832&lt;&gt;"Concluída",$O832="",$J832=""),0,IF($O832&lt;=$J832,1,0)))</f>
        <v/>
      </c>
      <c r="S832" s="28" t="str">
        <f aca="false">IF($E832="","",IF(OR($N832&lt;&gt;"Concluída",$O832="",$Q832=""),0,IF($O832&lt;=$Q832,1,0)))</f>
        <v/>
      </c>
      <c r="T832" s="28" t="str">
        <f aca="false">IF(OR($J832="",$N832&lt;&gt;"Concluída",$O832=""),"",MAX(0,$O832-$J832))</f>
        <v/>
      </c>
      <c r="U832" s="33" t="str">
        <f aca="true">IF($E832="","",IF($N832="Cancelada","Cancelada",IF($N832="Concluída",IF($R832=1,"No prazo","Concluída com atraso"),IF($J832="","Na carteira",IF($J832&lt;TODAY(),"VENCIDA",IF($J832=TODAY(),"Hoje","Programada"))))))</f>
        <v/>
      </c>
    </row>
    <row r="833" customFormat="false" ht="15.75" hidden="false" customHeight="true" outlineLevel="0" collapsed="false">
      <c r="A833" s="28" t="str">
        <f aca="false">IF($E833="","",COUNTA($E$4:$E833))</f>
        <v/>
      </c>
      <c r="B833" s="34"/>
      <c r="C833" s="34"/>
      <c r="D833" s="34"/>
      <c r="E833" s="34"/>
      <c r="F833" s="35"/>
      <c r="G833" s="34"/>
      <c r="H833" s="35"/>
      <c r="I833" s="34"/>
      <c r="J833" s="36"/>
      <c r="K833" s="36"/>
      <c r="L833" s="35"/>
      <c r="M833" s="34"/>
      <c r="N833" s="35"/>
      <c r="O833" s="36"/>
      <c r="P833" s="32" t="str">
        <f aca="false">IF($J833="","",$J833-WEEKDAY($J833,3))</f>
        <v/>
      </c>
      <c r="Q833" s="32" t="str">
        <f aca="false">IF($J833="","",IF($K833="",$J833,$K833))</f>
        <v/>
      </c>
      <c r="R833" s="28" t="str">
        <f aca="false">IF($E833="","",IF(OR($N833&lt;&gt;"Concluída",$O833="",$J833=""),0,IF($O833&lt;=$J833,1,0)))</f>
        <v/>
      </c>
      <c r="S833" s="28" t="str">
        <f aca="false">IF($E833="","",IF(OR($N833&lt;&gt;"Concluída",$O833="",$Q833=""),0,IF($O833&lt;=$Q833,1,0)))</f>
        <v/>
      </c>
      <c r="T833" s="28" t="str">
        <f aca="false">IF(OR($J833="",$N833&lt;&gt;"Concluída",$O833=""),"",MAX(0,$O833-$J833))</f>
        <v/>
      </c>
      <c r="U833" s="33" t="str">
        <f aca="true">IF($E833="","",IF($N833="Cancelada","Cancelada",IF($N833="Concluída",IF($R833=1,"No prazo","Concluída com atraso"),IF($J833="","Na carteira",IF($J833&lt;TODAY(),"VENCIDA",IF($J833=TODAY(),"Hoje","Programada"))))))</f>
        <v/>
      </c>
    </row>
    <row r="834" customFormat="false" ht="15.75" hidden="false" customHeight="true" outlineLevel="0" collapsed="false">
      <c r="A834" s="28" t="str">
        <f aca="false">IF($E834="","",COUNTA($E$4:$E834))</f>
        <v/>
      </c>
      <c r="B834" s="29"/>
      <c r="C834" s="29"/>
      <c r="D834" s="29"/>
      <c r="E834" s="29"/>
      <c r="F834" s="30"/>
      <c r="G834" s="29"/>
      <c r="H834" s="30"/>
      <c r="I834" s="29"/>
      <c r="J834" s="31"/>
      <c r="K834" s="31"/>
      <c r="L834" s="30"/>
      <c r="M834" s="29"/>
      <c r="N834" s="30"/>
      <c r="O834" s="31"/>
      <c r="P834" s="32" t="str">
        <f aca="false">IF($J834="","",$J834-WEEKDAY($J834,3))</f>
        <v/>
      </c>
      <c r="Q834" s="32" t="str">
        <f aca="false">IF($J834="","",IF($K834="",$J834,$K834))</f>
        <v/>
      </c>
      <c r="R834" s="28" t="str">
        <f aca="false">IF($E834="","",IF(OR($N834&lt;&gt;"Concluída",$O834="",$J834=""),0,IF($O834&lt;=$J834,1,0)))</f>
        <v/>
      </c>
      <c r="S834" s="28" t="str">
        <f aca="false">IF($E834="","",IF(OR($N834&lt;&gt;"Concluída",$O834="",$Q834=""),0,IF($O834&lt;=$Q834,1,0)))</f>
        <v/>
      </c>
      <c r="T834" s="28" t="str">
        <f aca="false">IF(OR($J834="",$N834&lt;&gt;"Concluída",$O834=""),"",MAX(0,$O834-$J834))</f>
        <v/>
      </c>
      <c r="U834" s="33" t="str">
        <f aca="true">IF($E834="","",IF($N834="Cancelada","Cancelada",IF($N834="Concluída",IF($R834=1,"No prazo","Concluída com atraso"),IF($J834="","Na carteira",IF($J834&lt;TODAY(),"VENCIDA",IF($J834=TODAY(),"Hoje","Programada"))))))</f>
        <v/>
      </c>
    </row>
    <row r="835" customFormat="false" ht="15.75" hidden="false" customHeight="true" outlineLevel="0" collapsed="false">
      <c r="A835" s="28" t="str">
        <f aca="false">IF($E835="","",COUNTA($E$4:$E835))</f>
        <v/>
      </c>
      <c r="B835" s="34"/>
      <c r="C835" s="34"/>
      <c r="D835" s="34"/>
      <c r="E835" s="34"/>
      <c r="F835" s="35"/>
      <c r="G835" s="34"/>
      <c r="H835" s="35"/>
      <c r="I835" s="34"/>
      <c r="J835" s="36"/>
      <c r="K835" s="36"/>
      <c r="L835" s="35"/>
      <c r="M835" s="34"/>
      <c r="N835" s="35"/>
      <c r="O835" s="36"/>
      <c r="P835" s="32" t="str">
        <f aca="false">IF($J835="","",$J835-WEEKDAY($J835,3))</f>
        <v/>
      </c>
      <c r="Q835" s="32" t="str">
        <f aca="false">IF($J835="","",IF($K835="",$J835,$K835))</f>
        <v/>
      </c>
      <c r="R835" s="28" t="str">
        <f aca="false">IF($E835="","",IF(OR($N835&lt;&gt;"Concluída",$O835="",$J835=""),0,IF($O835&lt;=$J835,1,0)))</f>
        <v/>
      </c>
      <c r="S835" s="28" t="str">
        <f aca="false">IF($E835="","",IF(OR($N835&lt;&gt;"Concluída",$O835="",$Q835=""),0,IF($O835&lt;=$Q835,1,0)))</f>
        <v/>
      </c>
      <c r="T835" s="28" t="str">
        <f aca="false">IF(OR($J835="",$N835&lt;&gt;"Concluída",$O835=""),"",MAX(0,$O835-$J835))</f>
        <v/>
      </c>
      <c r="U835" s="33" t="str">
        <f aca="true">IF($E835="","",IF($N835="Cancelada","Cancelada",IF($N835="Concluída",IF($R835=1,"No prazo","Concluída com atraso"),IF($J835="","Na carteira",IF($J835&lt;TODAY(),"VENCIDA",IF($J835=TODAY(),"Hoje","Programada"))))))</f>
        <v/>
      </c>
    </row>
    <row r="836" customFormat="false" ht="15.75" hidden="false" customHeight="true" outlineLevel="0" collapsed="false">
      <c r="A836" s="28" t="str">
        <f aca="false">IF($E836="","",COUNTA($E$4:$E836))</f>
        <v/>
      </c>
      <c r="B836" s="29"/>
      <c r="C836" s="29"/>
      <c r="D836" s="29"/>
      <c r="E836" s="29"/>
      <c r="F836" s="30"/>
      <c r="G836" s="29"/>
      <c r="H836" s="30"/>
      <c r="I836" s="29"/>
      <c r="J836" s="31"/>
      <c r="K836" s="31"/>
      <c r="L836" s="30"/>
      <c r="M836" s="29"/>
      <c r="N836" s="30"/>
      <c r="O836" s="31"/>
      <c r="P836" s="32" t="str">
        <f aca="false">IF($J836="","",$J836-WEEKDAY($J836,3))</f>
        <v/>
      </c>
      <c r="Q836" s="32" t="str">
        <f aca="false">IF($J836="","",IF($K836="",$J836,$K836))</f>
        <v/>
      </c>
      <c r="R836" s="28" t="str">
        <f aca="false">IF($E836="","",IF(OR($N836&lt;&gt;"Concluída",$O836="",$J836=""),0,IF($O836&lt;=$J836,1,0)))</f>
        <v/>
      </c>
      <c r="S836" s="28" t="str">
        <f aca="false">IF($E836="","",IF(OR($N836&lt;&gt;"Concluída",$O836="",$Q836=""),0,IF($O836&lt;=$Q836,1,0)))</f>
        <v/>
      </c>
      <c r="T836" s="28" t="str">
        <f aca="false">IF(OR($J836="",$N836&lt;&gt;"Concluída",$O836=""),"",MAX(0,$O836-$J836))</f>
        <v/>
      </c>
      <c r="U836" s="33" t="str">
        <f aca="true">IF($E836="","",IF($N836="Cancelada","Cancelada",IF($N836="Concluída",IF($R836=1,"No prazo","Concluída com atraso"),IF($J836="","Na carteira",IF($J836&lt;TODAY(),"VENCIDA",IF($J836=TODAY(),"Hoje","Programada"))))))</f>
        <v/>
      </c>
    </row>
    <row r="837" customFormat="false" ht="15.75" hidden="false" customHeight="true" outlineLevel="0" collapsed="false">
      <c r="A837" s="28" t="str">
        <f aca="false">IF($E837="","",COUNTA($E$4:$E837))</f>
        <v/>
      </c>
      <c r="B837" s="34"/>
      <c r="C837" s="34"/>
      <c r="D837" s="34"/>
      <c r="E837" s="34"/>
      <c r="F837" s="35"/>
      <c r="G837" s="34"/>
      <c r="H837" s="35"/>
      <c r="I837" s="34"/>
      <c r="J837" s="36"/>
      <c r="K837" s="36"/>
      <c r="L837" s="35"/>
      <c r="M837" s="34"/>
      <c r="N837" s="35"/>
      <c r="O837" s="36"/>
      <c r="P837" s="32" t="str">
        <f aca="false">IF($J837="","",$J837-WEEKDAY($J837,3))</f>
        <v/>
      </c>
      <c r="Q837" s="32" t="str">
        <f aca="false">IF($J837="","",IF($K837="",$J837,$K837))</f>
        <v/>
      </c>
      <c r="R837" s="28" t="str">
        <f aca="false">IF($E837="","",IF(OR($N837&lt;&gt;"Concluída",$O837="",$J837=""),0,IF($O837&lt;=$J837,1,0)))</f>
        <v/>
      </c>
      <c r="S837" s="28" t="str">
        <f aca="false">IF($E837="","",IF(OR($N837&lt;&gt;"Concluída",$O837="",$Q837=""),0,IF($O837&lt;=$Q837,1,0)))</f>
        <v/>
      </c>
      <c r="T837" s="28" t="str">
        <f aca="false">IF(OR($J837="",$N837&lt;&gt;"Concluída",$O837=""),"",MAX(0,$O837-$J837))</f>
        <v/>
      </c>
      <c r="U837" s="33" t="str">
        <f aca="true">IF($E837="","",IF($N837="Cancelada","Cancelada",IF($N837="Concluída",IF($R837=1,"No prazo","Concluída com atraso"),IF($J837="","Na carteira",IF($J837&lt;TODAY(),"VENCIDA",IF($J837=TODAY(),"Hoje","Programada"))))))</f>
        <v/>
      </c>
    </row>
    <row r="838" customFormat="false" ht="15.75" hidden="false" customHeight="true" outlineLevel="0" collapsed="false">
      <c r="A838" s="28" t="str">
        <f aca="false">IF($E838="","",COUNTA($E$4:$E838))</f>
        <v/>
      </c>
      <c r="B838" s="29"/>
      <c r="C838" s="29"/>
      <c r="D838" s="29"/>
      <c r="E838" s="29"/>
      <c r="F838" s="30"/>
      <c r="G838" s="29"/>
      <c r="H838" s="30"/>
      <c r="I838" s="29"/>
      <c r="J838" s="31"/>
      <c r="K838" s="31"/>
      <c r="L838" s="30"/>
      <c r="M838" s="29"/>
      <c r="N838" s="30"/>
      <c r="O838" s="31"/>
      <c r="P838" s="32" t="str">
        <f aca="false">IF($J838="","",$J838-WEEKDAY($J838,3))</f>
        <v/>
      </c>
      <c r="Q838" s="32" t="str">
        <f aca="false">IF($J838="","",IF($K838="",$J838,$K838))</f>
        <v/>
      </c>
      <c r="R838" s="28" t="str">
        <f aca="false">IF($E838="","",IF(OR($N838&lt;&gt;"Concluída",$O838="",$J838=""),0,IF($O838&lt;=$J838,1,0)))</f>
        <v/>
      </c>
      <c r="S838" s="28" t="str">
        <f aca="false">IF($E838="","",IF(OR($N838&lt;&gt;"Concluída",$O838="",$Q838=""),0,IF($O838&lt;=$Q838,1,0)))</f>
        <v/>
      </c>
      <c r="T838" s="28" t="str">
        <f aca="false">IF(OR($J838="",$N838&lt;&gt;"Concluída",$O838=""),"",MAX(0,$O838-$J838))</f>
        <v/>
      </c>
      <c r="U838" s="33" t="str">
        <f aca="true">IF($E838="","",IF($N838="Cancelada","Cancelada",IF($N838="Concluída",IF($R838=1,"No prazo","Concluída com atraso"),IF($J838="","Na carteira",IF($J838&lt;TODAY(),"VENCIDA",IF($J838=TODAY(),"Hoje","Programada"))))))</f>
        <v/>
      </c>
    </row>
    <row r="839" customFormat="false" ht="15.75" hidden="false" customHeight="true" outlineLevel="0" collapsed="false">
      <c r="A839" s="28" t="str">
        <f aca="false">IF($E839="","",COUNTA($E$4:$E839))</f>
        <v/>
      </c>
      <c r="B839" s="34"/>
      <c r="C839" s="34"/>
      <c r="D839" s="34"/>
      <c r="E839" s="34"/>
      <c r="F839" s="35"/>
      <c r="G839" s="34"/>
      <c r="H839" s="35"/>
      <c r="I839" s="34"/>
      <c r="J839" s="36"/>
      <c r="K839" s="36"/>
      <c r="L839" s="35"/>
      <c r="M839" s="34"/>
      <c r="N839" s="35"/>
      <c r="O839" s="36"/>
      <c r="P839" s="32" t="str">
        <f aca="false">IF($J839="","",$J839-WEEKDAY($J839,3))</f>
        <v/>
      </c>
      <c r="Q839" s="32" t="str">
        <f aca="false">IF($J839="","",IF($K839="",$J839,$K839))</f>
        <v/>
      </c>
      <c r="R839" s="28" t="str">
        <f aca="false">IF($E839="","",IF(OR($N839&lt;&gt;"Concluída",$O839="",$J839=""),0,IF($O839&lt;=$J839,1,0)))</f>
        <v/>
      </c>
      <c r="S839" s="28" t="str">
        <f aca="false">IF($E839="","",IF(OR($N839&lt;&gt;"Concluída",$O839="",$Q839=""),0,IF($O839&lt;=$Q839,1,0)))</f>
        <v/>
      </c>
      <c r="T839" s="28" t="str">
        <f aca="false">IF(OR($J839="",$N839&lt;&gt;"Concluída",$O839=""),"",MAX(0,$O839-$J839))</f>
        <v/>
      </c>
      <c r="U839" s="33" t="str">
        <f aca="true">IF($E839="","",IF($N839="Cancelada","Cancelada",IF($N839="Concluída",IF($R839=1,"No prazo","Concluída com atraso"),IF($J839="","Na carteira",IF($J839&lt;TODAY(),"VENCIDA",IF($J839=TODAY(),"Hoje","Programada"))))))</f>
        <v/>
      </c>
    </row>
    <row r="840" customFormat="false" ht="15.75" hidden="false" customHeight="true" outlineLevel="0" collapsed="false">
      <c r="A840" s="28" t="str">
        <f aca="false">IF($E840="","",COUNTA($E$4:$E840))</f>
        <v/>
      </c>
      <c r="B840" s="29"/>
      <c r="C840" s="29"/>
      <c r="D840" s="29"/>
      <c r="E840" s="29"/>
      <c r="F840" s="30"/>
      <c r="G840" s="29"/>
      <c r="H840" s="30"/>
      <c r="I840" s="29"/>
      <c r="J840" s="31"/>
      <c r="K840" s="31"/>
      <c r="L840" s="30"/>
      <c r="M840" s="29"/>
      <c r="N840" s="30"/>
      <c r="O840" s="31"/>
      <c r="P840" s="32" t="str">
        <f aca="false">IF($J840="","",$J840-WEEKDAY($J840,3))</f>
        <v/>
      </c>
      <c r="Q840" s="32" t="str">
        <f aca="false">IF($J840="","",IF($K840="",$J840,$K840))</f>
        <v/>
      </c>
      <c r="R840" s="28" t="str">
        <f aca="false">IF($E840="","",IF(OR($N840&lt;&gt;"Concluída",$O840="",$J840=""),0,IF($O840&lt;=$J840,1,0)))</f>
        <v/>
      </c>
      <c r="S840" s="28" t="str">
        <f aca="false">IF($E840="","",IF(OR($N840&lt;&gt;"Concluída",$O840="",$Q840=""),0,IF($O840&lt;=$Q840,1,0)))</f>
        <v/>
      </c>
      <c r="T840" s="28" t="str">
        <f aca="false">IF(OR($J840="",$N840&lt;&gt;"Concluída",$O840=""),"",MAX(0,$O840-$J840))</f>
        <v/>
      </c>
      <c r="U840" s="33" t="str">
        <f aca="true">IF($E840="","",IF($N840="Cancelada","Cancelada",IF($N840="Concluída",IF($R840=1,"No prazo","Concluída com atraso"),IF($J840="","Na carteira",IF($J840&lt;TODAY(),"VENCIDA",IF($J840=TODAY(),"Hoje","Programada"))))))</f>
        <v/>
      </c>
    </row>
    <row r="841" customFormat="false" ht="15.75" hidden="false" customHeight="true" outlineLevel="0" collapsed="false">
      <c r="A841" s="28" t="str">
        <f aca="false">IF($E841="","",COUNTA($E$4:$E841))</f>
        <v/>
      </c>
      <c r="B841" s="34"/>
      <c r="C841" s="34"/>
      <c r="D841" s="34"/>
      <c r="E841" s="34"/>
      <c r="F841" s="35"/>
      <c r="G841" s="34"/>
      <c r="H841" s="35"/>
      <c r="I841" s="34"/>
      <c r="J841" s="36"/>
      <c r="K841" s="36"/>
      <c r="L841" s="35"/>
      <c r="M841" s="34"/>
      <c r="N841" s="35"/>
      <c r="O841" s="36"/>
      <c r="P841" s="32" t="str">
        <f aca="false">IF($J841="","",$J841-WEEKDAY($J841,3))</f>
        <v/>
      </c>
      <c r="Q841" s="32" t="str">
        <f aca="false">IF($J841="","",IF($K841="",$J841,$K841))</f>
        <v/>
      </c>
      <c r="R841" s="28" t="str">
        <f aca="false">IF($E841="","",IF(OR($N841&lt;&gt;"Concluída",$O841="",$J841=""),0,IF($O841&lt;=$J841,1,0)))</f>
        <v/>
      </c>
      <c r="S841" s="28" t="str">
        <f aca="false">IF($E841="","",IF(OR($N841&lt;&gt;"Concluída",$O841="",$Q841=""),0,IF($O841&lt;=$Q841,1,0)))</f>
        <v/>
      </c>
      <c r="T841" s="28" t="str">
        <f aca="false">IF(OR($J841="",$N841&lt;&gt;"Concluída",$O841=""),"",MAX(0,$O841-$J841))</f>
        <v/>
      </c>
      <c r="U841" s="33" t="str">
        <f aca="true">IF($E841="","",IF($N841="Cancelada","Cancelada",IF($N841="Concluída",IF($R841=1,"No prazo","Concluída com atraso"),IF($J841="","Na carteira",IF($J841&lt;TODAY(),"VENCIDA",IF($J841=TODAY(),"Hoje","Programada"))))))</f>
        <v/>
      </c>
    </row>
    <row r="842" customFormat="false" ht="15.75" hidden="false" customHeight="true" outlineLevel="0" collapsed="false">
      <c r="A842" s="28" t="str">
        <f aca="false">IF($E842="","",COUNTA($E$4:$E842))</f>
        <v/>
      </c>
      <c r="B842" s="29"/>
      <c r="C842" s="29"/>
      <c r="D842" s="29"/>
      <c r="E842" s="29"/>
      <c r="F842" s="30"/>
      <c r="G842" s="29"/>
      <c r="H842" s="30"/>
      <c r="I842" s="29"/>
      <c r="J842" s="31"/>
      <c r="K842" s="31"/>
      <c r="L842" s="30"/>
      <c r="M842" s="29"/>
      <c r="N842" s="30"/>
      <c r="O842" s="31"/>
      <c r="P842" s="32" t="str">
        <f aca="false">IF($J842="","",$J842-WEEKDAY($J842,3))</f>
        <v/>
      </c>
      <c r="Q842" s="32" t="str">
        <f aca="false">IF($J842="","",IF($K842="",$J842,$K842))</f>
        <v/>
      </c>
      <c r="R842" s="28" t="str">
        <f aca="false">IF($E842="","",IF(OR($N842&lt;&gt;"Concluída",$O842="",$J842=""),0,IF($O842&lt;=$J842,1,0)))</f>
        <v/>
      </c>
      <c r="S842" s="28" t="str">
        <f aca="false">IF($E842="","",IF(OR($N842&lt;&gt;"Concluída",$O842="",$Q842=""),0,IF($O842&lt;=$Q842,1,0)))</f>
        <v/>
      </c>
      <c r="T842" s="28" t="str">
        <f aca="false">IF(OR($J842="",$N842&lt;&gt;"Concluída",$O842=""),"",MAX(0,$O842-$J842))</f>
        <v/>
      </c>
      <c r="U842" s="33" t="str">
        <f aca="true">IF($E842="","",IF($N842="Cancelada","Cancelada",IF($N842="Concluída",IF($R842=1,"No prazo","Concluída com atraso"),IF($J842="","Na carteira",IF($J842&lt;TODAY(),"VENCIDA",IF($J842=TODAY(),"Hoje","Programada"))))))</f>
        <v/>
      </c>
    </row>
    <row r="843" customFormat="false" ht="15.75" hidden="false" customHeight="true" outlineLevel="0" collapsed="false">
      <c r="A843" s="28" t="str">
        <f aca="false">IF($E843="","",COUNTA($E$4:$E843))</f>
        <v/>
      </c>
      <c r="B843" s="34"/>
      <c r="C843" s="34"/>
      <c r="D843" s="34"/>
      <c r="E843" s="34"/>
      <c r="F843" s="35"/>
      <c r="G843" s="34"/>
      <c r="H843" s="35"/>
      <c r="I843" s="34"/>
      <c r="J843" s="36"/>
      <c r="K843" s="36"/>
      <c r="L843" s="35"/>
      <c r="M843" s="34"/>
      <c r="N843" s="35"/>
      <c r="O843" s="36"/>
      <c r="P843" s="32" t="str">
        <f aca="false">IF($J843="","",$J843-WEEKDAY($J843,3))</f>
        <v/>
      </c>
      <c r="Q843" s="32" t="str">
        <f aca="false">IF($J843="","",IF($K843="",$J843,$K843))</f>
        <v/>
      </c>
      <c r="R843" s="28" t="str">
        <f aca="false">IF($E843="","",IF(OR($N843&lt;&gt;"Concluída",$O843="",$J843=""),0,IF($O843&lt;=$J843,1,0)))</f>
        <v/>
      </c>
      <c r="S843" s="28" t="str">
        <f aca="false">IF($E843="","",IF(OR($N843&lt;&gt;"Concluída",$O843="",$Q843=""),0,IF($O843&lt;=$Q843,1,0)))</f>
        <v/>
      </c>
      <c r="T843" s="28" t="str">
        <f aca="false">IF(OR($J843="",$N843&lt;&gt;"Concluída",$O843=""),"",MAX(0,$O843-$J843))</f>
        <v/>
      </c>
      <c r="U843" s="33" t="str">
        <f aca="true">IF($E843="","",IF($N843="Cancelada","Cancelada",IF($N843="Concluída",IF($R843=1,"No prazo","Concluída com atraso"),IF($J843="","Na carteira",IF($J843&lt;TODAY(),"VENCIDA",IF($J843=TODAY(),"Hoje","Programada"))))))</f>
        <v/>
      </c>
    </row>
    <row r="844" customFormat="false" ht="15.75" hidden="false" customHeight="true" outlineLevel="0" collapsed="false">
      <c r="A844" s="28" t="str">
        <f aca="false">IF($E844="","",COUNTA($E$4:$E844))</f>
        <v/>
      </c>
      <c r="B844" s="29"/>
      <c r="C844" s="29"/>
      <c r="D844" s="29"/>
      <c r="E844" s="29"/>
      <c r="F844" s="30"/>
      <c r="G844" s="29"/>
      <c r="H844" s="30"/>
      <c r="I844" s="29"/>
      <c r="J844" s="31"/>
      <c r="K844" s="31"/>
      <c r="L844" s="30"/>
      <c r="M844" s="29"/>
      <c r="N844" s="30"/>
      <c r="O844" s="31"/>
      <c r="P844" s="32" t="str">
        <f aca="false">IF($J844="","",$J844-WEEKDAY($J844,3))</f>
        <v/>
      </c>
      <c r="Q844" s="32" t="str">
        <f aca="false">IF($J844="","",IF($K844="",$J844,$K844))</f>
        <v/>
      </c>
      <c r="R844" s="28" t="str">
        <f aca="false">IF($E844="","",IF(OR($N844&lt;&gt;"Concluída",$O844="",$J844=""),0,IF($O844&lt;=$J844,1,0)))</f>
        <v/>
      </c>
      <c r="S844" s="28" t="str">
        <f aca="false">IF($E844="","",IF(OR($N844&lt;&gt;"Concluída",$O844="",$Q844=""),0,IF($O844&lt;=$Q844,1,0)))</f>
        <v/>
      </c>
      <c r="T844" s="28" t="str">
        <f aca="false">IF(OR($J844="",$N844&lt;&gt;"Concluída",$O844=""),"",MAX(0,$O844-$J844))</f>
        <v/>
      </c>
      <c r="U844" s="33" t="str">
        <f aca="true">IF($E844="","",IF($N844="Cancelada","Cancelada",IF($N844="Concluída",IF($R844=1,"No prazo","Concluída com atraso"),IF($J844="","Na carteira",IF($J844&lt;TODAY(),"VENCIDA",IF($J844=TODAY(),"Hoje","Programada"))))))</f>
        <v/>
      </c>
    </row>
    <row r="845" customFormat="false" ht="15.75" hidden="false" customHeight="true" outlineLevel="0" collapsed="false">
      <c r="A845" s="28" t="str">
        <f aca="false">IF($E845="","",COUNTA($E$4:$E845))</f>
        <v/>
      </c>
      <c r="B845" s="34"/>
      <c r="C845" s="34"/>
      <c r="D845" s="34"/>
      <c r="E845" s="34"/>
      <c r="F845" s="35"/>
      <c r="G845" s="34"/>
      <c r="H845" s="35"/>
      <c r="I845" s="34"/>
      <c r="J845" s="36"/>
      <c r="K845" s="36"/>
      <c r="L845" s="35"/>
      <c r="M845" s="34"/>
      <c r="N845" s="35"/>
      <c r="O845" s="36"/>
      <c r="P845" s="32" t="str">
        <f aca="false">IF($J845="","",$J845-WEEKDAY($J845,3))</f>
        <v/>
      </c>
      <c r="Q845" s="32" t="str">
        <f aca="false">IF($J845="","",IF($K845="",$J845,$K845))</f>
        <v/>
      </c>
      <c r="R845" s="28" t="str">
        <f aca="false">IF($E845="","",IF(OR($N845&lt;&gt;"Concluída",$O845="",$J845=""),0,IF($O845&lt;=$J845,1,0)))</f>
        <v/>
      </c>
      <c r="S845" s="28" t="str">
        <f aca="false">IF($E845="","",IF(OR($N845&lt;&gt;"Concluída",$O845="",$Q845=""),0,IF($O845&lt;=$Q845,1,0)))</f>
        <v/>
      </c>
      <c r="T845" s="28" t="str">
        <f aca="false">IF(OR($J845="",$N845&lt;&gt;"Concluída",$O845=""),"",MAX(0,$O845-$J845))</f>
        <v/>
      </c>
      <c r="U845" s="33" t="str">
        <f aca="true">IF($E845="","",IF($N845="Cancelada","Cancelada",IF($N845="Concluída",IF($R845=1,"No prazo","Concluída com atraso"),IF($J845="","Na carteira",IF($J845&lt;TODAY(),"VENCIDA",IF($J845=TODAY(),"Hoje","Programada"))))))</f>
        <v/>
      </c>
    </row>
    <row r="846" customFormat="false" ht="15.75" hidden="false" customHeight="true" outlineLevel="0" collapsed="false">
      <c r="A846" s="28" t="str">
        <f aca="false">IF($E846="","",COUNTA($E$4:$E846))</f>
        <v/>
      </c>
      <c r="B846" s="29"/>
      <c r="C846" s="29"/>
      <c r="D846" s="29"/>
      <c r="E846" s="29"/>
      <c r="F846" s="30"/>
      <c r="G846" s="29"/>
      <c r="H846" s="30"/>
      <c r="I846" s="29"/>
      <c r="J846" s="31"/>
      <c r="K846" s="31"/>
      <c r="L846" s="30"/>
      <c r="M846" s="29"/>
      <c r="N846" s="30"/>
      <c r="O846" s="31"/>
      <c r="P846" s="32" t="str">
        <f aca="false">IF($J846="","",$J846-WEEKDAY($J846,3))</f>
        <v/>
      </c>
      <c r="Q846" s="32" t="str">
        <f aca="false">IF($J846="","",IF($K846="",$J846,$K846))</f>
        <v/>
      </c>
      <c r="R846" s="28" t="str">
        <f aca="false">IF($E846="","",IF(OR($N846&lt;&gt;"Concluída",$O846="",$J846=""),0,IF($O846&lt;=$J846,1,0)))</f>
        <v/>
      </c>
      <c r="S846" s="28" t="str">
        <f aca="false">IF($E846="","",IF(OR($N846&lt;&gt;"Concluída",$O846="",$Q846=""),0,IF($O846&lt;=$Q846,1,0)))</f>
        <v/>
      </c>
      <c r="T846" s="28" t="str">
        <f aca="false">IF(OR($J846="",$N846&lt;&gt;"Concluída",$O846=""),"",MAX(0,$O846-$J846))</f>
        <v/>
      </c>
      <c r="U846" s="33" t="str">
        <f aca="true">IF($E846="","",IF($N846="Cancelada","Cancelada",IF($N846="Concluída",IF($R846=1,"No prazo","Concluída com atraso"),IF($J846="","Na carteira",IF($J846&lt;TODAY(),"VENCIDA",IF($J846=TODAY(),"Hoje","Programada"))))))</f>
        <v/>
      </c>
    </row>
    <row r="847" customFormat="false" ht="15.75" hidden="false" customHeight="true" outlineLevel="0" collapsed="false">
      <c r="A847" s="28" t="str">
        <f aca="false">IF($E847="","",COUNTA($E$4:$E847))</f>
        <v/>
      </c>
      <c r="B847" s="34"/>
      <c r="C847" s="34"/>
      <c r="D847" s="34"/>
      <c r="E847" s="34"/>
      <c r="F847" s="35"/>
      <c r="G847" s="34"/>
      <c r="H847" s="35"/>
      <c r="I847" s="34"/>
      <c r="J847" s="36"/>
      <c r="K847" s="36"/>
      <c r="L847" s="35"/>
      <c r="M847" s="34"/>
      <c r="N847" s="35"/>
      <c r="O847" s="36"/>
      <c r="P847" s="32" t="str">
        <f aca="false">IF($J847="","",$J847-WEEKDAY($J847,3))</f>
        <v/>
      </c>
      <c r="Q847" s="32" t="str">
        <f aca="false">IF($J847="","",IF($K847="",$J847,$K847))</f>
        <v/>
      </c>
      <c r="R847" s="28" t="str">
        <f aca="false">IF($E847="","",IF(OR($N847&lt;&gt;"Concluída",$O847="",$J847=""),0,IF($O847&lt;=$J847,1,0)))</f>
        <v/>
      </c>
      <c r="S847" s="28" t="str">
        <f aca="false">IF($E847="","",IF(OR($N847&lt;&gt;"Concluída",$O847="",$Q847=""),0,IF($O847&lt;=$Q847,1,0)))</f>
        <v/>
      </c>
      <c r="T847" s="28" t="str">
        <f aca="false">IF(OR($J847="",$N847&lt;&gt;"Concluída",$O847=""),"",MAX(0,$O847-$J847))</f>
        <v/>
      </c>
      <c r="U847" s="33" t="str">
        <f aca="true">IF($E847="","",IF($N847="Cancelada","Cancelada",IF($N847="Concluída",IF($R847=1,"No prazo","Concluída com atraso"),IF($J847="","Na carteira",IF($J847&lt;TODAY(),"VENCIDA",IF($J847=TODAY(),"Hoje","Programada"))))))</f>
        <v/>
      </c>
    </row>
    <row r="848" customFormat="false" ht="15.75" hidden="false" customHeight="true" outlineLevel="0" collapsed="false">
      <c r="A848" s="28" t="str">
        <f aca="false">IF($E848="","",COUNTA($E$4:$E848))</f>
        <v/>
      </c>
      <c r="B848" s="29"/>
      <c r="C848" s="29"/>
      <c r="D848" s="29"/>
      <c r="E848" s="29"/>
      <c r="F848" s="30"/>
      <c r="G848" s="29"/>
      <c r="H848" s="30"/>
      <c r="I848" s="29"/>
      <c r="J848" s="31"/>
      <c r="K848" s="31"/>
      <c r="L848" s="30"/>
      <c r="M848" s="29"/>
      <c r="N848" s="30"/>
      <c r="O848" s="31"/>
      <c r="P848" s="32" t="str">
        <f aca="false">IF($J848="","",$J848-WEEKDAY($J848,3))</f>
        <v/>
      </c>
      <c r="Q848" s="32" t="str">
        <f aca="false">IF($J848="","",IF($K848="",$J848,$K848))</f>
        <v/>
      </c>
      <c r="R848" s="28" t="str">
        <f aca="false">IF($E848="","",IF(OR($N848&lt;&gt;"Concluída",$O848="",$J848=""),0,IF($O848&lt;=$J848,1,0)))</f>
        <v/>
      </c>
      <c r="S848" s="28" t="str">
        <f aca="false">IF($E848="","",IF(OR($N848&lt;&gt;"Concluída",$O848="",$Q848=""),0,IF($O848&lt;=$Q848,1,0)))</f>
        <v/>
      </c>
      <c r="T848" s="28" t="str">
        <f aca="false">IF(OR($J848="",$N848&lt;&gt;"Concluída",$O848=""),"",MAX(0,$O848-$J848))</f>
        <v/>
      </c>
      <c r="U848" s="33" t="str">
        <f aca="true">IF($E848="","",IF($N848="Cancelada","Cancelada",IF($N848="Concluída",IF($R848=1,"No prazo","Concluída com atraso"),IF($J848="","Na carteira",IF($J848&lt;TODAY(),"VENCIDA",IF($J848=TODAY(),"Hoje","Programada"))))))</f>
        <v/>
      </c>
    </row>
    <row r="849" customFormat="false" ht="15.75" hidden="false" customHeight="true" outlineLevel="0" collapsed="false">
      <c r="A849" s="28" t="str">
        <f aca="false">IF($E849="","",COUNTA($E$4:$E849))</f>
        <v/>
      </c>
      <c r="B849" s="34"/>
      <c r="C849" s="34"/>
      <c r="D849" s="34"/>
      <c r="E849" s="34"/>
      <c r="F849" s="35"/>
      <c r="G849" s="34"/>
      <c r="H849" s="35"/>
      <c r="I849" s="34"/>
      <c r="J849" s="36"/>
      <c r="K849" s="36"/>
      <c r="L849" s="35"/>
      <c r="M849" s="34"/>
      <c r="N849" s="35"/>
      <c r="O849" s="36"/>
      <c r="P849" s="32" t="str">
        <f aca="false">IF($J849="","",$J849-WEEKDAY($J849,3))</f>
        <v/>
      </c>
      <c r="Q849" s="32" t="str">
        <f aca="false">IF($J849="","",IF($K849="",$J849,$K849))</f>
        <v/>
      </c>
      <c r="R849" s="28" t="str">
        <f aca="false">IF($E849="","",IF(OR($N849&lt;&gt;"Concluída",$O849="",$J849=""),0,IF($O849&lt;=$J849,1,0)))</f>
        <v/>
      </c>
      <c r="S849" s="28" t="str">
        <f aca="false">IF($E849="","",IF(OR($N849&lt;&gt;"Concluída",$O849="",$Q849=""),0,IF($O849&lt;=$Q849,1,0)))</f>
        <v/>
      </c>
      <c r="T849" s="28" t="str">
        <f aca="false">IF(OR($J849="",$N849&lt;&gt;"Concluída",$O849=""),"",MAX(0,$O849-$J849))</f>
        <v/>
      </c>
      <c r="U849" s="33" t="str">
        <f aca="true">IF($E849="","",IF($N849="Cancelada","Cancelada",IF($N849="Concluída",IF($R849=1,"No prazo","Concluída com atraso"),IF($J849="","Na carteira",IF($J849&lt;TODAY(),"VENCIDA",IF($J849=TODAY(),"Hoje","Programada"))))))</f>
        <v/>
      </c>
    </row>
    <row r="850" customFormat="false" ht="15.75" hidden="false" customHeight="true" outlineLevel="0" collapsed="false">
      <c r="A850" s="28" t="str">
        <f aca="false">IF($E850="","",COUNTA($E$4:$E850))</f>
        <v/>
      </c>
      <c r="B850" s="29"/>
      <c r="C850" s="29"/>
      <c r="D850" s="29"/>
      <c r="E850" s="29"/>
      <c r="F850" s="30"/>
      <c r="G850" s="29"/>
      <c r="H850" s="30"/>
      <c r="I850" s="29"/>
      <c r="J850" s="31"/>
      <c r="K850" s="31"/>
      <c r="L850" s="30"/>
      <c r="M850" s="29"/>
      <c r="N850" s="30"/>
      <c r="O850" s="31"/>
      <c r="P850" s="32" t="str">
        <f aca="false">IF($J850="","",$J850-WEEKDAY($J850,3))</f>
        <v/>
      </c>
      <c r="Q850" s="32" t="str">
        <f aca="false">IF($J850="","",IF($K850="",$J850,$K850))</f>
        <v/>
      </c>
      <c r="R850" s="28" t="str">
        <f aca="false">IF($E850="","",IF(OR($N850&lt;&gt;"Concluída",$O850="",$J850=""),0,IF($O850&lt;=$J850,1,0)))</f>
        <v/>
      </c>
      <c r="S850" s="28" t="str">
        <f aca="false">IF($E850="","",IF(OR($N850&lt;&gt;"Concluída",$O850="",$Q850=""),0,IF($O850&lt;=$Q850,1,0)))</f>
        <v/>
      </c>
      <c r="T850" s="28" t="str">
        <f aca="false">IF(OR($J850="",$N850&lt;&gt;"Concluída",$O850=""),"",MAX(0,$O850-$J850))</f>
        <v/>
      </c>
      <c r="U850" s="33" t="str">
        <f aca="true">IF($E850="","",IF($N850="Cancelada","Cancelada",IF($N850="Concluída",IF($R850=1,"No prazo","Concluída com atraso"),IF($J850="","Na carteira",IF($J850&lt;TODAY(),"VENCIDA",IF($J850=TODAY(),"Hoje","Programada"))))))</f>
        <v/>
      </c>
    </row>
    <row r="851" customFormat="false" ht="15.75" hidden="false" customHeight="true" outlineLevel="0" collapsed="false">
      <c r="A851" s="28" t="str">
        <f aca="false">IF($E851="","",COUNTA($E$4:$E851))</f>
        <v/>
      </c>
      <c r="B851" s="34"/>
      <c r="C851" s="34"/>
      <c r="D851" s="34"/>
      <c r="E851" s="34"/>
      <c r="F851" s="35"/>
      <c r="G851" s="34"/>
      <c r="H851" s="35"/>
      <c r="I851" s="34"/>
      <c r="J851" s="36"/>
      <c r="K851" s="36"/>
      <c r="L851" s="35"/>
      <c r="M851" s="34"/>
      <c r="N851" s="35"/>
      <c r="O851" s="36"/>
      <c r="P851" s="32" t="str">
        <f aca="false">IF($J851="","",$J851-WEEKDAY($J851,3))</f>
        <v/>
      </c>
      <c r="Q851" s="32" t="str">
        <f aca="false">IF($J851="","",IF($K851="",$J851,$K851))</f>
        <v/>
      </c>
      <c r="R851" s="28" t="str">
        <f aca="false">IF($E851="","",IF(OR($N851&lt;&gt;"Concluída",$O851="",$J851=""),0,IF($O851&lt;=$J851,1,0)))</f>
        <v/>
      </c>
      <c r="S851" s="28" t="str">
        <f aca="false">IF($E851="","",IF(OR($N851&lt;&gt;"Concluída",$O851="",$Q851=""),0,IF($O851&lt;=$Q851,1,0)))</f>
        <v/>
      </c>
      <c r="T851" s="28" t="str">
        <f aca="false">IF(OR($J851="",$N851&lt;&gt;"Concluída",$O851=""),"",MAX(0,$O851-$J851))</f>
        <v/>
      </c>
      <c r="U851" s="33" t="str">
        <f aca="true">IF($E851="","",IF($N851="Cancelada","Cancelada",IF($N851="Concluída",IF($R851=1,"No prazo","Concluída com atraso"),IF($J851="","Na carteira",IF($J851&lt;TODAY(),"VENCIDA",IF($J851=TODAY(),"Hoje","Programada"))))))</f>
        <v/>
      </c>
    </row>
    <row r="852" customFormat="false" ht="15.75" hidden="false" customHeight="true" outlineLevel="0" collapsed="false">
      <c r="A852" s="28" t="str">
        <f aca="false">IF($E852="","",COUNTA($E$4:$E852))</f>
        <v/>
      </c>
      <c r="B852" s="29"/>
      <c r="C852" s="29"/>
      <c r="D852" s="29"/>
      <c r="E852" s="29"/>
      <c r="F852" s="30"/>
      <c r="G852" s="29"/>
      <c r="H852" s="30"/>
      <c r="I852" s="29"/>
      <c r="J852" s="31"/>
      <c r="K852" s="31"/>
      <c r="L852" s="30"/>
      <c r="M852" s="29"/>
      <c r="N852" s="30"/>
      <c r="O852" s="31"/>
      <c r="P852" s="32" t="str">
        <f aca="false">IF($J852="","",$J852-WEEKDAY($J852,3))</f>
        <v/>
      </c>
      <c r="Q852" s="32" t="str">
        <f aca="false">IF($J852="","",IF($K852="",$J852,$K852))</f>
        <v/>
      </c>
      <c r="R852" s="28" t="str">
        <f aca="false">IF($E852="","",IF(OR($N852&lt;&gt;"Concluída",$O852="",$J852=""),0,IF($O852&lt;=$J852,1,0)))</f>
        <v/>
      </c>
      <c r="S852" s="28" t="str">
        <f aca="false">IF($E852="","",IF(OR($N852&lt;&gt;"Concluída",$O852="",$Q852=""),0,IF($O852&lt;=$Q852,1,0)))</f>
        <v/>
      </c>
      <c r="T852" s="28" t="str">
        <f aca="false">IF(OR($J852="",$N852&lt;&gt;"Concluída",$O852=""),"",MAX(0,$O852-$J852))</f>
        <v/>
      </c>
      <c r="U852" s="33" t="str">
        <f aca="true">IF($E852="","",IF($N852="Cancelada","Cancelada",IF($N852="Concluída",IF($R852=1,"No prazo","Concluída com atraso"),IF($J852="","Na carteira",IF($J852&lt;TODAY(),"VENCIDA",IF($J852=TODAY(),"Hoje","Programada"))))))</f>
        <v/>
      </c>
    </row>
    <row r="853" customFormat="false" ht="15.75" hidden="false" customHeight="true" outlineLevel="0" collapsed="false">
      <c r="A853" s="28" t="str">
        <f aca="false">IF($E853="","",COUNTA($E$4:$E853))</f>
        <v/>
      </c>
      <c r="B853" s="34"/>
      <c r="C853" s="34"/>
      <c r="D853" s="34"/>
      <c r="E853" s="34"/>
      <c r="F853" s="35"/>
      <c r="G853" s="34"/>
      <c r="H853" s="35"/>
      <c r="I853" s="34"/>
      <c r="J853" s="36"/>
      <c r="K853" s="36"/>
      <c r="L853" s="35"/>
      <c r="M853" s="34"/>
      <c r="N853" s="35"/>
      <c r="O853" s="36"/>
      <c r="P853" s="32" t="str">
        <f aca="false">IF($J853="","",$J853-WEEKDAY($J853,3))</f>
        <v/>
      </c>
      <c r="Q853" s="32" t="str">
        <f aca="false">IF($J853="","",IF($K853="",$J853,$K853))</f>
        <v/>
      </c>
      <c r="R853" s="28" t="str">
        <f aca="false">IF($E853="","",IF(OR($N853&lt;&gt;"Concluída",$O853="",$J853=""),0,IF($O853&lt;=$J853,1,0)))</f>
        <v/>
      </c>
      <c r="S853" s="28" t="str">
        <f aca="false">IF($E853="","",IF(OR($N853&lt;&gt;"Concluída",$O853="",$Q853=""),0,IF($O853&lt;=$Q853,1,0)))</f>
        <v/>
      </c>
      <c r="T853" s="28" t="str">
        <f aca="false">IF(OR($J853="",$N853&lt;&gt;"Concluída",$O853=""),"",MAX(0,$O853-$J853))</f>
        <v/>
      </c>
      <c r="U853" s="33" t="str">
        <f aca="true">IF($E853="","",IF($N853="Cancelada","Cancelada",IF($N853="Concluída",IF($R853=1,"No prazo","Concluída com atraso"),IF($J853="","Na carteira",IF($J853&lt;TODAY(),"VENCIDA",IF($J853=TODAY(),"Hoje","Programada"))))))</f>
        <v/>
      </c>
    </row>
    <row r="854" customFormat="false" ht="15.75" hidden="false" customHeight="true" outlineLevel="0" collapsed="false">
      <c r="A854" s="28" t="str">
        <f aca="false">IF($E854="","",COUNTA($E$4:$E854))</f>
        <v/>
      </c>
      <c r="B854" s="29"/>
      <c r="C854" s="29"/>
      <c r="D854" s="29"/>
      <c r="E854" s="29"/>
      <c r="F854" s="30"/>
      <c r="G854" s="29"/>
      <c r="H854" s="30"/>
      <c r="I854" s="29"/>
      <c r="J854" s="31"/>
      <c r="K854" s="31"/>
      <c r="L854" s="30"/>
      <c r="M854" s="29"/>
      <c r="N854" s="30"/>
      <c r="O854" s="31"/>
      <c r="P854" s="32" t="str">
        <f aca="false">IF($J854="","",$J854-WEEKDAY($J854,3))</f>
        <v/>
      </c>
      <c r="Q854" s="32" t="str">
        <f aca="false">IF($J854="","",IF($K854="",$J854,$K854))</f>
        <v/>
      </c>
      <c r="R854" s="28" t="str">
        <f aca="false">IF($E854="","",IF(OR($N854&lt;&gt;"Concluída",$O854="",$J854=""),0,IF($O854&lt;=$J854,1,0)))</f>
        <v/>
      </c>
      <c r="S854" s="28" t="str">
        <f aca="false">IF($E854="","",IF(OR($N854&lt;&gt;"Concluída",$O854="",$Q854=""),0,IF($O854&lt;=$Q854,1,0)))</f>
        <v/>
      </c>
      <c r="T854" s="28" t="str">
        <f aca="false">IF(OR($J854="",$N854&lt;&gt;"Concluída",$O854=""),"",MAX(0,$O854-$J854))</f>
        <v/>
      </c>
      <c r="U854" s="33" t="str">
        <f aca="true">IF($E854="","",IF($N854="Cancelada","Cancelada",IF($N854="Concluída",IF($R854=1,"No prazo","Concluída com atraso"),IF($J854="","Na carteira",IF($J854&lt;TODAY(),"VENCIDA",IF($J854=TODAY(),"Hoje","Programada"))))))</f>
        <v/>
      </c>
    </row>
    <row r="855" customFormat="false" ht="15.75" hidden="false" customHeight="true" outlineLevel="0" collapsed="false">
      <c r="A855" s="28" t="str">
        <f aca="false">IF($E855="","",COUNTA($E$4:$E855))</f>
        <v/>
      </c>
      <c r="B855" s="34"/>
      <c r="C855" s="34"/>
      <c r="D855" s="34"/>
      <c r="E855" s="34"/>
      <c r="F855" s="35"/>
      <c r="G855" s="34"/>
      <c r="H855" s="35"/>
      <c r="I855" s="34"/>
      <c r="J855" s="36"/>
      <c r="K855" s="36"/>
      <c r="L855" s="35"/>
      <c r="M855" s="34"/>
      <c r="N855" s="35"/>
      <c r="O855" s="36"/>
      <c r="P855" s="32" t="str">
        <f aca="false">IF($J855="","",$J855-WEEKDAY($J855,3))</f>
        <v/>
      </c>
      <c r="Q855" s="32" t="str">
        <f aca="false">IF($J855="","",IF($K855="",$J855,$K855))</f>
        <v/>
      </c>
      <c r="R855" s="28" t="str">
        <f aca="false">IF($E855="","",IF(OR($N855&lt;&gt;"Concluída",$O855="",$J855=""),0,IF($O855&lt;=$J855,1,0)))</f>
        <v/>
      </c>
      <c r="S855" s="28" t="str">
        <f aca="false">IF($E855="","",IF(OR($N855&lt;&gt;"Concluída",$O855="",$Q855=""),0,IF($O855&lt;=$Q855,1,0)))</f>
        <v/>
      </c>
      <c r="T855" s="28" t="str">
        <f aca="false">IF(OR($J855="",$N855&lt;&gt;"Concluída",$O855=""),"",MAX(0,$O855-$J855))</f>
        <v/>
      </c>
      <c r="U855" s="33" t="str">
        <f aca="true">IF($E855="","",IF($N855="Cancelada","Cancelada",IF($N855="Concluída",IF($R855=1,"No prazo","Concluída com atraso"),IF($J855="","Na carteira",IF($J855&lt;TODAY(),"VENCIDA",IF($J855=TODAY(),"Hoje","Programada"))))))</f>
        <v/>
      </c>
    </row>
    <row r="856" customFormat="false" ht="15.75" hidden="false" customHeight="true" outlineLevel="0" collapsed="false">
      <c r="A856" s="28" t="str">
        <f aca="false">IF($E856="","",COUNTA($E$4:$E856))</f>
        <v/>
      </c>
      <c r="B856" s="29"/>
      <c r="C856" s="29"/>
      <c r="D856" s="29"/>
      <c r="E856" s="29"/>
      <c r="F856" s="30"/>
      <c r="G856" s="29"/>
      <c r="H856" s="30"/>
      <c r="I856" s="29"/>
      <c r="J856" s="31"/>
      <c r="K856" s="31"/>
      <c r="L856" s="30"/>
      <c r="M856" s="29"/>
      <c r="N856" s="30"/>
      <c r="O856" s="31"/>
      <c r="P856" s="32" t="str">
        <f aca="false">IF($J856="","",$J856-WEEKDAY($J856,3))</f>
        <v/>
      </c>
      <c r="Q856" s="32" t="str">
        <f aca="false">IF($J856="","",IF($K856="",$J856,$K856))</f>
        <v/>
      </c>
      <c r="R856" s="28" t="str">
        <f aca="false">IF($E856="","",IF(OR($N856&lt;&gt;"Concluída",$O856="",$J856=""),0,IF($O856&lt;=$J856,1,0)))</f>
        <v/>
      </c>
      <c r="S856" s="28" t="str">
        <f aca="false">IF($E856="","",IF(OR($N856&lt;&gt;"Concluída",$O856="",$Q856=""),0,IF($O856&lt;=$Q856,1,0)))</f>
        <v/>
      </c>
      <c r="T856" s="28" t="str">
        <f aca="false">IF(OR($J856="",$N856&lt;&gt;"Concluída",$O856=""),"",MAX(0,$O856-$J856))</f>
        <v/>
      </c>
      <c r="U856" s="33" t="str">
        <f aca="true">IF($E856="","",IF($N856="Cancelada","Cancelada",IF($N856="Concluída",IF($R856=1,"No prazo","Concluída com atraso"),IF($J856="","Na carteira",IF($J856&lt;TODAY(),"VENCIDA",IF($J856=TODAY(),"Hoje","Programada"))))))</f>
        <v/>
      </c>
    </row>
    <row r="857" customFormat="false" ht="15.75" hidden="false" customHeight="true" outlineLevel="0" collapsed="false">
      <c r="A857" s="28" t="str">
        <f aca="false">IF($E857="","",COUNTA($E$4:$E857))</f>
        <v/>
      </c>
      <c r="B857" s="34"/>
      <c r="C857" s="34"/>
      <c r="D857" s="34"/>
      <c r="E857" s="34"/>
      <c r="F857" s="35"/>
      <c r="G857" s="34"/>
      <c r="H857" s="35"/>
      <c r="I857" s="34"/>
      <c r="J857" s="36"/>
      <c r="K857" s="36"/>
      <c r="L857" s="35"/>
      <c r="M857" s="34"/>
      <c r="N857" s="35"/>
      <c r="O857" s="36"/>
      <c r="P857" s="32" t="str">
        <f aca="false">IF($J857="","",$J857-WEEKDAY($J857,3))</f>
        <v/>
      </c>
      <c r="Q857" s="32" t="str">
        <f aca="false">IF($J857="","",IF($K857="",$J857,$K857))</f>
        <v/>
      </c>
      <c r="R857" s="28" t="str">
        <f aca="false">IF($E857="","",IF(OR($N857&lt;&gt;"Concluída",$O857="",$J857=""),0,IF($O857&lt;=$J857,1,0)))</f>
        <v/>
      </c>
      <c r="S857" s="28" t="str">
        <f aca="false">IF($E857="","",IF(OR($N857&lt;&gt;"Concluída",$O857="",$Q857=""),0,IF($O857&lt;=$Q857,1,0)))</f>
        <v/>
      </c>
      <c r="T857" s="28" t="str">
        <f aca="false">IF(OR($J857="",$N857&lt;&gt;"Concluída",$O857=""),"",MAX(0,$O857-$J857))</f>
        <v/>
      </c>
      <c r="U857" s="33" t="str">
        <f aca="true">IF($E857="","",IF($N857="Cancelada","Cancelada",IF($N857="Concluída",IF($R857=1,"No prazo","Concluída com atraso"),IF($J857="","Na carteira",IF($J857&lt;TODAY(),"VENCIDA",IF($J857=TODAY(),"Hoje","Programada"))))))</f>
        <v/>
      </c>
    </row>
    <row r="858" customFormat="false" ht="15.75" hidden="false" customHeight="true" outlineLevel="0" collapsed="false">
      <c r="A858" s="28" t="str">
        <f aca="false">IF($E858="","",COUNTA($E$4:$E858))</f>
        <v/>
      </c>
      <c r="B858" s="29"/>
      <c r="C858" s="29"/>
      <c r="D858" s="29"/>
      <c r="E858" s="29"/>
      <c r="F858" s="30"/>
      <c r="G858" s="29"/>
      <c r="H858" s="30"/>
      <c r="I858" s="29"/>
      <c r="J858" s="31"/>
      <c r="K858" s="31"/>
      <c r="L858" s="30"/>
      <c r="M858" s="29"/>
      <c r="N858" s="30"/>
      <c r="O858" s="31"/>
      <c r="P858" s="32" t="str">
        <f aca="false">IF($J858="","",$J858-WEEKDAY($J858,3))</f>
        <v/>
      </c>
      <c r="Q858" s="32" t="str">
        <f aca="false">IF($J858="","",IF($K858="",$J858,$K858))</f>
        <v/>
      </c>
      <c r="R858" s="28" t="str">
        <f aca="false">IF($E858="","",IF(OR($N858&lt;&gt;"Concluída",$O858="",$J858=""),0,IF($O858&lt;=$J858,1,0)))</f>
        <v/>
      </c>
      <c r="S858" s="28" t="str">
        <f aca="false">IF($E858="","",IF(OR($N858&lt;&gt;"Concluída",$O858="",$Q858=""),0,IF($O858&lt;=$Q858,1,0)))</f>
        <v/>
      </c>
      <c r="T858" s="28" t="str">
        <f aca="false">IF(OR($J858="",$N858&lt;&gt;"Concluída",$O858=""),"",MAX(0,$O858-$J858))</f>
        <v/>
      </c>
      <c r="U858" s="33" t="str">
        <f aca="true">IF($E858="","",IF($N858="Cancelada","Cancelada",IF($N858="Concluída",IF($R858=1,"No prazo","Concluída com atraso"),IF($J858="","Na carteira",IF($J858&lt;TODAY(),"VENCIDA",IF($J858=TODAY(),"Hoje","Programada"))))))</f>
        <v/>
      </c>
    </row>
    <row r="859" customFormat="false" ht="15.75" hidden="false" customHeight="true" outlineLevel="0" collapsed="false">
      <c r="A859" s="28" t="str">
        <f aca="false">IF($E859="","",COUNTA($E$4:$E859))</f>
        <v/>
      </c>
      <c r="B859" s="34"/>
      <c r="C859" s="34"/>
      <c r="D859" s="34"/>
      <c r="E859" s="34"/>
      <c r="F859" s="35"/>
      <c r="G859" s="34"/>
      <c r="H859" s="35"/>
      <c r="I859" s="34"/>
      <c r="J859" s="36"/>
      <c r="K859" s="36"/>
      <c r="L859" s="35"/>
      <c r="M859" s="34"/>
      <c r="N859" s="35"/>
      <c r="O859" s="36"/>
      <c r="P859" s="32" t="str">
        <f aca="false">IF($J859="","",$J859-WEEKDAY($J859,3))</f>
        <v/>
      </c>
      <c r="Q859" s="32" t="str">
        <f aca="false">IF($J859="","",IF($K859="",$J859,$K859))</f>
        <v/>
      </c>
      <c r="R859" s="28" t="str">
        <f aca="false">IF($E859="","",IF(OR($N859&lt;&gt;"Concluída",$O859="",$J859=""),0,IF($O859&lt;=$J859,1,0)))</f>
        <v/>
      </c>
      <c r="S859" s="28" t="str">
        <f aca="false">IF($E859="","",IF(OR($N859&lt;&gt;"Concluída",$O859="",$Q859=""),0,IF($O859&lt;=$Q859,1,0)))</f>
        <v/>
      </c>
      <c r="T859" s="28" t="str">
        <f aca="false">IF(OR($J859="",$N859&lt;&gt;"Concluída",$O859=""),"",MAX(0,$O859-$J859))</f>
        <v/>
      </c>
      <c r="U859" s="33" t="str">
        <f aca="true">IF($E859="","",IF($N859="Cancelada","Cancelada",IF($N859="Concluída",IF($R859=1,"No prazo","Concluída com atraso"),IF($J859="","Na carteira",IF($J859&lt;TODAY(),"VENCIDA",IF($J859=TODAY(),"Hoje","Programada"))))))</f>
        <v/>
      </c>
    </row>
    <row r="860" customFormat="false" ht="15.75" hidden="false" customHeight="true" outlineLevel="0" collapsed="false">
      <c r="A860" s="28" t="str">
        <f aca="false">IF($E860="","",COUNTA($E$4:$E860))</f>
        <v/>
      </c>
      <c r="B860" s="29"/>
      <c r="C860" s="29"/>
      <c r="D860" s="29"/>
      <c r="E860" s="29"/>
      <c r="F860" s="30"/>
      <c r="G860" s="29"/>
      <c r="H860" s="30"/>
      <c r="I860" s="29"/>
      <c r="J860" s="31"/>
      <c r="K860" s="31"/>
      <c r="L860" s="30"/>
      <c r="M860" s="29"/>
      <c r="N860" s="30"/>
      <c r="O860" s="31"/>
      <c r="P860" s="32" t="str">
        <f aca="false">IF($J860="","",$J860-WEEKDAY($J860,3))</f>
        <v/>
      </c>
      <c r="Q860" s="32" t="str">
        <f aca="false">IF($J860="","",IF($K860="",$J860,$K860))</f>
        <v/>
      </c>
      <c r="R860" s="28" t="str">
        <f aca="false">IF($E860="","",IF(OR($N860&lt;&gt;"Concluída",$O860="",$J860=""),0,IF($O860&lt;=$J860,1,0)))</f>
        <v/>
      </c>
      <c r="S860" s="28" t="str">
        <f aca="false">IF($E860="","",IF(OR($N860&lt;&gt;"Concluída",$O860="",$Q860=""),0,IF($O860&lt;=$Q860,1,0)))</f>
        <v/>
      </c>
      <c r="T860" s="28" t="str">
        <f aca="false">IF(OR($J860="",$N860&lt;&gt;"Concluída",$O860=""),"",MAX(0,$O860-$J860))</f>
        <v/>
      </c>
      <c r="U860" s="33" t="str">
        <f aca="true">IF($E860="","",IF($N860="Cancelada","Cancelada",IF($N860="Concluída",IF($R860=1,"No prazo","Concluída com atraso"),IF($J860="","Na carteira",IF($J860&lt;TODAY(),"VENCIDA",IF($J860=TODAY(),"Hoje","Programada"))))))</f>
        <v/>
      </c>
    </row>
    <row r="861" customFormat="false" ht="15.75" hidden="false" customHeight="true" outlineLevel="0" collapsed="false">
      <c r="A861" s="28" t="str">
        <f aca="false">IF($E861="","",COUNTA($E$4:$E861))</f>
        <v/>
      </c>
      <c r="B861" s="34"/>
      <c r="C861" s="34"/>
      <c r="D861" s="34"/>
      <c r="E861" s="34"/>
      <c r="F861" s="35"/>
      <c r="G861" s="34"/>
      <c r="H861" s="35"/>
      <c r="I861" s="34"/>
      <c r="J861" s="36"/>
      <c r="K861" s="36"/>
      <c r="L861" s="35"/>
      <c r="M861" s="34"/>
      <c r="N861" s="35"/>
      <c r="O861" s="36"/>
      <c r="P861" s="32" t="str">
        <f aca="false">IF($J861="","",$J861-WEEKDAY($J861,3))</f>
        <v/>
      </c>
      <c r="Q861" s="32" t="str">
        <f aca="false">IF($J861="","",IF($K861="",$J861,$K861))</f>
        <v/>
      </c>
      <c r="R861" s="28" t="str">
        <f aca="false">IF($E861="","",IF(OR($N861&lt;&gt;"Concluída",$O861="",$J861=""),0,IF($O861&lt;=$J861,1,0)))</f>
        <v/>
      </c>
      <c r="S861" s="28" t="str">
        <f aca="false">IF($E861="","",IF(OR($N861&lt;&gt;"Concluída",$O861="",$Q861=""),0,IF($O861&lt;=$Q861,1,0)))</f>
        <v/>
      </c>
      <c r="T861" s="28" t="str">
        <f aca="false">IF(OR($J861="",$N861&lt;&gt;"Concluída",$O861=""),"",MAX(0,$O861-$J861))</f>
        <v/>
      </c>
      <c r="U861" s="33" t="str">
        <f aca="true">IF($E861="","",IF($N861="Cancelada","Cancelada",IF($N861="Concluída",IF($R861=1,"No prazo","Concluída com atraso"),IF($J861="","Na carteira",IF($J861&lt;TODAY(),"VENCIDA",IF($J861=TODAY(),"Hoje","Programada"))))))</f>
        <v/>
      </c>
    </row>
    <row r="862" customFormat="false" ht="15.75" hidden="false" customHeight="true" outlineLevel="0" collapsed="false">
      <c r="A862" s="28" t="str">
        <f aca="false">IF($E862="","",COUNTA($E$4:$E862))</f>
        <v/>
      </c>
      <c r="B862" s="29"/>
      <c r="C862" s="29"/>
      <c r="D862" s="29"/>
      <c r="E862" s="29"/>
      <c r="F862" s="30"/>
      <c r="G862" s="29"/>
      <c r="H862" s="30"/>
      <c r="I862" s="29"/>
      <c r="J862" s="31"/>
      <c r="K862" s="31"/>
      <c r="L862" s="30"/>
      <c r="M862" s="29"/>
      <c r="N862" s="30"/>
      <c r="O862" s="31"/>
      <c r="P862" s="32" t="str">
        <f aca="false">IF($J862="","",$J862-WEEKDAY($J862,3))</f>
        <v/>
      </c>
      <c r="Q862" s="32" t="str">
        <f aca="false">IF($J862="","",IF($K862="",$J862,$K862))</f>
        <v/>
      </c>
      <c r="R862" s="28" t="str">
        <f aca="false">IF($E862="","",IF(OR($N862&lt;&gt;"Concluída",$O862="",$J862=""),0,IF($O862&lt;=$J862,1,0)))</f>
        <v/>
      </c>
      <c r="S862" s="28" t="str">
        <f aca="false">IF($E862="","",IF(OR($N862&lt;&gt;"Concluída",$O862="",$Q862=""),0,IF($O862&lt;=$Q862,1,0)))</f>
        <v/>
      </c>
      <c r="T862" s="28" t="str">
        <f aca="false">IF(OR($J862="",$N862&lt;&gt;"Concluída",$O862=""),"",MAX(0,$O862-$J862))</f>
        <v/>
      </c>
      <c r="U862" s="33" t="str">
        <f aca="true">IF($E862="","",IF($N862="Cancelada","Cancelada",IF($N862="Concluída",IF($R862=1,"No prazo","Concluída com atraso"),IF($J862="","Na carteira",IF($J862&lt;TODAY(),"VENCIDA",IF($J862=TODAY(),"Hoje","Programada"))))))</f>
        <v/>
      </c>
    </row>
    <row r="863" customFormat="false" ht="15.75" hidden="false" customHeight="true" outlineLevel="0" collapsed="false">
      <c r="A863" s="28" t="str">
        <f aca="false">IF($E863="","",COUNTA($E$4:$E863))</f>
        <v/>
      </c>
      <c r="B863" s="34"/>
      <c r="C863" s="34"/>
      <c r="D863" s="34"/>
      <c r="E863" s="34"/>
      <c r="F863" s="35"/>
      <c r="G863" s="34"/>
      <c r="H863" s="35"/>
      <c r="I863" s="34"/>
      <c r="J863" s="36"/>
      <c r="K863" s="36"/>
      <c r="L863" s="35"/>
      <c r="M863" s="34"/>
      <c r="N863" s="35"/>
      <c r="O863" s="36"/>
      <c r="P863" s="32" t="str">
        <f aca="false">IF($J863="","",$J863-WEEKDAY($J863,3))</f>
        <v/>
      </c>
      <c r="Q863" s="32" t="str">
        <f aca="false">IF($J863="","",IF($K863="",$J863,$K863))</f>
        <v/>
      </c>
      <c r="R863" s="28" t="str">
        <f aca="false">IF($E863="","",IF(OR($N863&lt;&gt;"Concluída",$O863="",$J863=""),0,IF($O863&lt;=$J863,1,0)))</f>
        <v/>
      </c>
      <c r="S863" s="28" t="str">
        <f aca="false">IF($E863="","",IF(OR($N863&lt;&gt;"Concluída",$O863="",$Q863=""),0,IF($O863&lt;=$Q863,1,0)))</f>
        <v/>
      </c>
      <c r="T863" s="28" t="str">
        <f aca="false">IF(OR($J863="",$N863&lt;&gt;"Concluída",$O863=""),"",MAX(0,$O863-$J863))</f>
        <v/>
      </c>
      <c r="U863" s="33" t="str">
        <f aca="true">IF($E863="","",IF($N863="Cancelada","Cancelada",IF($N863="Concluída",IF($R863=1,"No prazo","Concluída com atraso"),IF($J863="","Na carteira",IF($J863&lt;TODAY(),"VENCIDA",IF($J863=TODAY(),"Hoje","Programada"))))))</f>
        <v/>
      </c>
    </row>
    <row r="864" customFormat="false" ht="15.75" hidden="false" customHeight="true" outlineLevel="0" collapsed="false">
      <c r="A864" s="28" t="str">
        <f aca="false">IF($E864="","",COUNTA($E$4:$E864))</f>
        <v/>
      </c>
      <c r="B864" s="29"/>
      <c r="C864" s="29"/>
      <c r="D864" s="29"/>
      <c r="E864" s="29"/>
      <c r="F864" s="30"/>
      <c r="G864" s="29"/>
      <c r="H864" s="30"/>
      <c r="I864" s="29"/>
      <c r="J864" s="31"/>
      <c r="K864" s="31"/>
      <c r="L864" s="30"/>
      <c r="M864" s="29"/>
      <c r="N864" s="30"/>
      <c r="O864" s="31"/>
      <c r="P864" s="32" t="str">
        <f aca="false">IF($J864="","",$J864-WEEKDAY($J864,3))</f>
        <v/>
      </c>
      <c r="Q864" s="32" t="str">
        <f aca="false">IF($J864="","",IF($K864="",$J864,$K864))</f>
        <v/>
      </c>
      <c r="R864" s="28" t="str">
        <f aca="false">IF($E864="","",IF(OR($N864&lt;&gt;"Concluída",$O864="",$J864=""),0,IF($O864&lt;=$J864,1,0)))</f>
        <v/>
      </c>
      <c r="S864" s="28" t="str">
        <f aca="false">IF($E864="","",IF(OR($N864&lt;&gt;"Concluída",$O864="",$Q864=""),0,IF($O864&lt;=$Q864,1,0)))</f>
        <v/>
      </c>
      <c r="T864" s="28" t="str">
        <f aca="false">IF(OR($J864="",$N864&lt;&gt;"Concluída",$O864=""),"",MAX(0,$O864-$J864))</f>
        <v/>
      </c>
      <c r="U864" s="33" t="str">
        <f aca="true">IF($E864="","",IF($N864="Cancelada","Cancelada",IF($N864="Concluída",IF($R864=1,"No prazo","Concluída com atraso"),IF($J864="","Na carteira",IF($J864&lt;TODAY(),"VENCIDA",IF($J864=TODAY(),"Hoje","Programada"))))))</f>
        <v/>
      </c>
    </row>
    <row r="865" customFormat="false" ht="15.75" hidden="false" customHeight="true" outlineLevel="0" collapsed="false">
      <c r="A865" s="28" t="str">
        <f aca="false">IF($E865="","",COUNTA($E$4:$E865))</f>
        <v/>
      </c>
      <c r="B865" s="34"/>
      <c r="C865" s="34"/>
      <c r="D865" s="34"/>
      <c r="E865" s="34"/>
      <c r="F865" s="35"/>
      <c r="G865" s="34"/>
      <c r="H865" s="35"/>
      <c r="I865" s="34"/>
      <c r="J865" s="36"/>
      <c r="K865" s="36"/>
      <c r="L865" s="35"/>
      <c r="M865" s="34"/>
      <c r="N865" s="35"/>
      <c r="O865" s="36"/>
      <c r="P865" s="32" t="str">
        <f aca="false">IF($J865="","",$J865-WEEKDAY($J865,3))</f>
        <v/>
      </c>
      <c r="Q865" s="32" t="str">
        <f aca="false">IF($J865="","",IF($K865="",$J865,$K865))</f>
        <v/>
      </c>
      <c r="R865" s="28" t="str">
        <f aca="false">IF($E865="","",IF(OR($N865&lt;&gt;"Concluída",$O865="",$J865=""),0,IF($O865&lt;=$J865,1,0)))</f>
        <v/>
      </c>
      <c r="S865" s="28" t="str">
        <f aca="false">IF($E865="","",IF(OR($N865&lt;&gt;"Concluída",$O865="",$Q865=""),0,IF($O865&lt;=$Q865,1,0)))</f>
        <v/>
      </c>
      <c r="T865" s="28" t="str">
        <f aca="false">IF(OR($J865="",$N865&lt;&gt;"Concluída",$O865=""),"",MAX(0,$O865-$J865))</f>
        <v/>
      </c>
      <c r="U865" s="33" t="str">
        <f aca="true">IF($E865="","",IF($N865="Cancelada","Cancelada",IF($N865="Concluída",IF($R865=1,"No prazo","Concluída com atraso"),IF($J865="","Na carteira",IF($J865&lt;TODAY(),"VENCIDA",IF($J865=TODAY(),"Hoje","Programada"))))))</f>
        <v/>
      </c>
    </row>
    <row r="866" customFormat="false" ht="15.75" hidden="false" customHeight="true" outlineLevel="0" collapsed="false">
      <c r="A866" s="28" t="str">
        <f aca="false">IF($E866="","",COUNTA($E$4:$E866))</f>
        <v/>
      </c>
      <c r="B866" s="29"/>
      <c r="C866" s="29"/>
      <c r="D866" s="29"/>
      <c r="E866" s="29"/>
      <c r="F866" s="30"/>
      <c r="G866" s="29"/>
      <c r="H866" s="30"/>
      <c r="I866" s="29"/>
      <c r="J866" s="31"/>
      <c r="K866" s="31"/>
      <c r="L866" s="30"/>
      <c r="M866" s="29"/>
      <c r="N866" s="30"/>
      <c r="O866" s="31"/>
      <c r="P866" s="32" t="str">
        <f aca="false">IF($J866="","",$J866-WEEKDAY($J866,3))</f>
        <v/>
      </c>
      <c r="Q866" s="32" t="str">
        <f aca="false">IF($J866="","",IF($K866="",$J866,$K866))</f>
        <v/>
      </c>
      <c r="R866" s="28" t="str">
        <f aca="false">IF($E866="","",IF(OR($N866&lt;&gt;"Concluída",$O866="",$J866=""),0,IF($O866&lt;=$J866,1,0)))</f>
        <v/>
      </c>
      <c r="S866" s="28" t="str">
        <f aca="false">IF($E866="","",IF(OR($N866&lt;&gt;"Concluída",$O866="",$Q866=""),0,IF($O866&lt;=$Q866,1,0)))</f>
        <v/>
      </c>
      <c r="T866" s="28" t="str">
        <f aca="false">IF(OR($J866="",$N866&lt;&gt;"Concluída",$O866=""),"",MAX(0,$O866-$J866))</f>
        <v/>
      </c>
      <c r="U866" s="33" t="str">
        <f aca="true">IF($E866="","",IF($N866="Cancelada","Cancelada",IF($N866="Concluída",IF($R866=1,"No prazo","Concluída com atraso"),IF($J866="","Na carteira",IF($J866&lt;TODAY(),"VENCIDA",IF($J866=TODAY(),"Hoje","Programada"))))))</f>
        <v/>
      </c>
    </row>
    <row r="867" customFormat="false" ht="15.75" hidden="false" customHeight="true" outlineLevel="0" collapsed="false">
      <c r="A867" s="28" t="str">
        <f aca="false">IF($E867="","",COUNTA($E$4:$E867))</f>
        <v/>
      </c>
      <c r="B867" s="34"/>
      <c r="C867" s="34"/>
      <c r="D867" s="34"/>
      <c r="E867" s="34"/>
      <c r="F867" s="35"/>
      <c r="G867" s="34"/>
      <c r="H867" s="35"/>
      <c r="I867" s="34"/>
      <c r="J867" s="36"/>
      <c r="K867" s="36"/>
      <c r="L867" s="35"/>
      <c r="M867" s="34"/>
      <c r="N867" s="35"/>
      <c r="O867" s="36"/>
      <c r="P867" s="32" t="str">
        <f aca="false">IF($J867="","",$J867-WEEKDAY($J867,3))</f>
        <v/>
      </c>
      <c r="Q867" s="32" t="str">
        <f aca="false">IF($J867="","",IF($K867="",$J867,$K867))</f>
        <v/>
      </c>
      <c r="R867" s="28" t="str">
        <f aca="false">IF($E867="","",IF(OR($N867&lt;&gt;"Concluída",$O867="",$J867=""),0,IF($O867&lt;=$J867,1,0)))</f>
        <v/>
      </c>
      <c r="S867" s="28" t="str">
        <f aca="false">IF($E867="","",IF(OR($N867&lt;&gt;"Concluída",$O867="",$Q867=""),0,IF($O867&lt;=$Q867,1,0)))</f>
        <v/>
      </c>
      <c r="T867" s="28" t="str">
        <f aca="false">IF(OR($J867="",$N867&lt;&gt;"Concluída",$O867=""),"",MAX(0,$O867-$J867))</f>
        <v/>
      </c>
      <c r="U867" s="33" t="str">
        <f aca="true">IF($E867="","",IF($N867="Cancelada","Cancelada",IF($N867="Concluída",IF($R867=1,"No prazo","Concluída com atraso"),IF($J867="","Na carteira",IF($J867&lt;TODAY(),"VENCIDA",IF($J867=TODAY(),"Hoje","Programada"))))))</f>
        <v/>
      </c>
    </row>
    <row r="868" customFormat="false" ht="15.75" hidden="false" customHeight="true" outlineLevel="0" collapsed="false">
      <c r="A868" s="28" t="str">
        <f aca="false">IF($E868="","",COUNTA($E$4:$E868))</f>
        <v/>
      </c>
      <c r="B868" s="29"/>
      <c r="C868" s="29"/>
      <c r="D868" s="29"/>
      <c r="E868" s="29"/>
      <c r="F868" s="30"/>
      <c r="G868" s="29"/>
      <c r="H868" s="30"/>
      <c r="I868" s="29"/>
      <c r="J868" s="31"/>
      <c r="K868" s="31"/>
      <c r="L868" s="30"/>
      <c r="M868" s="29"/>
      <c r="N868" s="30"/>
      <c r="O868" s="31"/>
      <c r="P868" s="32" t="str">
        <f aca="false">IF($J868="","",$J868-WEEKDAY($J868,3))</f>
        <v/>
      </c>
      <c r="Q868" s="32" t="str">
        <f aca="false">IF($J868="","",IF($K868="",$J868,$K868))</f>
        <v/>
      </c>
      <c r="R868" s="28" t="str">
        <f aca="false">IF($E868="","",IF(OR($N868&lt;&gt;"Concluída",$O868="",$J868=""),0,IF($O868&lt;=$J868,1,0)))</f>
        <v/>
      </c>
      <c r="S868" s="28" t="str">
        <f aca="false">IF($E868="","",IF(OR($N868&lt;&gt;"Concluída",$O868="",$Q868=""),0,IF($O868&lt;=$Q868,1,0)))</f>
        <v/>
      </c>
      <c r="T868" s="28" t="str">
        <f aca="false">IF(OR($J868="",$N868&lt;&gt;"Concluída",$O868=""),"",MAX(0,$O868-$J868))</f>
        <v/>
      </c>
      <c r="U868" s="33" t="str">
        <f aca="true">IF($E868="","",IF($N868="Cancelada","Cancelada",IF($N868="Concluída",IF($R868=1,"No prazo","Concluída com atraso"),IF($J868="","Na carteira",IF($J868&lt;TODAY(),"VENCIDA",IF($J868=TODAY(),"Hoje","Programada"))))))</f>
        <v/>
      </c>
    </row>
    <row r="869" customFormat="false" ht="15.75" hidden="false" customHeight="true" outlineLevel="0" collapsed="false">
      <c r="A869" s="28" t="str">
        <f aca="false">IF($E869="","",COUNTA($E$4:$E869))</f>
        <v/>
      </c>
      <c r="B869" s="34"/>
      <c r="C869" s="34"/>
      <c r="D869" s="34"/>
      <c r="E869" s="34"/>
      <c r="F869" s="35"/>
      <c r="G869" s="34"/>
      <c r="H869" s="35"/>
      <c r="I869" s="34"/>
      <c r="J869" s="36"/>
      <c r="K869" s="36"/>
      <c r="L869" s="35"/>
      <c r="M869" s="34"/>
      <c r="N869" s="35"/>
      <c r="O869" s="36"/>
      <c r="P869" s="32" t="str">
        <f aca="false">IF($J869="","",$J869-WEEKDAY($J869,3))</f>
        <v/>
      </c>
      <c r="Q869" s="32" t="str">
        <f aca="false">IF($J869="","",IF($K869="",$J869,$K869))</f>
        <v/>
      </c>
      <c r="R869" s="28" t="str">
        <f aca="false">IF($E869="","",IF(OR($N869&lt;&gt;"Concluída",$O869="",$J869=""),0,IF($O869&lt;=$J869,1,0)))</f>
        <v/>
      </c>
      <c r="S869" s="28" t="str">
        <f aca="false">IF($E869="","",IF(OR($N869&lt;&gt;"Concluída",$O869="",$Q869=""),0,IF($O869&lt;=$Q869,1,0)))</f>
        <v/>
      </c>
      <c r="T869" s="28" t="str">
        <f aca="false">IF(OR($J869="",$N869&lt;&gt;"Concluída",$O869=""),"",MAX(0,$O869-$J869))</f>
        <v/>
      </c>
      <c r="U869" s="33" t="str">
        <f aca="true">IF($E869="","",IF($N869="Cancelada","Cancelada",IF($N869="Concluída",IF($R869=1,"No prazo","Concluída com atraso"),IF($J869="","Na carteira",IF($J869&lt;TODAY(),"VENCIDA",IF($J869=TODAY(),"Hoje","Programada"))))))</f>
        <v/>
      </c>
    </row>
    <row r="870" customFormat="false" ht="15.75" hidden="false" customHeight="true" outlineLevel="0" collapsed="false">
      <c r="A870" s="28" t="str">
        <f aca="false">IF($E870="","",COUNTA($E$4:$E870))</f>
        <v/>
      </c>
      <c r="B870" s="29"/>
      <c r="C870" s="29"/>
      <c r="D870" s="29"/>
      <c r="E870" s="29"/>
      <c r="F870" s="30"/>
      <c r="G870" s="29"/>
      <c r="H870" s="30"/>
      <c r="I870" s="29"/>
      <c r="J870" s="31"/>
      <c r="K870" s="31"/>
      <c r="L870" s="30"/>
      <c r="M870" s="29"/>
      <c r="N870" s="30"/>
      <c r="O870" s="31"/>
      <c r="P870" s="32" t="str">
        <f aca="false">IF($J870="","",$J870-WEEKDAY($J870,3))</f>
        <v/>
      </c>
      <c r="Q870" s="32" t="str">
        <f aca="false">IF($J870="","",IF($K870="",$J870,$K870))</f>
        <v/>
      </c>
      <c r="R870" s="28" t="str">
        <f aca="false">IF($E870="","",IF(OR($N870&lt;&gt;"Concluída",$O870="",$J870=""),0,IF($O870&lt;=$J870,1,0)))</f>
        <v/>
      </c>
      <c r="S870" s="28" t="str">
        <f aca="false">IF($E870="","",IF(OR($N870&lt;&gt;"Concluída",$O870="",$Q870=""),0,IF($O870&lt;=$Q870,1,0)))</f>
        <v/>
      </c>
      <c r="T870" s="28" t="str">
        <f aca="false">IF(OR($J870="",$N870&lt;&gt;"Concluída",$O870=""),"",MAX(0,$O870-$J870))</f>
        <v/>
      </c>
      <c r="U870" s="33" t="str">
        <f aca="true">IF($E870="","",IF($N870="Cancelada","Cancelada",IF($N870="Concluída",IF($R870=1,"No prazo","Concluída com atraso"),IF($J870="","Na carteira",IF($J870&lt;TODAY(),"VENCIDA",IF($J870=TODAY(),"Hoje","Programada"))))))</f>
        <v/>
      </c>
    </row>
    <row r="871" customFormat="false" ht="15.75" hidden="false" customHeight="true" outlineLevel="0" collapsed="false">
      <c r="A871" s="28" t="str">
        <f aca="false">IF($E871="","",COUNTA($E$4:$E871))</f>
        <v/>
      </c>
      <c r="B871" s="34"/>
      <c r="C871" s="34"/>
      <c r="D871" s="34"/>
      <c r="E871" s="34"/>
      <c r="F871" s="35"/>
      <c r="G871" s="34"/>
      <c r="H871" s="35"/>
      <c r="I871" s="34"/>
      <c r="J871" s="36"/>
      <c r="K871" s="36"/>
      <c r="L871" s="35"/>
      <c r="M871" s="34"/>
      <c r="N871" s="35"/>
      <c r="O871" s="36"/>
      <c r="P871" s="32" t="str">
        <f aca="false">IF($J871="","",$J871-WEEKDAY($J871,3))</f>
        <v/>
      </c>
      <c r="Q871" s="32" t="str">
        <f aca="false">IF($J871="","",IF($K871="",$J871,$K871))</f>
        <v/>
      </c>
      <c r="R871" s="28" t="str">
        <f aca="false">IF($E871="","",IF(OR($N871&lt;&gt;"Concluída",$O871="",$J871=""),0,IF($O871&lt;=$J871,1,0)))</f>
        <v/>
      </c>
      <c r="S871" s="28" t="str">
        <f aca="false">IF($E871="","",IF(OR($N871&lt;&gt;"Concluída",$O871="",$Q871=""),0,IF($O871&lt;=$Q871,1,0)))</f>
        <v/>
      </c>
      <c r="T871" s="28" t="str">
        <f aca="false">IF(OR($J871="",$N871&lt;&gt;"Concluída",$O871=""),"",MAX(0,$O871-$J871))</f>
        <v/>
      </c>
      <c r="U871" s="33" t="str">
        <f aca="true">IF($E871="","",IF($N871="Cancelada","Cancelada",IF($N871="Concluída",IF($R871=1,"No prazo","Concluída com atraso"),IF($J871="","Na carteira",IF($J871&lt;TODAY(),"VENCIDA",IF($J871=TODAY(),"Hoje","Programada"))))))</f>
        <v/>
      </c>
    </row>
    <row r="872" customFormat="false" ht="15.75" hidden="false" customHeight="true" outlineLevel="0" collapsed="false">
      <c r="A872" s="28" t="str">
        <f aca="false">IF($E872="","",COUNTA($E$4:$E872))</f>
        <v/>
      </c>
      <c r="B872" s="29"/>
      <c r="C872" s="29"/>
      <c r="D872" s="29"/>
      <c r="E872" s="29"/>
      <c r="F872" s="30"/>
      <c r="G872" s="29"/>
      <c r="H872" s="30"/>
      <c r="I872" s="29"/>
      <c r="J872" s="31"/>
      <c r="K872" s="31"/>
      <c r="L872" s="30"/>
      <c r="M872" s="29"/>
      <c r="N872" s="30"/>
      <c r="O872" s="31"/>
      <c r="P872" s="32" t="str">
        <f aca="false">IF($J872="","",$J872-WEEKDAY($J872,3))</f>
        <v/>
      </c>
      <c r="Q872" s="32" t="str">
        <f aca="false">IF($J872="","",IF($K872="",$J872,$K872))</f>
        <v/>
      </c>
      <c r="R872" s="28" t="str">
        <f aca="false">IF($E872="","",IF(OR($N872&lt;&gt;"Concluída",$O872="",$J872=""),0,IF($O872&lt;=$J872,1,0)))</f>
        <v/>
      </c>
      <c r="S872" s="28" t="str">
        <f aca="false">IF($E872="","",IF(OR($N872&lt;&gt;"Concluída",$O872="",$Q872=""),0,IF($O872&lt;=$Q872,1,0)))</f>
        <v/>
      </c>
      <c r="T872" s="28" t="str">
        <f aca="false">IF(OR($J872="",$N872&lt;&gt;"Concluída",$O872=""),"",MAX(0,$O872-$J872))</f>
        <v/>
      </c>
      <c r="U872" s="33" t="str">
        <f aca="true">IF($E872="","",IF($N872="Cancelada","Cancelada",IF($N872="Concluída",IF($R872=1,"No prazo","Concluída com atraso"),IF($J872="","Na carteira",IF($J872&lt;TODAY(),"VENCIDA",IF($J872=TODAY(),"Hoje","Programada"))))))</f>
        <v/>
      </c>
    </row>
    <row r="873" customFormat="false" ht="15.75" hidden="false" customHeight="true" outlineLevel="0" collapsed="false">
      <c r="A873" s="28" t="str">
        <f aca="false">IF($E873="","",COUNTA($E$4:$E873))</f>
        <v/>
      </c>
      <c r="B873" s="34"/>
      <c r="C873" s="34"/>
      <c r="D873" s="34"/>
      <c r="E873" s="34"/>
      <c r="F873" s="35"/>
      <c r="G873" s="34"/>
      <c r="H873" s="35"/>
      <c r="I873" s="34"/>
      <c r="J873" s="36"/>
      <c r="K873" s="36"/>
      <c r="L873" s="35"/>
      <c r="M873" s="34"/>
      <c r="N873" s="35"/>
      <c r="O873" s="36"/>
      <c r="P873" s="32" t="str">
        <f aca="false">IF($J873="","",$J873-WEEKDAY($J873,3))</f>
        <v/>
      </c>
      <c r="Q873" s="32" t="str">
        <f aca="false">IF($J873="","",IF($K873="",$J873,$K873))</f>
        <v/>
      </c>
      <c r="R873" s="28" t="str">
        <f aca="false">IF($E873="","",IF(OR($N873&lt;&gt;"Concluída",$O873="",$J873=""),0,IF($O873&lt;=$J873,1,0)))</f>
        <v/>
      </c>
      <c r="S873" s="28" t="str">
        <f aca="false">IF($E873="","",IF(OR($N873&lt;&gt;"Concluída",$O873="",$Q873=""),0,IF($O873&lt;=$Q873,1,0)))</f>
        <v/>
      </c>
      <c r="T873" s="28" t="str">
        <f aca="false">IF(OR($J873="",$N873&lt;&gt;"Concluída",$O873=""),"",MAX(0,$O873-$J873))</f>
        <v/>
      </c>
      <c r="U873" s="33" t="str">
        <f aca="true">IF($E873="","",IF($N873="Cancelada","Cancelada",IF($N873="Concluída",IF($R873=1,"No prazo","Concluída com atraso"),IF($J873="","Na carteira",IF($J873&lt;TODAY(),"VENCIDA",IF($J873=TODAY(),"Hoje","Programada"))))))</f>
        <v/>
      </c>
    </row>
    <row r="874" customFormat="false" ht="15.75" hidden="false" customHeight="true" outlineLevel="0" collapsed="false">
      <c r="A874" s="28" t="str">
        <f aca="false">IF($E874="","",COUNTA($E$4:$E874))</f>
        <v/>
      </c>
      <c r="B874" s="29"/>
      <c r="C874" s="29"/>
      <c r="D874" s="29"/>
      <c r="E874" s="29"/>
      <c r="F874" s="30"/>
      <c r="G874" s="29"/>
      <c r="H874" s="30"/>
      <c r="I874" s="29"/>
      <c r="J874" s="31"/>
      <c r="K874" s="31"/>
      <c r="L874" s="30"/>
      <c r="M874" s="29"/>
      <c r="N874" s="30"/>
      <c r="O874" s="31"/>
      <c r="P874" s="32" t="str">
        <f aca="false">IF($J874="","",$J874-WEEKDAY($J874,3))</f>
        <v/>
      </c>
      <c r="Q874" s="32" t="str">
        <f aca="false">IF($J874="","",IF($K874="",$J874,$K874))</f>
        <v/>
      </c>
      <c r="R874" s="28" t="str">
        <f aca="false">IF($E874="","",IF(OR($N874&lt;&gt;"Concluída",$O874="",$J874=""),0,IF($O874&lt;=$J874,1,0)))</f>
        <v/>
      </c>
      <c r="S874" s="28" t="str">
        <f aca="false">IF($E874="","",IF(OR($N874&lt;&gt;"Concluída",$O874="",$Q874=""),0,IF($O874&lt;=$Q874,1,0)))</f>
        <v/>
      </c>
      <c r="T874" s="28" t="str">
        <f aca="false">IF(OR($J874="",$N874&lt;&gt;"Concluída",$O874=""),"",MAX(0,$O874-$J874))</f>
        <v/>
      </c>
      <c r="U874" s="33" t="str">
        <f aca="true">IF($E874="","",IF($N874="Cancelada","Cancelada",IF($N874="Concluída",IF($R874=1,"No prazo","Concluída com atraso"),IF($J874="","Na carteira",IF($J874&lt;TODAY(),"VENCIDA",IF($J874=TODAY(),"Hoje","Programada"))))))</f>
        <v/>
      </c>
    </row>
    <row r="875" customFormat="false" ht="15.75" hidden="false" customHeight="true" outlineLevel="0" collapsed="false">
      <c r="A875" s="28" t="str">
        <f aca="false">IF($E875="","",COUNTA($E$4:$E875))</f>
        <v/>
      </c>
      <c r="B875" s="34"/>
      <c r="C875" s="34"/>
      <c r="D875" s="34"/>
      <c r="E875" s="34"/>
      <c r="F875" s="35"/>
      <c r="G875" s="34"/>
      <c r="H875" s="35"/>
      <c r="I875" s="34"/>
      <c r="J875" s="36"/>
      <c r="K875" s="36"/>
      <c r="L875" s="35"/>
      <c r="M875" s="34"/>
      <c r="N875" s="35"/>
      <c r="O875" s="36"/>
      <c r="P875" s="32" t="str">
        <f aca="false">IF($J875="","",$J875-WEEKDAY($J875,3))</f>
        <v/>
      </c>
      <c r="Q875" s="32" t="str">
        <f aca="false">IF($J875="","",IF($K875="",$J875,$K875))</f>
        <v/>
      </c>
      <c r="R875" s="28" t="str">
        <f aca="false">IF($E875="","",IF(OR($N875&lt;&gt;"Concluída",$O875="",$J875=""),0,IF($O875&lt;=$J875,1,0)))</f>
        <v/>
      </c>
      <c r="S875" s="28" t="str">
        <f aca="false">IF($E875="","",IF(OR($N875&lt;&gt;"Concluída",$O875="",$Q875=""),0,IF($O875&lt;=$Q875,1,0)))</f>
        <v/>
      </c>
      <c r="T875" s="28" t="str">
        <f aca="false">IF(OR($J875="",$N875&lt;&gt;"Concluída",$O875=""),"",MAX(0,$O875-$J875))</f>
        <v/>
      </c>
      <c r="U875" s="33" t="str">
        <f aca="true">IF($E875="","",IF($N875="Cancelada","Cancelada",IF($N875="Concluída",IF($R875=1,"No prazo","Concluída com atraso"),IF($J875="","Na carteira",IF($J875&lt;TODAY(),"VENCIDA",IF($J875=TODAY(),"Hoje","Programada"))))))</f>
        <v/>
      </c>
    </row>
    <row r="876" customFormat="false" ht="15.75" hidden="false" customHeight="true" outlineLevel="0" collapsed="false">
      <c r="A876" s="28" t="str">
        <f aca="false">IF($E876="","",COUNTA($E$4:$E876))</f>
        <v/>
      </c>
      <c r="B876" s="29"/>
      <c r="C876" s="29"/>
      <c r="D876" s="29"/>
      <c r="E876" s="29"/>
      <c r="F876" s="30"/>
      <c r="G876" s="29"/>
      <c r="H876" s="30"/>
      <c r="I876" s="29"/>
      <c r="J876" s="31"/>
      <c r="K876" s="31"/>
      <c r="L876" s="30"/>
      <c r="M876" s="29"/>
      <c r="N876" s="30"/>
      <c r="O876" s="31"/>
      <c r="P876" s="32" t="str">
        <f aca="false">IF($J876="","",$J876-WEEKDAY($J876,3))</f>
        <v/>
      </c>
      <c r="Q876" s="32" t="str">
        <f aca="false">IF($J876="","",IF($K876="",$J876,$K876))</f>
        <v/>
      </c>
      <c r="R876" s="28" t="str">
        <f aca="false">IF($E876="","",IF(OR($N876&lt;&gt;"Concluída",$O876="",$J876=""),0,IF($O876&lt;=$J876,1,0)))</f>
        <v/>
      </c>
      <c r="S876" s="28" t="str">
        <f aca="false">IF($E876="","",IF(OR($N876&lt;&gt;"Concluída",$O876="",$Q876=""),0,IF($O876&lt;=$Q876,1,0)))</f>
        <v/>
      </c>
      <c r="T876" s="28" t="str">
        <f aca="false">IF(OR($J876="",$N876&lt;&gt;"Concluída",$O876=""),"",MAX(0,$O876-$J876))</f>
        <v/>
      </c>
      <c r="U876" s="33" t="str">
        <f aca="true">IF($E876="","",IF($N876="Cancelada","Cancelada",IF($N876="Concluída",IF($R876=1,"No prazo","Concluída com atraso"),IF($J876="","Na carteira",IF($J876&lt;TODAY(),"VENCIDA",IF($J876=TODAY(),"Hoje","Programada"))))))</f>
        <v/>
      </c>
    </row>
    <row r="877" customFormat="false" ht="15.75" hidden="false" customHeight="true" outlineLevel="0" collapsed="false">
      <c r="A877" s="28" t="str">
        <f aca="false">IF($E877="","",COUNTA($E$4:$E877))</f>
        <v/>
      </c>
      <c r="B877" s="34"/>
      <c r="C877" s="34"/>
      <c r="D877" s="34"/>
      <c r="E877" s="34"/>
      <c r="F877" s="35"/>
      <c r="G877" s="34"/>
      <c r="H877" s="35"/>
      <c r="I877" s="34"/>
      <c r="J877" s="36"/>
      <c r="K877" s="36"/>
      <c r="L877" s="35"/>
      <c r="M877" s="34"/>
      <c r="N877" s="35"/>
      <c r="O877" s="36"/>
      <c r="P877" s="32" t="str">
        <f aca="false">IF($J877="","",$J877-WEEKDAY($J877,3))</f>
        <v/>
      </c>
      <c r="Q877" s="32" t="str">
        <f aca="false">IF($J877="","",IF($K877="",$J877,$K877))</f>
        <v/>
      </c>
      <c r="R877" s="28" t="str">
        <f aca="false">IF($E877="","",IF(OR($N877&lt;&gt;"Concluída",$O877="",$J877=""),0,IF($O877&lt;=$J877,1,0)))</f>
        <v/>
      </c>
      <c r="S877" s="28" t="str">
        <f aca="false">IF($E877="","",IF(OR($N877&lt;&gt;"Concluída",$O877="",$Q877=""),0,IF($O877&lt;=$Q877,1,0)))</f>
        <v/>
      </c>
      <c r="T877" s="28" t="str">
        <f aca="false">IF(OR($J877="",$N877&lt;&gt;"Concluída",$O877=""),"",MAX(0,$O877-$J877))</f>
        <v/>
      </c>
      <c r="U877" s="33" t="str">
        <f aca="true">IF($E877="","",IF($N877="Cancelada","Cancelada",IF($N877="Concluída",IF($R877=1,"No prazo","Concluída com atraso"),IF($J877="","Na carteira",IF($J877&lt;TODAY(),"VENCIDA",IF($J877=TODAY(),"Hoje","Programada"))))))</f>
        <v/>
      </c>
    </row>
    <row r="878" customFormat="false" ht="15.75" hidden="false" customHeight="true" outlineLevel="0" collapsed="false">
      <c r="A878" s="28" t="str">
        <f aca="false">IF($E878="","",COUNTA($E$4:$E878))</f>
        <v/>
      </c>
      <c r="B878" s="29"/>
      <c r="C878" s="29"/>
      <c r="D878" s="29"/>
      <c r="E878" s="29"/>
      <c r="F878" s="30"/>
      <c r="G878" s="29"/>
      <c r="H878" s="30"/>
      <c r="I878" s="29"/>
      <c r="J878" s="31"/>
      <c r="K878" s="31"/>
      <c r="L878" s="30"/>
      <c r="M878" s="29"/>
      <c r="N878" s="30"/>
      <c r="O878" s="31"/>
      <c r="P878" s="32" t="str">
        <f aca="false">IF($J878="","",$J878-WEEKDAY($J878,3))</f>
        <v/>
      </c>
      <c r="Q878" s="32" t="str">
        <f aca="false">IF($J878="","",IF($K878="",$J878,$K878))</f>
        <v/>
      </c>
      <c r="R878" s="28" t="str">
        <f aca="false">IF($E878="","",IF(OR($N878&lt;&gt;"Concluída",$O878="",$J878=""),0,IF($O878&lt;=$J878,1,0)))</f>
        <v/>
      </c>
      <c r="S878" s="28" t="str">
        <f aca="false">IF($E878="","",IF(OR($N878&lt;&gt;"Concluída",$O878="",$Q878=""),0,IF($O878&lt;=$Q878,1,0)))</f>
        <v/>
      </c>
      <c r="T878" s="28" t="str">
        <f aca="false">IF(OR($J878="",$N878&lt;&gt;"Concluída",$O878=""),"",MAX(0,$O878-$J878))</f>
        <v/>
      </c>
      <c r="U878" s="33" t="str">
        <f aca="true">IF($E878="","",IF($N878="Cancelada","Cancelada",IF($N878="Concluída",IF($R878=1,"No prazo","Concluída com atraso"),IF($J878="","Na carteira",IF($J878&lt;TODAY(),"VENCIDA",IF($J878=TODAY(),"Hoje","Programada"))))))</f>
        <v/>
      </c>
    </row>
    <row r="879" customFormat="false" ht="15.75" hidden="false" customHeight="true" outlineLevel="0" collapsed="false">
      <c r="A879" s="28" t="str">
        <f aca="false">IF($E879="","",COUNTA($E$4:$E879))</f>
        <v/>
      </c>
      <c r="B879" s="34"/>
      <c r="C879" s="34"/>
      <c r="D879" s="34"/>
      <c r="E879" s="34"/>
      <c r="F879" s="35"/>
      <c r="G879" s="34"/>
      <c r="H879" s="35"/>
      <c r="I879" s="34"/>
      <c r="J879" s="36"/>
      <c r="K879" s="36"/>
      <c r="L879" s="35"/>
      <c r="M879" s="34"/>
      <c r="N879" s="35"/>
      <c r="O879" s="36"/>
      <c r="P879" s="32" t="str">
        <f aca="false">IF($J879="","",$J879-WEEKDAY($J879,3))</f>
        <v/>
      </c>
      <c r="Q879" s="32" t="str">
        <f aca="false">IF($J879="","",IF($K879="",$J879,$K879))</f>
        <v/>
      </c>
      <c r="R879" s="28" t="str">
        <f aca="false">IF($E879="","",IF(OR($N879&lt;&gt;"Concluída",$O879="",$J879=""),0,IF($O879&lt;=$J879,1,0)))</f>
        <v/>
      </c>
      <c r="S879" s="28" t="str">
        <f aca="false">IF($E879="","",IF(OR($N879&lt;&gt;"Concluída",$O879="",$Q879=""),0,IF($O879&lt;=$Q879,1,0)))</f>
        <v/>
      </c>
      <c r="T879" s="28" t="str">
        <f aca="false">IF(OR($J879="",$N879&lt;&gt;"Concluída",$O879=""),"",MAX(0,$O879-$J879))</f>
        <v/>
      </c>
      <c r="U879" s="33" t="str">
        <f aca="true">IF($E879="","",IF($N879="Cancelada","Cancelada",IF($N879="Concluída",IF($R879=1,"No prazo","Concluída com atraso"),IF($J879="","Na carteira",IF($J879&lt;TODAY(),"VENCIDA",IF($J879=TODAY(),"Hoje","Programada"))))))</f>
        <v/>
      </c>
    </row>
    <row r="880" customFormat="false" ht="15.75" hidden="false" customHeight="true" outlineLevel="0" collapsed="false">
      <c r="A880" s="28" t="str">
        <f aca="false">IF($E880="","",COUNTA($E$4:$E880))</f>
        <v/>
      </c>
      <c r="B880" s="29"/>
      <c r="C880" s="29"/>
      <c r="D880" s="29"/>
      <c r="E880" s="29"/>
      <c r="F880" s="30"/>
      <c r="G880" s="29"/>
      <c r="H880" s="30"/>
      <c r="I880" s="29"/>
      <c r="J880" s="31"/>
      <c r="K880" s="31"/>
      <c r="L880" s="30"/>
      <c r="M880" s="29"/>
      <c r="N880" s="30"/>
      <c r="O880" s="31"/>
      <c r="P880" s="32" t="str">
        <f aca="false">IF($J880="","",$J880-WEEKDAY($J880,3))</f>
        <v/>
      </c>
      <c r="Q880" s="32" t="str">
        <f aca="false">IF($J880="","",IF($K880="",$J880,$K880))</f>
        <v/>
      </c>
      <c r="R880" s="28" t="str">
        <f aca="false">IF($E880="","",IF(OR($N880&lt;&gt;"Concluída",$O880="",$J880=""),0,IF($O880&lt;=$J880,1,0)))</f>
        <v/>
      </c>
      <c r="S880" s="28" t="str">
        <f aca="false">IF($E880="","",IF(OR($N880&lt;&gt;"Concluída",$O880="",$Q880=""),0,IF($O880&lt;=$Q880,1,0)))</f>
        <v/>
      </c>
      <c r="T880" s="28" t="str">
        <f aca="false">IF(OR($J880="",$N880&lt;&gt;"Concluída",$O880=""),"",MAX(0,$O880-$J880))</f>
        <v/>
      </c>
      <c r="U880" s="33" t="str">
        <f aca="true">IF($E880="","",IF($N880="Cancelada","Cancelada",IF($N880="Concluída",IF($R880=1,"No prazo","Concluída com atraso"),IF($J880="","Na carteira",IF($J880&lt;TODAY(),"VENCIDA",IF($J880=TODAY(),"Hoje","Programada"))))))</f>
        <v/>
      </c>
    </row>
    <row r="881" customFormat="false" ht="15.75" hidden="false" customHeight="true" outlineLevel="0" collapsed="false">
      <c r="A881" s="28" t="str">
        <f aca="false">IF($E881="","",COUNTA($E$4:$E881))</f>
        <v/>
      </c>
      <c r="B881" s="34"/>
      <c r="C881" s="34"/>
      <c r="D881" s="34"/>
      <c r="E881" s="34"/>
      <c r="F881" s="35"/>
      <c r="G881" s="34"/>
      <c r="H881" s="35"/>
      <c r="I881" s="34"/>
      <c r="J881" s="36"/>
      <c r="K881" s="36"/>
      <c r="L881" s="35"/>
      <c r="M881" s="34"/>
      <c r="N881" s="35"/>
      <c r="O881" s="36"/>
      <c r="P881" s="32" t="str">
        <f aca="false">IF($J881="","",$J881-WEEKDAY($J881,3))</f>
        <v/>
      </c>
      <c r="Q881" s="32" t="str">
        <f aca="false">IF($J881="","",IF($K881="",$J881,$K881))</f>
        <v/>
      </c>
      <c r="R881" s="28" t="str">
        <f aca="false">IF($E881="","",IF(OR($N881&lt;&gt;"Concluída",$O881="",$J881=""),0,IF($O881&lt;=$J881,1,0)))</f>
        <v/>
      </c>
      <c r="S881" s="28" t="str">
        <f aca="false">IF($E881="","",IF(OR($N881&lt;&gt;"Concluída",$O881="",$Q881=""),0,IF($O881&lt;=$Q881,1,0)))</f>
        <v/>
      </c>
      <c r="T881" s="28" t="str">
        <f aca="false">IF(OR($J881="",$N881&lt;&gt;"Concluída",$O881=""),"",MAX(0,$O881-$J881))</f>
        <v/>
      </c>
      <c r="U881" s="33" t="str">
        <f aca="true">IF($E881="","",IF($N881="Cancelada","Cancelada",IF($N881="Concluída",IF($R881=1,"No prazo","Concluída com atraso"),IF($J881="","Na carteira",IF($J881&lt;TODAY(),"VENCIDA",IF($J881=TODAY(),"Hoje","Programada"))))))</f>
        <v/>
      </c>
    </row>
    <row r="882" customFormat="false" ht="15.75" hidden="false" customHeight="true" outlineLevel="0" collapsed="false">
      <c r="A882" s="28" t="str">
        <f aca="false">IF($E882="","",COUNTA($E$4:$E882))</f>
        <v/>
      </c>
      <c r="B882" s="29"/>
      <c r="C882" s="29"/>
      <c r="D882" s="29"/>
      <c r="E882" s="29"/>
      <c r="F882" s="30"/>
      <c r="G882" s="29"/>
      <c r="H882" s="30"/>
      <c r="I882" s="29"/>
      <c r="J882" s="31"/>
      <c r="K882" s="31"/>
      <c r="L882" s="30"/>
      <c r="M882" s="29"/>
      <c r="N882" s="30"/>
      <c r="O882" s="31"/>
      <c r="P882" s="32" t="str">
        <f aca="false">IF($J882="","",$J882-WEEKDAY($J882,3))</f>
        <v/>
      </c>
      <c r="Q882" s="32" t="str">
        <f aca="false">IF($J882="","",IF($K882="",$J882,$K882))</f>
        <v/>
      </c>
      <c r="R882" s="28" t="str">
        <f aca="false">IF($E882="","",IF(OR($N882&lt;&gt;"Concluída",$O882="",$J882=""),0,IF($O882&lt;=$J882,1,0)))</f>
        <v/>
      </c>
      <c r="S882" s="28" t="str">
        <f aca="false">IF($E882="","",IF(OR($N882&lt;&gt;"Concluída",$O882="",$Q882=""),0,IF($O882&lt;=$Q882,1,0)))</f>
        <v/>
      </c>
      <c r="T882" s="28" t="str">
        <f aca="false">IF(OR($J882="",$N882&lt;&gt;"Concluída",$O882=""),"",MAX(0,$O882-$J882))</f>
        <v/>
      </c>
      <c r="U882" s="33" t="str">
        <f aca="true">IF($E882="","",IF($N882="Cancelada","Cancelada",IF($N882="Concluída",IF($R882=1,"No prazo","Concluída com atraso"),IF($J882="","Na carteira",IF($J882&lt;TODAY(),"VENCIDA",IF($J882=TODAY(),"Hoje","Programada"))))))</f>
        <v/>
      </c>
    </row>
    <row r="883" customFormat="false" ht="15.75" hidden="false" customHeight="true" outlineLevel="0" collapsed="false">
      <c r="A883" s="28" t="str">
        <f aca="false">IF($E883="","",COUNTA($E$4:$E883))</f>
        <v/>
      </c>
      <c r="B883" s="34"/>
      <c r="C883" s="34"/>
      <c r="D883" s="34"/>
      <c r="E883" s="34"/>
      <c r="F883" s="35"/>
      <c r="G883" s="34"/>
      <c r="H883" s="35"/>
      <c r="I883" s="34"/>
      <c r="J883" s="36"/>
      <c r="K883" s="36"/>
      <c r="L883" s="35"/>
      <c r="M883" s="34"/>
      <c r="N883" s="35"/>
      <c r="O883" s="36"/>
      <c r="P883" s="32" t="str">
        <f aca="false">IF($J883="","",$J883-WEEKDAY($J883,3))</f>
        <v/>
      </c>
      <c r="Q883" s="32" t="str">
        <f aca="false">IF($J883="","",IF($K883="",$J883,$K883))</f>
        <v/>
      </c>
      <c r="R883" s="28" t="str">
        <f aca="false">IF($E883="","",IF(OR($N883&lt;&gt;"Concluída",$O883="",$J883=""),0,IF($O883&lt;=$J883,1,0)))</f>
        <v/>
      </c>
      <c r="S883" s="28" t="str">
        <f aca="false">IF($E883="","",IF(OR($N883&lt;&gt;"Concluída",$O883="",$Q883=""),0,IF($O883&lt;=$Q883,1,0)))</f>
        <v/>
      </c>
      <c r="T883" s="28" t="str">
        <f aca="false">IF(OR($J883="",$N883&lt;&gt;"Concluída",$O883=""),"",MAX(0,$O883-$J883))</f>
        <v/>
      </c>
      <c r="U883" s="33" t="str">
        <f aca="true">IF($E883="","",IF($N883="Cancelada","Cancelada",IF($N883="Concluída",IF($R883=1,"No prazo","Concluída com atraso"),IF($J883="","Na carteira",IF($J883&lt;TODAY(),"VENCIDA",IF($J883=TODAY(),"Hoje","Programada"))))))</f>
        <v/>
      </c>
    </row>
    <row r="884" customFormat="false" ht="15.75" hidden="false" customHeight="true" outlineLevel="0" collapsed="false">
      <c r="A884" s="28" t="str">
        <f aca="false">IF($E884="","",COUNTA($E$4:$E884))</f>
        <v/>
      </c>
      <c r="B884" s="29"/>
      <c r="C884" s="29"/>
      <c r="D884" s="29"/>
      <c r="E884" s="29"/>
      <c r="F884" s="30"/>
      <c r="G884" s="29"/>
      <c r="H884" s="30"/>
      <c r="I884" s="29"/>
      <c r="J884" s="31"/>
      <c r="K884" s="31"/>
      <c r="L884" s="30"/>
      <c r="M884" s="29"/>
      <c r="N884" s="30"/>
      <c r="O884" s="31"/>
      <c r="P884" s="32" t="str">
        <f aca="false">IF($J884="","",$J884-WEEKDAY($J884,3))</f>
        <v/>
      </c>
      <c r="Q884" s="32" t="str">
        <f aca="false">IF($J884="","",IF($K884="",$J884,$K884))</f>
        <v/>
      </c>
      <c r="R884" s="28" t="str">
        <f aca="false">IF($E884="","",IF(OR($N884&lt;&gt;"Concluída",$O884="",$J884=""),0,IF($O884&lt;=$J884,1,0)))</f>
        <v/>
      </c>
      <c r="S884" s="28" t="str">
        <f aca="false">IF($E884="","",IF(OR($N884&lt;&gt;"Concluída",$O884="",$Q884=""),0,IF($O884&lt;=$Q884,1,0)))</f>
        <v/>
      </c>
      <c r="T884" s="28" t="str">
        <f aca="false">IF(OR($J884="",$N884&lt;&gt;"Concluída",$O884=""),"",MAX(0,$O884-$J884))</f>
        <v/>
      </c>
      <c r="U884" s="33" t="str">
        <f aca="true">IF($E884="","",IF($N884="Cancelada","Cancelada",IF($N884="Concluída",IF($R884=1,"No prazo","Concluída com atraso"),IF($J884="","Na carteira",IF($J884&lt;TODAY(),"VENCIDA",IF($J884=TODAY(),"Hoje","Programada"))))))</f>
        <v/>
      </c>
    </row>
    <row r="885" customFormat="false" ht="15.75" hidden="false" customHeight="true" outlineLevel="0" collapsed="false">
      <c r="A885" s="28" t="str">
        <f aca="false">IF($E885="","",COUNTA($E$4:$E885))</f>
        <v/>
      </c>
      <c r="B885" s="34"/>
      <c r="C885" s="34"/>
      <c r="D885" s="34"/>
      <c r="E885" s="34"/>
      <c r="F885" s="35"/>
      <c r="G885" s="34"/>
      <c r="H885" s="35"/>
      <c r="I885" s="34"/>
      <c r="J885" s="36"/>
      <c r="K885" s="36"/>
      <c r="L885" s="35"/>
      <c r="M885" s="34"/>
      <c r="N885" s="35"/>
      <c r="O885" s="36"/>
      <c r="P885" s="32" t="str">
        <f aca="false">IF($J885="","",$J885-WEEKDAY($J885,3))</f>
        <v/>
      </c>
      <c r="Q885" s="32" t="str">
        <f aca="false">IF($J885="","",IF($K885="",$J885,$K885))</f>
        <v/>
      </c>
      <c r="R885" s="28" t="str">
        <f aca="false">IF($E885="","",IF(OR($N885&lt;&gt;"Concluída",$O885="",$J885=""),0,IF($O885&lt;=$J885,1,0)))</f>
        <v/>
      </c>
      <c r="S885" s="28" t="str">
        <f aca="false">IF($E885="","",IF(OR($N885&lt;&gt;"Concluída",$O885="",$Q885=""),0,IF($O885&lt;=$Q885,1,0)))</f>
        <v/>
      </c>
      <c r="T885" s="28" t="str">
        <f aca="false">IF(OR($J885="",$N885&lt;&gt;"Concluída",$O885=""),"",MAX(0,$O885-$J885))</f>
        <v/>
      </c>
      <c r="U885" s="33" t="str">
        <f aca="true">IF($E885="","",IF($N885="Cancelada","Cancelada",IF($N885="Concluída",IF($R885=1,"No prazo","Concluída com atraso"),IF($J885="","Na carteira",IF($J885&lt;TODAY(),"VENCIDA",IF($J885=TODAY(),"Hoje","Programada"))))))</f>
        <v/>
      </c>
    </row>
    <row r="886" customFormat="false" ht="15.75" hidden="false" customHeight="true" outlineLevel="0" collapsed="false">
      <c r="A886" s="28" t="str">
        <f aca="false">IF($E886="","",COUNTA($E$4:$E886))</f>
        <v/>
      </c>
      <c r="B886" s="29"/>
      <c r="C886" s="29"/>
      <c r="D886" s="29"/>
      <c r="E886" s="29"/>
      <c r="F886" s="30"/>
      <c r="G886" s="29"/>
      <c r="H886" s="30"/>
      <c r="I886" s="29"/>
      <c r="J886" s="31"/>
      <c r="K886" s="31"/>
      <c r="L886" s="30"/>
      <c r="M886" s="29"/>
      <c r="N886" s="30"/>
      <c r="O886" s="31"/>
      <c r="P886" s="32" t="str">
        <f aca="false">IF($J886="","",$J886-WEEKDAY($J886,3))</f>
        <v/>
      </c>
      <c r="Q886" s="32" t="str">
        <f aca="false">IF($J886="","",IF($K886="",$J886,$K886))</f>
        <v/>
      </c>
      <c r="R886" s="28" t="str">
        <f aca="false">IF($E886="","",IF(OR($N886&lt;&gt;"Concluída",$O886="",$J886=""),0,IF($O886&lt;=$J886,1,0)))</f>
        <v/>
      </c>
      <c r="S886" s="28" t="str">
        <f aca="false">IF($E886="","",IF(OR($N886&lt;&gt;"Concluída",$O886="",$Q886=""),0,IF($O886&lt;=$Q886,1,0)))</f>
        <v/>
      </c>
      <c r="T886" s="28" t="str">
        <f aca="false">IF(OR($J886="",$N886&lt;&gt;"Concluída",$O886=""),"",MAX(0,$O886-$J886))</f>
        <v/>
      </c>
      <c r="U886" s="33" t="str">
        <f aca="true">IF($E886="","",IF($N886="Cancelada","Cancelada",IF($N886="Concluída",IF($R886=1,"No prazo","Concluída com atraso"),IF($J886="","Na carteira",IF($J886&lt;TODAY(),"VENCIDA",IF($J886=TODAY(),"Hoje","Programada"))))))</f>
        <v/>
      </c>
    </row>
    <row r="887" customFormat="false" ht="15.75" hidden="false" customHeight="true" outlineLevel="0" collapsed="false">
      <c r="A887" s="28" t="str">
        <f aca="false">IF($E887="","",COUNTA($E$4:$E887))</f>
        <v/>
      </c>
      <c r="B887" s="34"/>
      <c r="C887" s="34"/>
      <c r="D887" s="34"/>
      <c r="E887" s="34"/>
      <c r="F887" s="35"/>
      <c r="G887" s="34"/>
      <c r="H887" s="35"/>
      <c r="I887" s="34"/>
      <c r="J887" s="36"/>
      <c r="K887" s="36"/>
      <c r="L887" s="35"/>
      <c r="M887" s="34"/>
      <c r="N887" s="35"/>
      <c r="O887" s="36"/>
      <c r="P887" s="32" t="str">
        <f aca="false">IF($J887="","",$J887-WEEKDAY($J887,3))</f>
        <v/>
      </c>
      <c r="Q887" s="32" t="str">
        <f aca="false">IF($J887="","",IF($K887="",$J887,$K887))</f>
        <v/>
      </c>
      <c r="R887" s="28" t="str">
        <f aca="false">IF($E887="","",IF(OR($N887&lt;&gt;"Concluída",$O887="",$J887=""),0,IF($O887&lt;=$J887,1,0)))</f>
        <v/>
      </c>
      <c r="S887" s="28" t="str">
        <f aca="false">IF($E887="","",IF(OR($N887&lt;&gt;"Concluída",$O887="",$Q887=""),0,IF($O887&lt;=$Q887,1,0)))</f>
        <v/>
      </c>
      <c r="T887" s="28" t="str">
        <f aca="false">IF(OR($J887="",$N887&lt;&gt;"Concluída",$O887=""),"",MAX(0,$O887-$J887))</f>
        <v/>
      </c>
      <c r="U887" s="33" t="str">
        <f aca="true">IF($E887="","",IF($N887="Cancelada","Cancelada",IF($N887="Concluída",IF($R887=1,"No prazo","Concluída com atraso"),IF($J887="","Na carteira",IF($J887&lt;TODAY(),"VENCIDA",IF($J887=TODAY(),"Hoje","Programada"))))))</f>
        <v/>
      </c>
    </row>
    <row r="888" customFormat="false" ht="15.75" hidden="false" customHeight="true" outlineLevel="0" collapsed="false">
      <c r="A888" s="28" t="str">
        <f aca="false">IF($E888="","",COUNTA($E$4:$E888))</f>
        <v/>
      </c>
      <c r="B888" s="29"/>
      <c r="C888" s="29"/>
      <c r="D888" s="29"/>
      <c r="E888" s="29"/>
      <c r="F888" s="30"/>
      <c r="G888" s="29"/>
      <c r="H888" s="30"/>
      <c r="I888" s="29"/>
      <c r="J888" s="31"/>
      <c r="K888" s="31"/>
      <c r="L888" s="30"/>
      <c r="M888" s="29"/>
      <c r="N888" s="30"/>
      <c r="O888" s="31"/>
      <c r="P888" s="32" t="str">
        <f aca="false">IF($J888="","",$J888-WEEKDAY($J888,3))</f>
        <v/>
      </c>
      <c r="Q888" s="32" t="str">
        <f aca="false">IF($J888="","",IF($K888="",$J888,$K888))</f>
        <v/>
      </c>
      <c r="R888" s="28" t="str">
        <f aca="false">IF($E888="","",IF(OR($N888&lt;&gt;"Concluída",$O888="",$J888=""),0,IF($O888&lt;=$J888,1,0)))</f>
        <v/>
      </c>
      <c r="S888" s="28" t="str">
        <f aca="false">IF($E888="","",IF(OR($N888&lt;&gt;"Concluída",$O888="",$Q888=""),0,IF($O888&lt;=$Q888,1,0)))</f>
        <v/>
      </c>
      <c r="T888" s="28" t="str">
        <f aca="false">IF(OR($J888="",$N888&lt;&gt;"Concluída",$O888=""),"",MAX(0,$O888-$J888))</f>
        <v/>
      </c>
      <c r="U888" s="33" t="str">
        <f aca="true">IF($E888="","",IF($N888="Cancelada","Cancelada",IF($N888="Concluída",IF($R888=1,"No prazo","Concluída com atraso"),IF($J888="","Na carteira",IF($J888&lt;TODAY(),"VENCIDA",IF($J888=TODAY(),"Hoje","Programada"))))))</f>
        <v/>
      </c>
    </row>
    <row r="889" customFormat="false" ht="15.75" hidden="false" customHeight="true" outlineLevel="0" collapsed="false">
      <c r="A889" s="28" t="str">
        <f aca="false">IF($E889="","",COUNTA($E$4:$E889))</f>
        <v/>
      </c>
      <c r="B889" s="34"/>
      <c r="C889" s="34"/>
      <c r="D889" s="34"/>
      <c r="E889" s="34"/>
      <c r="F889" s="35"/>
      <c r="G889" s="34"/>
      <c r="H889" s="35"/>
      <c r="I889" s="34"/>
      <c r="J889" s="36"/>
      <c r="K889" s="36"/>
      <c r="L889" s="35"/>
      <c r="M889" s="34"/>
      <c r="N889" s="35"/>
      <c r="O889" s="36"/>
      <c r="P889" s="32" t="str">
        <f aca="false">IF($J889="","",$J889-WEEKDAY($J889,3))</f>
        <v/>
      </c>
      <c r="Q889" s="32" t="str">
        <f aca="false">IF($J889="","",IF($K889="",$J889,$K889))</f>
        <v/>
      </c>
      <c r="R889" s="28" t="str">
        <f aca="false">IF($E889="","",IF(OR($N889&lt;&gt;"Concluída",$O889="",$J889=""),0,IF($O889&lt;=$J889,1,0)))</f>
        <v/>
      </c>
      <c r="S889" s="28" t="str">
        <f aca="false">IF($E889="","",IF(OR($N889&lt;&gt;"Concluída",$O889="",$Q889=""),0,IF($O889&lt;=$Q889,1,0)))</f>
        <v/>
      </c>
      <c r="T889" s="28" t="str">
        <f aca="false">IF(OR($J889="",$N889&lt;&gt;"Concluída",$O889=""),"",MAX(0,$O889-$J889))</f>
        <v/>
      </c>
      <c r="U889" s="33" t="str">
        <f aca="true">IF($E889="","",IF($N889="Cancelada","Cancelada",IF($N889="Concluída",IF($R889=1,"No prazo","Concluída com atraso"),IF($J889="","Na carteira",IF($J889&lt;TODAY(),"VENCIDA",IF($J889=TODAY(),"Hoje","Programada"))))))</f>
        <v/>
      </c>
    </row>
    <row r="890" customFormat="false" ht="15.75" hidden="false" customHeight="true" outlineLevel="0" collapsed="false">
      <c r="A890" s="28" t="str">
        <f aca="false">IF($E890="","",COUNTA($E$4:$E890))</f>
        <v/>
      </c>
      <c r="B890" s="29"/>
      <c r="C890" s="29"/>
      <c r="D890" s="29"/>
      <c r="E890" s="29"/>
      <c r="F890" s="30"/>
      <c r="G890" s="29"/>
      <c r="H890" s="30"/>
      <c r="I890" s="29"/>
      <c r="J890" s="31"/>
      <c r="K890" s="31"/>
      <c r="L890" s="30"/>
      <c r="M890" s="29"/>
      <c r="N890" s="30"/>
      <c r="O890" s="31"/>
      <c r="P890" s="32" t="str">
        <f aca="false">IF($J890="","",$J890-WEEKDAY($J890,3))</f>
        <v/>
      </c>
      <c r="Q890" s="32" t="str">
        <f aca="false">IF($J890="","",IF($K890="",$J890,$K890))</f>
        <v/>
      </c>
      <c r="R890" s="28" t="str">
        <f aca="false">IF($E890="","",IF(OR($N890&lt;&gt;"Concluída",$O890="",$J890=""),0,IF($O890&lt;=$J890,1,0)))</f>
        <v/>
      </c>
      <c r="S890" s="28" t="str">
        <f aca="false">IF($E890="","",IF(OR($N890&lt;&gt;"Concluída",$O890="",$Q890=""),0,IF($O890&lt;=$Q890,1,0)))</f>
        <v/>
      </c>
      <c r="T890" s="28" t="str">
        <f aca="false">IF(OR($J890="",$N890&lt;&gt;"Concluída",$O890=""),"",MAX(0,$O890-$J890))</f>
        <v/>
      </c>
      <c r="U890" s="33" t="str">
        <f aca="true">IF($E890="","",IF($N890="Cancelada","Cancelada",IF($N890="Concluída",IF($R890=1,"No prazo","Concluída com atraso"),IF($J890="","Na carteira",IF($J890&lt;TODAY(),"VENCIDA",IF($J890=TODAY(),"Hoje","Programada"))))))</f>
        <v/>
      </c>
    </row>
    <row r="891" customFormat="false" ht="15.75" hidden="false" customHeight="true" outlineLevel="0" collapsed="false">
      <c r="A891" s="28" t="str">
        <f aca="false">IF($E891="","",COUNTA($E$4:$E891))</f>
        <v/>
      </c>
      <c r="B891" s="34"/>
      <c r="C891" s="34"/>
      <c r="D891" s="34"/>
      <c r="E891" s="34"/>
      <c r="F891" s="35"/>
      <c r="G891" s="34"/>
      <c r="H891" s="35"/>
      <c r="I891" s="34"/>
      <c r="J891" s="36"/>
      <c r="K891" s="36"/>
      <c r="L891" s="35"/>
      <c r="M891" s="34"/>
      <c r="N891" s="35"/>
      <c r="O891" s="36"/>
      <c r="P891" s="32" t="str">
        <f aca="false">IF($J891="","",$J891-WEEKDAY($J891,3))</f>
        <v/>
      </c>
      <c r="Q891" s="32" t="str">
        <f aca="false">IF($J891="","",IF($K891="",$J891,$K891))</f>
        <v/>
      </c>
      <c r="R891" s="28" t="str">
        <f aca="false">IF($E891="","",IF(OR($N891&lt;&gt;"Concluída",$O891="",$J891=""),0,IF($O891&lt;=$J891,1,0)))</f>
        <v/>
      </c>
      <c r="S891" s="28" t="str">
        <f aca="false">IF($E891="","",IF(OR($N891&lt;&gt;"Concluída",$O891="",$Q891=""),0,IF($O891&lt;=$Q891,1,0)))</f>
        <v/>
      </c>
      <c r="T891" s="28" t="str">
        <f aca="false">IF(OR($J891="",$N891&lt;&gt;"Concluída",$O891=""),"",MAX(0,$O891-$J891))</f>
        <v/>
      </c>
      <c r="U891" s="33" t="str">
        <f aca="true">IF($E891="","",IF($N891="Cancelada","Cancelada",IF($N891="Concluída",IF($R891=1,"No prazo","Concluída com atraso"),IF($J891="","Na carteira",IF($J891&lt;TODAY(),"VENCIDA",IF($J891=TODAY(),"Hoje","Programada"))))))</f>
        <v/>
      </c>
    </row>
    <row r="892" customFormat="false" ht="15.75" hidden="false" customHeight="true" outlineLevel="0" collapsed="false">
      <c r="A892" s="28" t="str">
        <f aca="false">IF($E892="","",COUNTA($E$4:$E892))</f>
        <v/>
      </c>
      <c r="B892" s="29"/>
      <c r="C892" s="29"/>
      <c r="D892" s="29"/>
      <c r="E892" s="29"/>
      <c r="F892" s="30"/>
      <c r="G892" s="29"/>
      <c r="H892" s="30"/>
      <c r="I892" s="29"/>
      <c r="J892" s="31"/>
      <c r="K892" s="31"/>
      <c r="L892" s="30"/>
      <c r="M892" s="29"/>
      <c r="N892" s="30"/>
      <c r="O892" s="31"/>
      <c r="P892" s="32" t="str">
        <f aca="false">IF($J892="","",$J892-WEEKDAY($J892,3))</f>
        <v/>
      </c>
      <c r="Q892" s="32" t="str">
        <f aca="false">IF($J892="","",IF($K892="",$J892,$K892))</f>
        <v/>
      </c>
      <c r="R892" s="28" t="str">
        <f aca="false">IF($E892="","",IF(OR($N892&lt;&gt;"Concluída",$O892="",$J892=""),0,IF($O892&lt;=$J892,1,0)))</f>
        <v/>
      </c>
      <c r="S892" s="28" t="str">
        <f aca="false">IF($E892="","",IF(OR($N892&lt;&gt;"Concluída",$O892="",$Q892=""),0,IF($O892&lt;=$Q892,1,0)))</f>
        <v/>
      </c>
      <c r="T892" s="28" t="str">
        <f aca="false">IF(OR($J892="",$N892&lt;&gt;"Concluída",$O892=""),"",MAX(0,$O892-$J892))</f>
        <v/>
      </c>
      <c r="U892" s="33" t="str">
        <f aca="true">IF($E892="","",IF($N892="Cancelada","Cancelada",IF($N892="Concluída",IF($R892=1,"No prazo","Concluída com atraso"),IF($J892="","Na carteira",IF($J892&lt;TODAY(),"VENCIDA",IF($J892=TODAY(),"Hoje","Programada"))))))</f>
        <v/>
      </c>
    </row>
    <row r="893" customFormat="false" ht="15.75" hidden="false" customHeight="true" outlineLevel="0" collapsed="false">
      <c r="A893" s="28" t="str">
        <f aca="false">IF($E893="","",COUNTA($E$4:$E893))</f>
        <v/>
      </c>
      <c r="B893" s="34"/>
      <c r="C893" s="34"/>
      <c r="D893" s="34"/>
      <c r="E893" s="34"/>
      <c r="F893" s="35"/>
      <c r="G893" s="34"/>
      <c r="H893" s="35"/>
      <c r="I893" s="34"/>
      <c r="J893" s="36"/>
      <c r="K893" s="36"/>
      <c r="L893" s="35"/>
      <c r="M893" s="34"/>
      <c r="N893" s="35"/>
      <c r="O893" s="36"/>
      <c r="P893" s="32" t="str">
        <f aca="false">IF($J893="","",$J893-WEEKDAY($J893,3))</f>
        <v/>
      </c>
      <c r="Q893" s="32" t="str">
        <f aca="false">IF($J893="","",IF($K893="",$J893,$K893))</f>
        <v/>
      </c>
      <c r="R893" s="28" t="str">
        <f aca="false">IF($E893="","",IF(OR($N893&lt;&gt;"Concluída",$O893="",$J893=""),0,IF($O893&lt;=$J893,1,0)))</f>
        <v/>
      </c>
      <c r="S893" s="28" t="str">
        <f aca="false">IF($E893="","",IF(OR($N893&lt;&gt;"Concluída",$O893="",$Q893=""),0,IF($O893&lt;=$Q893,1,0)))</f>
        <v/>
      </c>
      <c r="T893" s="28" t="str">
        <f aca="false">IF(OR($J893="",$N893&lt;&gt;"Concluída",$O893=""),"",MAX(0,$O893-$J893))</f>
        <v/>
      </c>
      <c r="U893" s="33" t="str">
        <f aca="true">IF($E893="","",IF($N893="Cancelada","Cancelada",IF($N893="Concluída",IF($R893=1,"No prazo","Concluída com atraso"),IF($J893="","Na carteira",IF($J893&lt;TODAY(),"VENCIDA",IF($J893=TODAY(),"Hoje","Programada"))))))</f>
        <v/>
      </c>
    </row>
    <row r="894" customFormat="false" ht="15.75" hidden="false" customHeight="true" outlineLevel="0" collapsed="false">
      <c r="A894" s="28" t="str">
        <f aca="false">IF($E894="","",COUNTA($E$4:$E894))</f>
        <v/>
      </c>
      <c r="B894" s="29"/>
      <c r="C894" s="29"/>
      <c r="D894" s="29"/>
      <c r="E894" s="29"/>
      <c r="F894" s="30"/>
      <c r="G894" s="29"/>
      <c r="H894" s="30"/>
      <c r="I894" s="29"/>
      <c r="J894" s="31"/>
      <c r="K894" s="31"/>
      <c r="L894" s="30"/>
      <c r="M894" s="29"/>
      <c r="N894" s="30"/>
      <c r="O894" s="31"/>
      <c r="P894" s="32" t="str">
        <f aca="false">IF($J894="","",$J894-WEEKDAY($J894,3))</f>
        <v/>
      </c>
      <c r="Q894" s="32" t="str">
        <f aca="false">IF($J894="","",IF($K894="",$J894,$K894))</f>
        <v/>
      </c>
      <c r="R894" s="28" t="str">
        <f aca="false">IF($E894="","",IF(OR($N894&lt;&gt;"Concluída",$O894="",$J894=""),0,IF($O894&lt;=$J894,1,0)))</f>
        <v/>
      </c>
      <c r="S894" s="28" t="str">
        <f aca="false">IF($E894="","",IF(OR($N894&lt;&gt;"Concluída",$O894="",$Q894=""),0,IF($O894&lt;=$Q894,1,0)))</f>
        <v/>
      </c>
      <c r="T894" s="28" t="str">
        <f aca="false">IF(OR($J894="",$N894&lt;&gt;"Concluída",$O894=""),"",MAX(0,$O894-$J894))</f>
        <v/>
      </c>
      <c r="U894" s="33" t="str">
        <f aca="true">IF($E894="","",IF($N894="Cancelada","Cancelada",IF($N894="Concluída",IF($R894=1,"No prazo","Concluída com atraso"),IF($J894="","Na carteira",IF($J894&lt;TODAY(),"VENCIDA",IF($J894=TODAY(),"Hoje","Programada"))))))</f>
        <v/>
      </c>
    </row>
    <row r="895" customFormat="false" ht="15.75" hidden="false" customHeight="true" outlineLevel="0" collapsed="false">
      <c r="A895" s="28" t="str">
        <f aca="false">IF($E895="","",COUNTA($E$4:$E895))</f>
        <v/>
      </c>
      <c r="B895" s="34"/>
      <c r="C895" s="34"/>
      <c r="D895" s="34"/>
      <c r="E895" s="34"/>
      <c r="F895" s="35"/>
      <c r="G895" s="34"/>
      <c r="H895" s="35"/>
      <c r="I895" s="34"/>
      <c r="J895" s="36"/>
      <c r="K895" s="36"/>
      <c r="L895" s="35"/>
      <c r="M895" s="34"/>
      <c r="N895" s="35"/>
      <c r="O895" s="36"/>
      <c r="P895" s="32" t="str">
        <f aca="false">IF($J895="","",$J895-WEEKDAY($J895,3))</f>
        <v/>
      </c>
      <c r="Q895" s="32" t="str">
        <f aca="false">IF($J895="","",IF($K895="",$J895,$K895))</f>
        <v/>
      </c>
      <c r="R895" s="28" t="str">
        <f aca="false">IF($E895="","",IF(OR($N895&lt;&gt;"Concluída",$O895="",$J895=""),0,IF($O895&lt;=$J895,1,0)))</f>
        <v/>
      </c>
      <c r="S895" s="28" t="str">
        <f aca="false">IF($E895="","",IF(OR($N895&lt;&gt;"Concluída",$O895="",$Q895=""),0,IF($O895&lt;=$Q895,1,0)))</f>
        <v/>
      </c>
      <c r="T895" s="28" t="str">
        <f aca="false">IF(OR($J895="",$N895&lt;&gt;"Concluída",$O895=""),"",MAX(0,$O895-$J895))</f>
        <v/>
      </c>
      <c r="U895" s="33" t="str">
        <f aca="true">IF($E895="","",IF($N895="Cancelada","Cancelada",IF($N895="Concluída",IF($R895=1,"No prazo","Concluída com atraso"),IF($J895="","Na carteira",IF($J895&lt;TODAY(),"VENCIDA",IF($J895=TODAY(),"Hoje","Programada"))))))</f>
        <v/>
      </c>
    </row>
    <row r="896" customFormat="false" ht="15.75" hidden="false" customHeight="true" outlineLevel="0" collapsed="false">
      <c r="A896" s="28" t="str">
        <f aca="false">IF($E896="","",COUNTA($E$4:$E896))</f>
        <v/>
      </c>
      <c r="B896" s="29"/>
      <c r="C896" s="29"/>
      <c r="D896" s="29"/>
      <c r="E896" s="29"/>
      <c r="F896" s="30"/>
      <c r="G896" s="29"/>
      <c r="H896" s="30"/>
      <c r="I896" s="29"/>
      <c r="J896" s="31"/>
      <c r="K896" s="31"/>
      <c r="L896" s="30"/>
      <c r="M896" s="29"/>
      <c r="N896" s="30"/>
      <c r="O896" s="31"/>
      <c r="P896" s="32" t="str">
        <f aca="false">IF($J896="","",$J896-WEEKDAY($J896,3))</f>
        <v/>
      </c>
      <c r="Q896" s="32" t="str">
        <f aca="false">IF($J896="","",IF($K896="",$J896,$K896))</f>
        <v/>
      </c>
      <c r="R896" s="28" t="str">
        <f aca="false">IF($E896="","",IF(OR($N896&lt;&gt;"Concluída",$O896="",$J896=""),0,IF($O896&lt;=$J896,1,0)))</f>
        <v/>
      </c>
      <c r="S896" s="28" t="str">
        <f aca="false">IF($E896="","",IF(OR($N896&lt;&gt;"Concluída",$O896="",$Q896=""),0,IF($O896&lt;=$Q896,1,0)))</f>
        <v/>
      </c>
      <c r="T896" s="28" t="str">
        <f aca="false">IF(OR($J896="",$N896&lt;&gt;"Concluída",$O896=""),"",MAX(0,$O896-$J896))</f>
        <v/>
      </c>
      <c r="U896" s="33" t="str">
        <f aca="true">IF($E896="","",IF($N896="Cancelada","Cancelada",IF($N896="Concluída",IF($R896=1,"No prazo","Concluída com atraso"),IF($J896="","Na carteira",IF($J896&lt;TODAY(),"VENCIDA",IF($J896=TODAY(),"Hoje","Programada"))))))</f>
        <v/>
      </c>
    </row>
    <row r="897" customFormat="false" ht="15.75" hidden="false" customHeight="true" outlineLevel="0" collapsed="false">
      <c r="A897" s="28" t="str">
        <f aca="false">IF($E897="","",COUNTA($E$4:$E897))</f>
        <v/>
      </c>
      <c r="B897" s="34"/>
      <c r="C897" s="34"/>
      <c r="D897" s="34"/>
      <c r="E897" s="34"/>
      <c r="F897" s="35"/>
      <c r="G897" s="34"/>
      <c r="H897" s="35"/>
      <c r="I897" s="34"/>
      <c r="J897" s="36"/>
      <c r="K897" s="36"/>
      <c r="L897" s="35"/>
      <c r="M897" s="34"/>
      <c r="N897" s="35"/>
      <c r="O897" s="36"/>
      <c r="P897" s="32" t="str">
        <f aca="false">IF($J897="","",$J897-WEEKDAY($J897,3))</f>
        <v/>
      </c>
      <c r="Q897" s="32" t="str">
        <f aca="false">IF($J897="","",IF($K897="",$J897,$K897))</f>
        <v/>
      </c>
      <c r="R897" s="28" t="str">
        <f aca="false">IF($E897="","",IF(OR($N897&lt;&gt;"Concluída",$O897="",$J897=""),0,IF($O897&lt;=$J897,1,0)))</f>
        <v/>
      </c>
      <c r="S897" s="28" t="str">
        <f aca="false">IF($E897="","",IF(OR($N897&lt;&gt;"Concluída",$O897="",$Q897=""),0,IF($O897&lt;=$Q897,1,0)))</f>
        <v/>
      </c>
      <c r="T897" s="28" t="str">
        <f aca="false">IF(OR($J897="",$N897&lt;&gt;"Concluída",$O897=""),"",MAX(0,$O897-$J897))</f>
        <v/>
      </c>
      <c r="U897" s="33" t="str">
        <f aca="true">IF($E897="","",IF($N897="Cancelada","Cancelada",IF($N897="Concluída",IF($R897=1,"No prazo","Concluída com atraso"),IF($J897="","Na carteira",IF($J897&lt;TODAY(),"VENCIDA",IF($J897=TODAY(),"Hoje","Programada"))))))</f>
        <v/>
      </c>
    </row>
    <row r="898" customFormat="false" ht="15.75" hidden="false" customHeight="true" outlineLevel="0" collapsed="false">
      <c r="A898" s="28" t="str">
        <f aca="false">IF($E898="","",COUNTA($E$4:$E898))</f>
        <v/>
      </c>
      <c r="B898" s="29"/>
      <c r="C898" s="29"/>
      <c r="D898" s="29"/>
      <c r="E898" s="29"/>
      <c r="F898" s="30"/>
      <c r="G898" s="29"/>
      <c r="H898" s="30"/>
      <c r="I898" s="29"/>
      <c r="J898" s="31"/>
      <c r="K898" s="31"/>
      <c r="L898" s="30"/>
      <c r="M898" s="29"/>
      <c r="N898" s="30"/>
      <c r="O898" s="31"/>
      <c r="P898" s="32" t="str">
        <f aca="false">IF($J898="","",$J898-WEEKDAY($J898,3))</f>
        <v/>
      </c>
      <c r="Q898" s="32" t="str">
        <f aca="false">IF($J898="","",IF($K898="",$J898,$K898))</f>
        <v/>
      </c>
      <c r="R898" s="28" t="str">
        <f aca="false">IF($E898="","",IF(OR($N898&lt;&gt;"Concluída",$O898="",$J898=""),0,IF($O898&lt;=$J898,1,0)))</f>
        <v/>
      </c>
      <c r="S898" s="28" t="str">
        <f aca="false">IF($E898="","",IF(OR($N898&lt;&gt;"Concluída",$O898="",$Q898=""),0,IF($O898&lt;=$Q898,1,0)))</f>
        <v/>
      </c>
      <c r="T898" s="28" t="str">
        <f aca="false">IF(OR($J898="",$N898&lt;&gt;"Concluída",$O898=""),"",MAX(0,$O898-$J898))</f>
        <v/>
      </c>
      <c r="U898" s="33" t="str">
        <f aca="true">IF($E898="","",IF($N898="Cancelada","Cancelada",IF($N898="Concluída",IF($R898=1,"No prazo","Concluída com atraso"),IF($J898="","Na carteira",IF($J898&lt;TODAY(),"VENCIDA",IF($J898=TODAY(),"Hoje","Programada"))))))</f>
        <v/>
      </c>
    </row>
    <row r="899" customFormat="false" ht="15.75" hidden="false" customHeight="true" outlineLevel="0" collapsed="false">
      <c r="A899" s="28" t="str">
        <f aca="false">IF($E899="","",COUNTA($E$4:$E899))</f>
        <v/>
      </c>
      <c r="B899" s="34"/>
      <c r="C899" s="34"/>
      <c r="D899" s="34"/>
      <c r="E899" s="34"/>
      <c r="F899" s="35"/>
      <c r="G899" s="34"/>
      <c r="H899" s="35"/>
      <c r="I899" s="34"/>
      <c r="J899" s="36"/>
      <c r="K899" s="36"/>
      <c r="L899" s="35"/>
      <c r="M899" s="34"/>
      <c r="N899" s="35"/>
      <c r="O899" s="36"/>
      <c r="P899" s="32" t="str">
        <f aca="false">IF($J899="","",$J899-WEEKDAY($J899,3))</f>
        <v/>
      </c>
      <c r="Q899" s="32" t="str">
        <f aca="false">IF($J899="","",IF($K899="",$J899,$K899))</f>
        <v/>
      </c>
      <c r="R899" s="28" t="str">
        <f aca="false">IF($E899="","",IF(OR($N899&lt;&gt;"Concluída",$O899="",$J899=""),0,IF($O899&lt;=$J899,1,0)))</f>
        <v/>
      </c>
      <c r="S899" s="28" t="str">
        <f aca="false">IF($E899="","",IF(OR($N899&lt;&gt;"Concluída",$O899="",$Q899=""),0,IF($O899&lt;=$Q899,1,0)))</f>
        <v/>
      </c>
      <c r="T899" s="28" t="str">
        <f aca="false">IF(OR($J899="",$N899&lt;&gt;"Concluída",$O899=""),"",MAX(0,$O899-$J899))</f>
        <v/>
      </c>
      <c r="U899" s="33" t="str">
        <f aca="true">IF($E899="","",IF($N899="Cancelada","Cancelada",IF($N899="Concluída",IF($R899=1,"No prazo","Concluída com atraso"),IF($J899="","Na carteira",IF($J899&lt;TODAY(),"VENCIDA",IF($J899=TODAY(),"Hoje","Programada"))))))</f>
        <v/>
      </c>
    </row>
    <row r="900" customFormat="false" ht="15.75" hidden="false" customHeight="true" outlineLevel="0" collapsed="false">
      <c r="A900" s="28" t="str">
        <f aca="false">IF($E900="","",COUNTA($E$4:$E900))</f>
        <v/>
      </c>
      <c r="B900" s="29"/>
      <c r="C900" s="29"/>
      <c r="D900" s="29"/>
      <c r="E900" s="29"/>
      <c r="F900" s="30"/>
      <c r="G900" s="29"/>
      <c r="H900" s="30"/>
      <c r="I900" s="29"/>
      <c r="J900" s="31"/>
      <c r="K900" s="31"/>
      <c r="L900" s="30"/>
      <c r="M900" s="29"/>
      <c r="N900" s="30"/>
      <c r="O900" s="31"/>
      <c r="P900" s="32" t="str">
        <f aca="false">IF($J900="","",$J900-WEEKDAY($J900,3))</f>
        <v/>
      </c>
      <c r="Q900" s="32" t="str">
        <f aca="false">IF($J900="","",IF($K900="",$J900,$K900))</f>
        <v/>
      </c>
      <c r="R900" s="28" t="str">
        <f aca="false">IF($E900="","",IF(OR($N900&lt;&gt;"Concluída",$O900="",$J900=""),0,IF($O900&lt;=$J900,1,0)))</f>
        <v/>
      </c>
      <c r="S900" s="28" t="str">
        <f aca="false">IF($E900="","",IF(OR($N900&lt;&gt;"Concluída",$O900="",$Q900=""),0,IF($O900&lt;=$Q900,1,0)))</f>
        <v/>
      </c>
      <c r="T900" s="28" t="str">
        <f aca="false">IF(OR($J900="",$N900&lt;&gt;"Concluída",$O900=""),"",MAX(0,$O900-$J900))</f>
        <v/>
      </c>
      <c r="U900" s="33" t="str">
        <f aca="true">IF($E900="","",IF($N900="Cancelada","Cancelada",IF($N900="Concluída",IF($R900=1,"No prazo","Concluída com atraso"),IF($J900="","Na carteira",IF($J900&lt;TODAY(),"VENCIDA",IF($J900=TODAY(),"Hoje","Programada"))))))</f>
        <v/>
      </c>
    </row>
    <row r="901" customFormat="false" ht="15.75" hidden="false" customHeight="true" outlineLevel="0" collapsed="false">
      <c r="A901" s="28" t="str">
        <f aca="false">IF($E901="","",COUNTA($E$4:$E901))</f>
        <v/>
      </c>
      <c r="B901" s="34"/>
      <c r="C901" s="34"/>
      <c r="D901" s="34"/>
      <c r="E901" s="34"/>
      <c r="F901" s="35"/>
      <c r="G901" s="34"/>
      <c r="H901" s="35"/>
      <c r="I901" s="34"/>
      <c r="J901" s="36"/>
      <c r="K901" s="36"/>
      <c r="L901" s="35"/>
      <c r="M901" s="34"/>
      <c r="N901" s="35"/>
      <c r="O901" s="36"/>
      <c r="P901" s="32" t="str">
        <f aca="false">IF($J901="","",$J901-WEEKDAY($J901,3))</f>
        <v/>
      </c>
      <c r="Q901" s="32" t="str">
        <f aca="false">IF($J901="","",IF($K901="",$J901,$K901))</f>
        <v/>
      </c>
      <c r="R901" s="28" t="str">
        <f aca="false">IF($E901="","",IF(OR($N901&lt;&gt;"Concluída",$O901="",$J901=""),0,IF($O901&lt;=$J901,1,0)))</f>
        <v/>
      </c>
      <c r="S901" s="28" t="str">
        <f aca="false">IF($E901="","",IF(OR($N901&lt;&gt;"Concluída",$O901="",$Q901=""),0,IF($O901&lt;=$Q901,1,0)))</f>
        <v/>
      </c>
      <c r="T901" s="28" t="str">
        <f aca="false">IF(OR($J901="",$N901&lt;&gt;"Concluída",$O901=""),"",MAX(0,$O901-$J901))</f>
        <v/>
      </c>
      <c r="U901" s="33" t="str">
        <f aca="true">IF($E901="","",IF($N901="Cancelada","Cancelada",IF($N901="Concluída",IF($R901=1,"No prazo","Concluída com atraso"),IF($J901="","Na carteira",IF($J901&lt;TODAY(),"VENCIDA",IF($J901=TODAY(),"Hoje","Programada"))))))</f>
        <v/>
      </c>
    </row>
    <row r="902" customFormat="false" ht="15.75" hidden="false" customHeight="true" outlineLevel="0" collapsed="false">
      <c r="A902" s="28" t="str">
        <f aca="false">IF($E902="","",COUNTA($E$4:$E902))</f>
        <v/>
      </c>
      <c r="B902" s="29"/>
      <c r="C902" s="29"/>
      <c r="D902" s="29"/>
      <c r="E902" s="29"/>
      <c r="F902" s="30"/>
      <c r="G902" s="29"/>
      <c r="H902" s="30"/>
      <c r="I902" s="29"/>
      <c r="J902" s="31"/>
      <c r="K902" s="31"/>
      <c r="L902" s="30"/>
      <c r="M902" s="29"/>
      <c r="N902" s="30"/>
      <c r="O902" s="31"/>
      <c r="P902" s="32" t="str">
        <f aca="false">IF($J902="","",$J902-WEEKDAY($J902,3))</f>
        <v/>
      </c>
      <c r="Q902" s="32" t="str">
        <f aca="false">IF($J902="","",IF($K902="",$J902,$K902))</f>
        <v/>
      </c>
      <c r="R902" s="28" t="str">
        <f aca="false">IF($E902="","",IF(OR($N902&lt;&gt;"Concluída",$O902="",$J902=""),0,IF($O902&lt;=$J902,1,0)))</f>
        <v/>
      </c>
      <c r="S902" s="28" t="str">
        <f aca="false">IF($E902="","",IF(OR($N902&lt;&gt;"Concluída",$O902="",$Q902=""),0,IF($O902&lt;=$Q902,1,0)))</f>
        <v/>
      </c>
      <c r="T902" s="28" t="str">
        <f aca="false">IF(OR($J902="",$N902&lt;&gt;"Concluída",$O902=""),"",MAX(0,$O902-$J902))</f>
        <v/>
      </c>
      <c r="U902" s="33" t="str">
        <f aca="true">IF($E902="","",IF($N902="Cancelada","Cancelada",IF($N902="Concluída",IF($R902=1,"No prazo","Concluída com atraso"),IF($J902="","Na carteira",IF($J902&lt;TODAY(),"VENCIDA",IF($J902=TODAY(),"Hoje","Programada"))))))</f>
        <v/>
      </c>
    </row>
    <row r="903" customFormat="false" ht="15.75" hidden="false" customHeight="true" outlineLevel="0" collapsed="false">
      <c r="A903" s="28" t="str">
        <f aca="false">IF($E903="","",COUNTA($E$4:$E903))</f>
        <v/>
      </c>
      <c r="B903" s="34"/>
      <c r="C903" s="34"/>
      <c r="D903" s="34"/>
      <c r="E903" s="34"/>
      <c r="F903" s="35"/>
      <c r="G903" s="34"/>
      <c r="H903" s="35"/>
      <c r="I903" s="34"/>
      <c r="J903" s="36"/>
      <c r="K903" s="36"/>
      <c r="L903" s="35"/>
      <c r="M903" s="34"/>
      <c r="N903" s="35"/>
      <c r="O903" s="36"/>
      <c r="P903" s="32" t="str">
        <f aca="false">IF($J903="","",$J903-WEEKDAY($J903,3))</f>
        <v/>
      </c>
      <c r="Q903" s="32" t="str">
        <f aca="false">IF($J903="","",IF($K903="",$J903,$K903))</f>
        <v/>
      </c>
      <c r="R903" s="28" t="str">
        <f aca="false">IF($E903="","",IF(OR($N903&lt;&gt;"Concluída",$O903="",$J903=""),0,IF($O903&lt;=$J903,1,0)))</f>
        <v/>
      </c>
      <c r="S903" s="28" t="str">
        <f aca="false">IF($E903="","",IF(OR($N903&lt;&gt;"Concluída",$O903="",$Q903=""),0,IF($O903&lt;=$Q903,1,0)))</f>
        <v/>
      </c>
      <c r="T903" s="28" t="str">
        <f aca="false">IF(OR($J903="",$N903&lt;&gt;"Concluída",$O903=""),"",MAX(0,$O903-$J903))</f>
        <v/>
      </c>
      <c r="U903" s="33" t="str">
        <f aca="true">IF($E903="","",IF($N903="Cancelada","Cancelada",IF($N903="Concluída",IF($R903=1,"No prazo","Concluída com atraso"),IF($J903="","Na carteira",IF($J903&lt;TODAY(),"VENCIDA",IF($J903=TODAY(),"Hoje","Programada"))))))</f>
        <v/>
      </c>
    </row>
    <row r="904" customFormat="false" ht="15.75" hidden="false" customHeight="true" outlineLevel="0" collapsed="false">
      <c r="A904" s="28" t="str">
        <f aca="false">IF($E904="","",COUNTA($E$4:$E904))</f>
        <v/>
      </c>
      <c r="B904" s="29"/>
      <c r="C904" s="29"/>
      <c r="D904" s="29"/>
      <c r="E904" s="29"/>
      <c r="F904" s="30"/>
      <c r="G904" s="29"/>
      <c r="H904" s="30"/>
      <c r="I904" s="29"/>
      <c r="J904" s="31"/>
      <c r="K904" s="31"/>
      <c r="L904" s="30"/>
      <c r="M904" s="29"/>
      <c r="N904" s="30"/>
      <c r="O904" s="31"/>
      <c r="P904" s="32" t="str">
        <f aca="false">IF($J904="","",$J904-WEEKDAY($J904,3))</f>
        <v/>
      </c>
      <c r="Q904" s="32" t="str">
        <f aca="false">IF($J904="","",IF($K904="",$J904,$K904))</f>
        <v/>
      </c>
      <c r="R904" s="28" t="str">
        <f aca="false">IF($E904="","",IF(OR($N904&lt;&gt;"Concluída",$O904="",$J904=""),0,IF($O904&lt;=$J904,1,0)))</f>
        <v/>
      </c>
      <c r="S904" s="28" t="str">
        <f aca="false">IF($E904="","",IF(OR($N904&lt;&gt;"Concluída",$O904="",$Q904=""),0,IF($O904&lt;=$Q904,1,0)))</f>
        <v/>
      </c>
      <c r="T904" s="28" t="str">
        <f aca="false">IF(OR($J904="",$N904&lt;&gt;"Concluída",$O904=""),"",MAX(0,$O904-$J904))</f>
        <v/>
      </c>
      <c r="U904" s="33" t="str">
        <f aca="true">IF($E904="","",IF($N904="Cancelada","Cancelada",IF($N904="Concluída",IF($R904=1,"No prazo","Concluída com atraso"),IF($J904="","Na carteira",IF($J904&lt;TODAY(),"VENCIDA",IF($J904=TODAY(),"Hoje","Programada"))))))</f>
        <v/>
      </c>
    </row>
    <row r="905" customFormat="false" ht="15.75" hidden="false" customHeight="true" outlineLevel="0" collapsed="false">
      <c r="A905" s="28" t="str">
        <f aca="false">IF($E905="","",COUNTA($E$4:$E905))</f>
        <v/>
      </c>
      <c r="B905" s="34"/>
      <c r="C905" s="34"/>
      <c r="D905" s="34"/>
      <c r="E905" s="34"/>
      <c r="F905" s="35"/>
      <c r="G905" s="34"/>
      <c r="H905" s="35"/>
      <c r="I905" s="34"/>
      <c r="J905" s="36"/>
      <c r="K905" s="36"/>
      <c r="L905" s="35"/>
      <c r="M905" s="34"/>
      <c r="N905" s="35"/>
      <c r="O905" s="36"/>
      <c r="P905" s="32" t="str">
        <f aca="false">IF($J905="","",$J905-WEEKDAY($J905,3))</f>
        <v/>
      </c>
      <c r="Q905" s="32" t="str">
        <f aca="false">IF($J905="","",IF($K905="",$J905,$K905))</f>
        <v/>
      </c>
      <c r="R905" s="28" t="str">
        <f aca="false">IF($E905="","",IF(OR($N905&lt;&gt;"Concluída",$O905="",$J905=""),0,IF($O905&lt;=$J905,1,0)))</f>
        <v/>
      </c>
      <c r="S905" s="28" t="str">
        <f aca="false">IF($E905="","",IF(OR($N905&lt;&gt;"Concluída",$O905="",$Q905=""),0,IF($O905&lt;=$Q905,1,0)))</f>
        <v/>
      </c>
      <c r="T905" s="28" t="str">
        <f aca="false">IF(OR($J905="",$N905&lt;&gt;"Concluída",$O905=""),"",MAX(0,$O905-$J905))</f>
        <v/>
      </c>
      <c r="U905" s="33" t="str">
        <f aca="true">IF($E905="","",IF($N905="Cancelada","Cancelada",IF($N905="Concluída",IF($R905=1,"No prazo","Concluída com atraso"),IF($J905="","Na carteira",IF($J905&lt;TODAY(),"VENCIDA",IF($J905=TODAY(),"Hoje","Programada"))))))</f>
        <v/>
      </c>
    </row>
    <row r="906" customFormat="false" ht="15.75" hidden="false" customHeight="true" outlineLevel="0" collapsed="false">
      <c r="A906" s="28" t="str">
        <f aca="false">IF($E906="","",COUNTA($E$4:$E906))</f>
        <v/>
      </c>
      <c r="B906" s="29"/>
      <c r="C906" s="29"/>
      <c r="D906" s="29"/>
      <c r="E906" s="29"/>
      <c r="F906" s="30"/>
      <c r="G906" s="29"/>
      <c r="H906" s="30"/>
      <c r="I906" s="29"/>
      <c r="J906" s="31"/>
      <c r="K906" s="31"/>
      <c r="L906" s="30"/>
      <c r="M906" s="29"/>
      <c r="N906" s="30"/>
      <c r="O906" s="31"/>
      <c r="P906" s="32" t="str">
        <f aca="false">IF($J906="","",$J906-WEEKDAY($J906,3))</f>
        <v/>
      </c>
      <c r="Q906" s="32" t="str">
        <f aca="false">IF($J906="","",IF($K906="",$J906,$K906))</f>
        <v/>
      </c>
      <c r="R906" s="28" t="str">
        <f aca="false">IF($E906="","",IF(OR($N906&lt;&gt;"Concluída",$O906="",$J906=""),0,IF($O906&lt;=$J906,1,0)))</f>
        <v/>
      </c>
      <c r="S906" s="28" t="str">
        <f aca="false">IF($E906="","",IF(OR($N906&lt;&gt;"Concluída",$O906="",$Q906=""),0,IF($O906&lt;=$Q906,1,0)))</f>
        <v/>
      </c>
      <c r="T906" s="28" t="str">
        <f aca="false">IF(OR($J906="",$N906&lt;&gt;"Concluída",$O906=""),"",MAX(0,$O906-$J906))</f>
        <v/>
      </c>
      <c r="U906" s="33" t="str">
        <f aca="true">IF($E906="","",IF($N906="Cancelada","Cancelada",IF($N906="Concluída",IF($R906=1,"No prazo","Concluída com atraso"),IF($J906="","Na carteira",IF($J906&lt;TODAY(),"VENCIDA",IF($J906=TODAY(),"Hoje","Programada"))))))</f>
        <v/>
      </c>
    </row>
    <row r="907" customFormat="false" ht="15.75" hidden="false" customHeight="true" outlineLevel="0" collapsed="false">
      <c r="A907" s="28" t="str">
        <f aca="false">IF($E907="","",COUNTA($E$4:$E907))</f>
        <v/>
      </c>
      <c r="B907" s="34"/>
      <c r="C907" s="34"/>
      <c r="D907" s="34"/>
      <c r="E907" s="34"/>
      <c r="F907" s="35"/>
      <c r="G907" s="34"/>
      <c r="H907" s="35"/>
      <c r="I907" s="34"/>
      <c r="J907" s="36"/>
      <c r="K907" s="36"/>
      <c r="L907" s="35"/>
      <c r="M907" s="34"/>
      <c r="N907" s="35"/>
      <c r="O907" s="36"/>
      <c r="P907" s="32" t="str">
        <f aca="false">IF($J907="","",$J907-WEEKDAY($J907,3))</f>
        <v/>
      </c>
      <c r="Q907" s="32" t="str">
        <f aca="false">IF($J907="","",IF($K907="",$J907,$K907))</f>
        <v/>
      </c>
      <c r="R907" s="28" t="str">
        <f aca="false">IF($E907="","",IF(OR($N907&lt;&gt;"Concluída",$O907="",$J907=""),0,IF($O907&lt;=$J907,1,0)))</f>
        <v/>
      </c>
      <c r="S907" s="28" t="str">
        <f aca="false">IF($E907="","",IF(OR($N907&lt;&gt;"Concluída",$O907="",$Q907=""),0,IF($O907&lt;=$Q907,1,0)))</f>
        <v/>
      </c>
      <c r="T907" s="28" t="str">
        <f aca="false">IF(OR($J907="",$N907&lt;&gt;"Concluída",$O907=""),"",MAX(0,$O907-$J907))</f>
        <v/>
      </c>
      <c r="U907" s="33" t="str">
        <f aca="true">IF($E907="","",IF($N907="Cancelada","Cancelada",IF($N907="Concluída",IF($R907=1,"No prazo","Concluída com atraso"),IF($J907="","Na carteira",IF($J907&lt;TODAY(),"VENCIDA",IF($J907=TODAY(),"Hoje","Programada"))))))</f>
        <v/>
      </c>
    </row>
    <row r="908" customFormat="false" ht="15.75" hidden="false" customHeight="true" outlineLevel="0" collapsed="false">
      <c r="A908" s="28" t="str">
        <f aca="false">IF($E908="","",COUNTA($E$4:$E908))</f>
        <v/>
      </c>
      <c r="B908" s="29"/>
      <c r="C908" s="29"/>
      <c r="D908" s="29"/>
      <c r="E908" s="29"/>
      <c r="F908" s="30"/>
      <c r="G908" s="29"/>
      <c r="H908" s="30"/>
      <c r="I908" s="29"/>
      <c r="J908" s="31"/>
      <c r="K908" s="31"/>
      <c r="L908" s="30"/>
      <c r="M908" s="29"/>
      <c r="N908" s="30"/>
      <c r="O908" s="31"/>
      <c r="P908" s="32" t="str">
        <f aca="false">IF($J908="","",$J908-WEEKDAY($J908,3))</f>
        <v/>
      </c>
      <c r="Q908" s="32" t="str">
        <f aca="false">IF($J908="","",IF($K908="",$J908,$K908))</f>
        <v/>
      </c>
      <c r="R908" s="28" t="str">
        <f aca="false">IF($E908="","",IF(OR($N908&lt;&gt;"Concluída",$O908="",$J908=""),0,IF($O908&lt;=$J908,1,0)))</f>
        <v/>
      </c>
      <c r="S908" s="28" t="str">
        <f aca="false">IF($E908="","",IF(OR($N908&lt;&gt;"Concluída",$O908="",$Q908=""),0,IF($O908&lt;=$Q908,1,0)))</f>
        <v/>
      </c>
      <c r="T908" s="28" t="str">
        <f aca="false">IF(OR($J908="",$N908&lt;&gt;"Concluída",$O908=""),"",MAX(0,$O908-$J908))</f>
        <v/>
      </c>
      <c r="U908" s="33" t="str">
        <f aca="true">IF($E908="","",IF($N908="Cancelada","Cancelada",IF($N908="Concluída",IF($R908=1,"No prazo","Concluída com atraso"),IF($J908="","Na carteira",IF($J908&lt;TODAY(),"VENCIDA",IF($J908=TODAY(),"Hoje","Programada"))))))</f>
        <v/>
      </c>
    </row>
    <row r="909" customFormat="false" ht="15.75" hidden="false" customHeight="true" outlineLevel="0" collapsed="false">
      <c r="A909" s="28" t="str">
        <f aca="false">IF($E909="","",COUNTA($E$4:$E909))</f>
        <v/>
      </c>
      <c r="B909" s="34"/>
      <c r="C909" s="34"/>
      <c r="D909" s="34"/>
      <c r="E909" s="34"/>
      <c r="F909" s="35"/>
      <c r="G909" s="34"/>
      <c r="H909" s="35"/>
      <c r="I909" s="34"/>
      <c r="J909" s="36"/>
      <c r="K909" s="36"/>
      <c r="L909" s="35"/>
      <c r="M909" s="34"/>
      <c r="N909" s="35"/>
      <c r="O909" s="36"/>
      <c r="P909" s="32" t="str">
        <f aca="false">IF($J909="","",$J909-WEEKDAY($J909,3))</f>
        <v/>
      </c>
      <c r="Q909" s="32" t="str">
        <f aca="false">IF($J909="","",IF($K909="",$J909,$K909))</f>
        <v/>
      </c>
      <c r="R909" s="28" t="str">
        <f aca="false">IF($E909="","",IF(OR($N909&lt;&gt;"Concluída",$O909="",$J909=""),0,IF($O909&lt;=$J909,1,0)))</f>
        <v/>
      </c>
      <c r="S909" s="28" t="str">
        <f aca="false">IF($E909="","",IF(OR($N909&lt;&gt;"Concluída",$O909="",$Q909=""),0,IF($O909&lt;=$Q909,1,0)))</f>
        <v/>
      </c>
      <c r="T909" s="28" t="str">
        <f aca="false">IF(OR($J909="",$N909&lt;&gt;"Concluída",$O909=""),"",MAX(0,$O909-$J909))</f>
        <v/>
      </c>
      <c r="U909" s="33" t="str">
        <f aca="true">IF($E909="","",IF($N909="Cancelada","Cancelada",IF($N909="Concluída",IF($R909=1,"No prazo","Concluída com atraso"),IF($J909="","Na carteira",IF($J909&lt;TODAY(),"VENCIDA",IF($J909=TODAY(),"Hoje","Programada"))))))</f>
        <v/>
      </c>
    </row>
    <row r="910" customFormat="false" ht="15.75" hidden="false" customHeight="true" outlineLevel="0" collapsed="false">
      <c r="A910" s="28" t="str">
        <f aca="false">IF($E910="","",COUNTA($E$4:$E910))</f>
        <v/>
      </c>
      <c r="B910" s="29"/>
      <c r="C910" s="29"/>
      <c r="D910" s="29"/>
      <c r="E910" s="29"/>
      <c r="F910" s="30"/>
      <c r="G910" s="29"/>
      <c r="H910" s="30"/>
      <c r="I910" s="29"/>
      <c r="J910" s="31"/>
      <c r="K910" s="31"/>
      <c r="L910" s="30"/>
      <c r="M910" s="29"/>
      <c r="N910" s="30"/>
      <c r="O910" s="31"/>
      <c r="P910" s="32" t="str">
        <f aca="false">IF($J910="","",$J910-WEEKDAY($J910,3))</f>
        <v/>
      </c>
      <c r="Q910" s="32" t="str">
        <f aca="false">IF($J910="","",IF($K910="",$J910,$K910))</f>
        <v/>
      </c>
      <c r="R910" s="28" t="str">
        <f aca="false">IF($E910="","",IF(OR($N910&lt;&gt;"Concluída",$O910="",$J910=""),0,IF($O910&lt;=$J910,1,0)))</f>
        <v/>
      </c>
      <c r="S910" s="28" t="str">
        <f aca="false">IF($E910="","",IF(OR($N910&lt;&gt;"Concluída",$O910="",$Q910=""),0,IF($O910&lt;=$Q910,1,0)))</f>
        <v/>
      </c>
      <c r="T910" s="28" t="str">
        <f aca="false">IF(OR($J910="",$N910&lt;&gt;"Concluída",$O910=""),"",MAX(0,$O910-$J910))</f>
        <v/>
      </c>
      <c r="U910" s="33" t="str">
        <f aca="true">IF($E910="","",IF($N910="Cancelada","Cancelada",IF($N910="Concluída",IF($R910=1,"No prazo","Concluída com atraso"),IF($J910="","Na carteira",IF($J910&lt;TODAY(),"VENCIDA",IF($J910=TODAY(),"Hoje","Programada"))))))</f>
        <v/>
      </c>
    </row>
    <row r="911" customFormat="false" ht="15.75" hidden="false" customHeight="true" outlineLevel="0" collapsed="false">
      <c r="A911" s="28" t="str">
        <f aca="false">IF($E911="","",COUNTA($E$4:$E911))</f>
        <v/>
      </c>
      <c r="B911" s="34"/>
      <c r="C911" s="34"/>
      <c r="D911" s="34"/>
      <c r="E911" s="34"/>
      <c r="F911" s="35"/>
      <c r="G911" s="34"/>
      <c r="H911" s="35"/>
      <c r="I911" s="34"/>
      <c r="J911" s="36"/>
      <c r="K911" s="36"/>
      <c r="L911" s="35"/>
      <c r="M911" s="34"/>
      <c r="N911" s="35"/>
      <c r="O911" s="36"/>
      <c r="P911" s="32" t="str">
        <f aca="false">IF($J911="","",$J911-WEEKDAY($J911,3))</f>
        <v/>
      </c>
      <c r="Q911" s="32" t="str">
        <f aca="false">IF($J911="","",IF($K911="",$J911,$K911))</f>
        <v/>
      </c>
      <c r="R911" s="28" t="str">
        <f aca="false">IF($E911="","",IF(OR($N911&lt;&gt;"Concluída",$O911="",$J911=""),0,IF($O911&lt;=$J911,1,0)))</f>
        <v/>
      </c>
      <c r="S911" s="28" t="str">
        <f aca="false">IF($E911="","",IF(OR($N911&lt;&gt;"Concluída",$O911="",$Q911=""),0,IF($O911&lt;=$Q911,1,0)))</f>
        <v/>
      </c>
      <c r="T911" s="28" t="str">
        <f aca="false">IF(OR($J911="",$N911&lt;&gt;"Concluída",$O911=""),"",MAX(0,$O911-$J911))</f>
        <v/>
      </c>
      <c r="U911" s="33" t="str">
        <f aca="true">IF($E911="","",IF($N911="Cancelada","Cancelada",IF($N911="Concluída",IF($R911=1,"No prazo","Concluída com atraso"),IF($J911="","Na carteira",IF($J911&lt;TODAY(),"VENCIDA",IF($J911=TODAY(),"Hoje","Programada"))))))</f>
        <v/>
      </c>
    </row>
    <row r="912" customFormat="false" ht="15.75" hidden="false" customHeight="true" outlineLevel="0" collapsed="false">
      <c r="A912" s="28" t="str">
        <f aca="false">IF($E912="","",COUNTA($E$4:$E912))</f>
        <v/>
      </c>
      <c r="B912" s="29"/>
      <c r="C912" s="29"/>
      <c r="D912" s="29"/>
      <c r="E912" s="29"/>
      <c r="F912" s="30"/>
      <c r="G912" s="29"/>
      <c r="H912" s="30"/>
      <c r="I912" s="29"/>
      <c r="J912" s="31"/>
      <c r="K912" s="31"/>
      <c r="L912" s="30"/>
      <c r="M912" s="29"/>
      <c r="N912" s="30"/>
      <c r="O912" s="31"/>
      <c r="P912" s="32" t="str">
        <f aca="false">IF($J912="","",$J912-WEEKDAY($J912,3))</f>
        <v/>
      </c>
      <c r="Q912" s="32" t="str">
        <f aca="false">IF($J912="","",IF($K912="",$J912,$K912))</f>
        <v/>
      </c>
      <c r="R912" s="28" t="str">
        <f aca="false">IF($E912="","",IF(OR($N912&lt;&gt;"Concluída",$O912="",$J912=""),0,IF($O912&lt;=$J912,1,0)))</f>
        <v/>
      </c>
      <c r="S912" s="28" t="str">
        <f aca="false">IF($E912="","",IF(OR($N912&lt;&gt;"Concluída",$O912="",$Q912=""),0,IF($O912&lt;=$Q912,1,0)))</f>
        <v/>
      </c>
      <c r="T912" s="28" t="str">
        <f aca="false">IF(OR($J912="",$N912&lt;&gt;"Concluída",$O912=""),"",MAX(0,$O912-$J912))</f>
        <v/>
      </c>
      <c r="U912" s="33" t="str">
        <f aca="true">IF($E912="","",IF($N912="Cancelada","Cancelada",IF($N912="Concluída",IF($R912=1,"No prazo","Concluída com atraso"),IF($J912="","Na carteira",IF($J912&lt;TODAY(),"VENCIDA",IF($J912=TODAY(),"Hoje","Programada"))))))</f>
        <v/>
      </c>
    </row>
    <row r="913" customFormat="false" ht="15.75" hidden="false" customHeight="true" outlineLevel="0" collapsed="false">
      <c r="A913" s="28" t="str">
        <f aca="false">IF($E913="","",COUNTA($E$4:$E913))</f>
        <v/>
      </c>
      <c r="B913" s="34"/>
      <c r="C913" s="34"/>
      <c r="D913" s="34"/>
      <c r="E913" s="34"/>
      <c r="F913" s="35"/>
      <c r="G913" s="34"/>
      <c r="H913" s="35"/>
      <c r="I913" s="34"/>
      <c r="J913" s="36"/>
      <c r="K913" s="36"/>
      <c r="L913" s="35"/>
      <c r="M913" s="34"/>
      <c r="N913" s="35"/>
      <c r="O913" s="36"/>
      <c r="P913" s="32" t="str">
        <f aca="false">IF($J913="","",$J913-WEEKDAY($J913,3))</f>
        <v/>
      </c>
      <c r="Q913" s="32" t="str">
        <f aca="false">IF($J913="","",IF($K913="",$J913,$K913))</f>
        <v/>
      </c>
      <c r="R913" s="28" t="str">
        <f aca="false">IF($E913="","",IF(OR($N913&lt;&gt;"Concluída",$O913="",$J913=""),0,IF($O913&lt;=$J913,1,0)))</f>
        <v/>
      </c>
      <c r="S913" s="28" t="str">
        <f aca="false">IF($E913="","",IF(OR($N913&lt;&gt;"Concluída",$O913="",$Q913=""),0,IF($O913&lt;=$Q913,1,0)))</f>
        <v/>
      </c>
      <c r="T913" s="28" t="str">
        <f aca="false">IF(OR($J913="",$N913&lt;&gt;"Concluída",$O913=""),"",MAX(0,$O913-$J913))</f>
        <v/>
      </c>
      <c r="U913" s="33" t="str">
        <f aca="true">IF($E913="","",IF($N913="Cancelada","Cancelada",IF($N913="Concluída",IF($R913=1,"No prazo","Concluída com atraso"),IF($J913="","Na carteira",IF($J913&lt;TODAY(),"VENCIDA",IF($J913=TODAY(),"Hoje","Programada"))))))</f>
        <v/>
      </c>
    </row>
    <row r="914" customFormat="false" ht="15.75" hidden="false" customHeight="true" outlineLevel="0" collapsed="false">
      <c r="A914" s="28" t="str">
        <f aca="false">IF($E914="","",COUNTA($E$4:$E914))</f>
        <v/>
      </c>
      <c r="B914" s="29"/>
      <c r="C914" s="29"/>
      <c r="D914" s="29"/>
      <c r="E914" s="29"/>
      <c r="F914" s="30"/>
      <c r="G914" s="29"/>
      <c r="H914" s="30"/>
      <c r="I914" s="29"/>
      <c r="J914" s="31"/>
      <c r="K914" s="31"/>
      <c r="L914" s="30"/>
      <c r="M914" s="29"/>
      <c r="N914" s="30"/>
      <c r="O914" s="31"/>
      <c r="P914" s="32" t="str">
        <f aca="false">IF($J914="","",$J914-WEEKDAY($J914,3))</f>
        <v/>
      </c>
      <c r="Q914" s="32" t="str">
        <f aca="false">IF($J914="","",IF($K914="",$J914,$K914))</f>
        <v/>
      </c>
      <c r="R914" s="28" t="str">
        <f aca="false">IF($E914="","",IF(OR($N914&lt;&gt;"Concluída",$O914="",$J914=""),0,IF($O914&lt;=$J914,1,0)))</f>
        <v/>
      </c>
      <c r="S914" s="28" t="str">
        <f aca="false">IF($E914="","",IF(OR($N914&lt;&gt;"Concluída",$O914="",$Q914=""),0,IF($O914&lt;=$Q914,1,0)))</f>
        <v/>
      </c>
      <c r="T914" s="28" t="str">
        <f aca="false">IF(OR($J914="",$N914&lt;&gt;"Concluída",$O914=""),"",MAX(0,$O914-$J914))</f>
        <v/>
      </c>
      <c r="U914" s="33" t="str">
        <f aca="true">IF($E914="","",IF($N914="Cancelada","Cancelada",IF($N914="Concluída",IF($R914=1,"No prazo","Concluída com atraso"),IF($J914="","Na carteira",IF($J914&lt;TODAY(),"VENCIDA",IF($J914=TODAY(),"Hoje","Programada"))))))</f>
        <v/>
      </c>
    </row>
    <row r="915" customFormat="false" ht="15.75" hidden="false" customHeight="true" outlineLevel="0" collapsed="false">
      <c r="A915" s="28" t="str">
        <f aca="false">IF($E915="","",COUNTA($E$4:$E915))</f>
        <v/>
      </c>
      <c r="B915" s="34"/>
      <c r="C915" s="34"/>
      <c r="D915" s="34"/>
      <c r="E915" s="34"/>
      <c r="F915" s="35"/>
      <c r="G915" s="34"/>
      <c r="H915" s="35"/>
      <c r="I915" s="34"/>
      <c r="J915" s="36"/>
      <c r="K915" s="36"/>
      <c r="L915" s="35"/>
      <c r="M915" s="34"/>
      <c r="N915" s="35"/>
      <c r="O915" s="36"/>
      <c r="P915" s="32" t="str">
        <f aca="false">IF($J915="","",$J915-WEEKDAY($J915,3))</f>
        <v/>
      </c>
      <c r="Q915" s="32" t="str">
        <f aca="false">IF($J915="","",IF($K915="",$J915,$K915))</f>
        <v/>
      </c>
      <c r="R915" s="28" t="str">
        <f aca="false">IF($E915="","",IF(OR($N915&lt;&gt;"Concluída",$O915="",$J915=""),0,IF($O915&lt;=$J915,1,0)))</f>
        <v/>
      </c>
      <c r="S915" s="28" t="str">
        <f aca="false">IF($E915="","",IF(OR($N915&lt;&gt;"Concluída",$O915="",$Q915=""),0,IF($O915&lt;=$Q915,1,0)))</f>
        <v/>
      </c>
      <c r="T915" s="28" t="str">
        <f aca="false">IF(OR($J915="",$N915&lt;&gt;"Concluída",$O915=""),"",MAX(0,$O915-$J915))</f>
        <v/>
      </c>
      <c r="U915" s="33" t="str">
        <f aca="true">IF($E915="","",IF($N915="Cancelada","Cancelada",IF($N915="Concluída",IF($R915=1,"No prazo","Concluída com atraso"),IF($J915="","Na carteira",IF($J915&lt;TODAY(),"VENCIDA",IF($J915=TODAY(),"Hoje","Programada"))))))</f>
        <v/>
      </c>
    </row>
    <row r="916" customFormat="false" ht="15.75" hidden="false" customHeight="true" outlineLevel="0" collapsed="false">
      <c r="A916" s="28" t="str">
        <f aca="false">IF($E916="","",COUNTA($E$4:$E916))</f>
        <v/>
      </c>
      <c r="B916" s="29"/>
      <c r="C916" s="29"/>
      <c r="D916" s="29"/>
      <c r="E916" s="29"/>
      <c r="F916" s="30"/>
      <c r="G916" s="29"/>
      <c r="H916" s="30"/>
      <c r="I916" s="29"/>
      <c r="J916" s="31"/>
      <c r="K916" s="31"/>
      <c r="L916" s="30"/>
      <c r="M916" s="29"/>
      <c r="N916" s="30"/>
      <c r="O916" s="31"/>
      <c r="P916" s="32" t="str">
        <f aca="false">IF($J916="","",$J916-WEEKDAY($J916,3))</f>
        <v/>
      </c>
      <c r="Q916" s="32" t="str">
        <f aca="false">IF($J916="","",IF($K916="",$J916,$K916))</f>
        <v/>
      </c>
      <c r="R916" s="28" t="str">
        <f aca="false">IF($E916="","",IF(OR($N916&lt;&gt;"Concluída",$O916="",$J916=""),0,IF($O916&lt;=$J916,1,0)))</f>
        <v/>
      </c>
      <c r="S916" s="28" t="str">
        <f aca="false">IF($E916="","",IF(OR($N916&lt;&gt;"Concluída",$O916="",$Q916=""),0,IF($O916&lt;=$Q916,1,0)))</f>
        <v/>
      </c>
      <c r="T916" s="28" t="str">
        <f aca="false">IF(OR($J916="",$N916&lt;&gt;"Concluída",$O916=""),"",MAX(0,$O916-$J916))</f>
        <v/>
      </c>
      <c r="U916" s="33" t="str">
        <f aca="true">IF($E916="","",IF($N916="Cancelada","Cancelada",IF($N916="Concluída",IF($R916=1,"No prazo","Concluída com atraso"),IF($J916="","Na carteira",IF($J916&lt;TODAY(),"VENCIDA",IF($J916=TODAY(),"Hoje","Programada"))))))</f>
        <v/>
      </c>
    </row>
    <row r="917" customFormat="false" ht="15.75" hidden="false" customHeight="true" outlineLevel="0" collapsed="false">
      <c r="A917" s="28" t="str">
        <f aca="false">IF($E917="","",COUNTA($E$4:$E917))</f>
        <v/>
      </c>
      <c r="B917" s="34"/>
      <c r="C917" s="34"/>
      <c r="D917" s="34"/>
      <c r="E917" s="34"/>
      <c r="F917" s="35"/>
      <c r="G917" s="34"/>
      <c r="H917" s="35"/>
      <c r="I917" s="34"/>
      <c r="J917" s="36"/>
      <c r="K917" s="36"/>
      <c r="L917" s="35"/>
      <c r="M917" s="34"/>
      <c r="N917" s="35"/>
      <c r="O917" s="36"/>
      <c r="P917" s="32" t="str">
        <f aca="false">IF($J917="","",$J917-WEEKDAY($J917,3))</f>
        <v/>
      </c>
      <c r="Q917" s="32" t="str">
        <f aca="false">IF($J917="","",IF($K917="",$J917,$K917))</f>
        <v/>
      </c>
      <c r="R917" s="28" t="str">
        <f aca="false">IF($E917="","",IF(OR($N917&lt;&gt;"Concluída",$O917="",$J917=""),0,IF($O917&lt;=$J917,1,0)))</f>
        <v/>
      </c>
      <c r="S917" s="28" t="str">
        <f aca="false">IF($E917="","",IF(OR($N917&lt;&gt;"Concluída",$O917="",$Q917=""),0,IF($O917&lt;=$Q917,1,0)))</f>
        <v/>
      </c>
      <c r="T917" s="28" t="str">
        <f aca="false">IF(OR($J917="",$N917&lt;&gt;"Concluída",$O917=""),"",MAX(0,$O917-$J917))</f>
        <v/>
      </c>
      <c r="U917" s="33" t="str">
        <f aca="true">IF($E917="","",IF($N917="Cancelada","Cancelada",IF($N917="Concluída",IF($R917=1,"No prazo","Concluída com atraso"),IF($J917="","Na carteira",IF($J917&lt;TODAY(),"VENCIDA",IF($J917=TODAY(),"Hoje","Programada"))))))</f>
        <v/>
      </c>
    </row>
    <row r="918" customFormat="false" ht="15.75" hidden="false" customHeight="true" outlineLevel="0" collapsed="false">
      <c r="A918" s="28" t="str">
        <f aca="false">IF($E918="","",COUNTA($E$4:$E918))</f>
        <v/>
      </c>
      <c r="B918" s="29"/>
      <c r="C918" s="29"/>
      <c r="D918" s="29"/>
      <c r="E918" s="29"/>
      <c r="F918" s="30"/>
      <c r="G918" s="29"/>
      <c r="H918" s="30"/>
      <c r="I918" s="29"/>
      <c r="J918" s="31"/>
      <c r="K918" s="31"/>
      <c r="L918" s="30"/>
      <c r="M918" s="29"/>
      <c r="N918" s="30"/>
      <c r="O918" s="31"/>
      <c r="P918" s="32" t="str">
        <f aca="false">IF($J918="","",$J918-WEEKDAY($J918,3))</f>
        <v/>
      </c>
      <c r="Q918" s="32" t="str">
        <f aca="false">IF($J918="","",IF($K918="",$J918,$K918))</f>
        <v/>
      </c>
      <c r="R918" s="28" t="str">
        <f aca="false">IF($E918="","",IF(OR($N918&lt;&gt;"Concluída",$O918="",$J918=""),0,IF($O918&lt;=$J918,1,0)))</f>
        <v/>
      </c>
      <c r="S918" s="28" t="str">
        <f aca="false">IF($E918="","",IF(OR($N918&lt;&gt;"Concluída",$O918="",$Q918=""),0,IF($O918&lt;=$Q918,1,0)))</f>
        <v/>
      </c>
      <c r="T918" s="28" t="str">
        <f aca="false">IF(OR($J918="",$N918&lt;&gt;"Concluída",$O918=""),"",MAX(0,$O918-$J918))</f>
        <v/>
      </c>
      <c r="U918" s="33" t="str">
        <f aca="true">IF($E918="","",IF($N918="Cancelada","Cancelada",IF($N918="Concluída",IF($R918=1,"No prazo","Concluída com atraso"),IF($J918="","Na carteira",IF($J918&lt;TODAY(),"VENCIDA",IF($J918=TODAY(),"Hoje","Programada"))))))</f>
        <v/>
      </c>
    </row>
    <row r="919" customFormat="false" ht="15.75" hidden="false" customHeight="true" outlineLevel="0" collapsed="false">
      <c r="A919" s="28" t="str">
        <f aca="false">IF($E919="","",COUNTA($E$4:$E919))</f>
        <v/>
      </c>
      <c r="B919" s="34"/>
      <c r="C919" s="34"/>
      <c r="D919" s="34"/>
      <c r="E919" s="34"/>
      <c r="F919" s="35"/>
      <c r="G919" s="34"/>
      <c r="H919" s="35"/>
      <c r="I919" s="34"/>
      <c r="J919" s="36"/>
      <c r="K919" s="36"/>
      <c r="L919" s="35"/>
      <c r="M919" s="34"/>
      <c r="N919" s="35"/>
      <c r="O919" s="36"/>
      <c r="P919" s="32" t="str">
        <f aca="false">IF($J919="","",$J919-WEEKDAY($J919,3))</f>
        <v/>
      </c>
      <c r="Q919" s="32" t="str">
        <f aca="false">IF($J919="","",IF($K919="",$J919,$K919))</f>
        <v/>
      </c>
      <c r="R919" s="28" t="str">
        <f aca="false">IF($E919="","",IF(OR($N919&lt;&gt;"Concluída",$O919="",$J919=""),0,IF($O919&lt;=$J919,1,0)))</f>
        <v/>
      </c>
      <c r="S919" s="28" t="str">
        <f aca="false">IF($E919="","",IF(OR($N919&lt;&gt;"Concluída",$O919="",$Q919=""),0,IF($O919&lt;=$Q919,1,0)))</f>
        <v/>
      </c>
      <c r="T919" s="28" t="str">
        <f aca="false">IF(OR($J919="",$N919&lt;&gt;"Concluída",$O919=""),"",MAX(0,$O919-$J919))</f>
        <v/>
      </c>
      <c r="U919" s="33" t="str">
        <f aca="true">IF($E919="","",IF($N919="Cancelada","Cancelada",IF($N919="Concluída",IF($R919=1,"No prazo","Concluída com atraso"),IF($J919="","Na carteira",IF($J919&lt;TODAY(),"VENCIDA",IF($J919=TODAY(),"Hoje","Programada"))))))</f>
        <v/>
      </c>
    </row>
    <row r="920" customFormat="false" ht="15.75" hidden="false" customHeight="true" outlineLevel="0" collapsed="false">
      <c r="A920" s="28" t="str">
        <f aca="false">IF($E920="","",COUNTA($E$4:$E920))</f>
        <v/>
      </c>
      <c r="B920" s="29"/>
      <c r="C920" s="29"/>
      <c r="D920" s="29"/>
      <c r="E920" s="29"/>
      <c r="F920" s="30"/>
      <c r="G920" s="29"/>
      <c r="H920" s="30"/>
      <c r="I920" s="29"/>
      <c r="J920" s="31"/>
      <c r="K920" s="31"/>
      <c r="L920" s="30"/>
      <c r="M920" s="29"/>
      <c r="N920" s="30"/>
      <c r="O920" s="31"/>
      <c r="P920" s="32" t="str">
        <f aca="false">IF($J920="","",$J920-WEEKDAY($J920,3))</f>
        <v/>
      </c>
      <c r="Q920" s="32" t="str">
        <f aca="false">IF($J920="","",IF($K920="",$J920,$K920))</f>
        <v/>
      </c>
      <c r="R920" s="28" t="str">
        <f aca="false">IF($E920="","",IF(OR($N920&lt;&gt;"Concluída",$O920="",$J920=""),0,IF($O920&lt;=$J920,1,0)))</f>
        <v/>
      </c>
      <c r="S920" s="28" t="str">
        <f aca="false">IF($E920="","",IF(OR($N920&lt;&gt;"Concluída",$O920="",$Q920=""),0,IF($O920&lt;=$Q920,1,0)))</f>
        <v/>
      </c>
      <c r="T920" s="28" t="str">
        <f aca="false">IF(OR($J920="",$N920&lt;&gt;"Concluída",$O920=""),"",MAX(0,$O920-$J920))</f>
        <v/>
      </c>
      <c r="U920" s="33" t="str">
        <f aca="true">IF($E920="","",IF($N920="Cancelada","Cancelada",IF($N920="Concluída",IF($R920=1,"No prazo","Concluída com atraso"),IF($J920="","Na carteira",IF($J920&lt;TODAY(),"VENCIDA",IF($J920=TODAY(),"Hoje","Programada"))))))</f>
        <v/>
      </c>
    </row>
    <row r="921" customFormat="false" ht="15.75" hidden="false" customHeight="true" outlineLevel="0" collapsed="false">
      <c r="A921" s="28" t="str">
        <f aca="false">IF($E921="","",COUNTA($E$4:$E921))</f>
        <v/>
      </c>
      <c r="B921" s="34"/>
      <c r="C921" s="34"/>
      <c r="D921" s="34"/>
      <c r="E921" s="34"/>
      <c r="F921" s="35"/>
      <c r="G921" s="34"/>
      <c r="H921" s="35"/>
      <c r="I921" s="34"/>
      <c r="J921" s="36"/>
      <c r="K921" s="36"/>
      <c r="L921" s="35"/>
      <c r="M921" s="34"/>
      <c r="N921" s="35"/>
      <c r="O921" s="36"/>
      <c r="P921" s="32" t="str">
        <f aca="false">IF($J921="","",$J921-WEEKDAY($J921,3))</f>
        <v/>
      </c>
      <c r="Q921" s="32" t="str">
        <f aca="false">IF($J921="","",IF($K921="",$J921,$K921))</f>
        <v/>
      </c>
      <c r="R921" s="28" t="str">
        <f aca="false">IF($E921="","",IF(OR($N921&lt;&gt;"Concluída",$O921="",$J921=""),0,IF($O921&lt;=$J921,1,0)))</f>
        <v/>
      </c>
      <c r="S921" s="28" t="str">
        <f aca="false">IF($E921="","",IF(OR($N921&lt;&gt;"Concluída",$O921="",$Q921=""),0,IF($O921&lt;=$Q921,1,0)))</f>
        <v/>
      </c>
      <c r="T921" s="28" t="str">
        <f aca="false">IF(OR($J921="",$N921&lt;&gt;"Concluída",$O921=""),"",MAX(0,$O921-$J921))</f>
        <v/>
      </c>
      <c r="U921" s="33" t="str">
        <f aca="true">IF($E921="","",IF($N921="Cancelada","Cancelada",IF($N921="Concluída",IF($R921=1,"No prazo","Concluída com atraso"),IF($J921="","Na carteira",IF($J921&lt;TODAY(),"VENCIDA",IF($J921=TODAY(),"Hoje","Programada"))))))</f>
        <v/>
      </c>
    </row>
    <row r="922" customFormat="false" ht="15.75" hidden="false" customHeight="true" outlineLevel="0" collapsed="false">
      <c r="A922" s="28" t="str">
        <f aca="false">IF($E922="","",COUNTA($E$4:$E922))</f>
        <v/>
      </c>
      <c r="B922" s="29"/>
      <c r="C922" s="29"/>
      <c r="D922" s="29"/>
      <c r="E922" s="29"/>
      <c r="F922" s="30"/>
      <c r="G922" s="29"/>
      <c r="H922" s="30"/>
      <c r="I922" s="29"/>
      <c r="J922" s="31"/>
      <c r="K922" s="31"/>
      <c r="L922" s="30"/>
      <c r="M922" s="29"/>
      <c r="N922" s="30"/>
      <c r="O922" s="31"/>
      <c r="P922" s="32" t="str">
        <f aca="false">IF($J922="","",$J922-WEEKDAY($J922,3))</f>
        <v/>
      </c>
      <c r="Q922" s="32" t="str">
        <f aca="false">IF($J922="","",IF($K922="",$J922,$K922))</f>
        <v/>
      </c>
      <c r="R922" s="28" t="str">
        <f aca="false">IF($E922="","",IF(OR($N922&lt;&gt;"Concluída",$O922="",$J922=""),0,IF($O922&lt;=$J922,1,0)))</f>
        <v/>
      </c>
      <c r="S922" s="28" t="str">
        <f aca="false">IF($E922="","",IF(OR($N922&lt;&gt;"Concluída",$O922="",$Q922=""),0,IF($O922&lt;=$Q922,1,0)))</f>
        <v/>
      </c>
      <c r="T922" s="28" t="str">
        <f aca="false">IF(OR($J922="",$N922&lt;&gt;"Concluída",$O922=""),"",MAX(0,$O922-$J922))</f>
        <v/>
      </c>
      <c r="U922" s="33" t="str">
        <f aca="true">IF($E922="","",IF($N922="Cancelada","Cancelada",IF($N922="Concluída",IF($R922=1,"No prazo","Concluída com atraso"),IF($J922="","Na carteira",IF($J922&lt;TODAY(),"VENCIDA",IF($J922=TODAY(),"Hoje","Programada"))))))</f>
        <v/>
      </c>
    </row>
    <row r="923" customFormat="false" ht="15.75" hidden="false" customHeight="true" outlineLevel="0" collapsed="false">
      <c r="A923" s="28" t="str">
        <f aca="false">IF($E923="","",COUNTA($E$4:$E923))</f>
        <v/>
      </c>
      <c r="B923" s="34"/>
      <c r="C923" s="34"/>
      <c r="D923" s="34"/>
      <c r="E923" s="34"/>
      <c r="F923" s="35"/>
      <c r="G923" s="34"/>
      <c r="H923" s="35"/>
      <c r="I923" s="34"/>
      <c r="J923" s="36"/>
      <c r="K923" s="36"/>
      <c r="L923" s="35"/>
      <c r="M923" s="34"/>
      <c r="N923" s="35"/>
      <c r="O923" s="36"/>
      <c r="P923" s="32" t="str">
        <f aca="false">IF($J923="","",$J923-WEEKDAY($J923,3))</f>
        <v/>
      </c>
      <c r="Q923" s="32" t="str">
        <f aca="false">IF($J923="","",IF($K923="",$J923,$K923))</f>
        <v/>
      </c>
      <c r="R923" s="28" t="str">
        <f aca="false">IF($E923="","",IF(OR($N923&lt;&gt;"Concluída",$O923="",$J923=""),0,IF($O923&lt;=$J923,1,0)))</f>
        <v/>
      </c>
      <c r="S923" s="28" t="str">
        <f aca="false">IF($E923="","",IF(OR($N923&lt;&gt;"Concluída",$O923="",$Q923=""),0,IF($O923&lt;=$Q923,1,0)))</f>
        <v/>
      </c>
      <c r="T923" s="28" t="str">
        <f aca="false">IF(OR($J923="",$N923&lt;&gt;"Concluída",$O923=""),"",MAX(0,$O923-$J923))</f>
        <v/>
      </c>
      <c r="U923" s="33" t="str">
        <f aca="true">IF($E923="","",IF($N923="Cancelada","Cancelada",IF($N923="Concluída",IF($R923=1,"No prazo","Concluída com atraso"),IF($J923="","Na carteira",IF($J923&lt;TODAY(),"VENCIDA",IF($J923=TODAY(),"Hoje","Programada"))))))</f>
        <v/>
      </c>
    </row>
    <row r="924" customFormat="false" ht="15.75" hidden="false" customHeight="true" outlineLevel="0" collapsed="false">
      <c r="A924" s="28" t="str">
        <f aca="false">IF($E924="","",COUNTA($E$4:$E924))</f>
        <v/>
      </c>
      <c r="B924" s="29"/>
      <c r="C924" s="29"/>
      <c r="D924" s="29"/>
      <c r="E924" s="29"/>
      <c r="F924" s="30"/>
      <c r="G924" s="29"/>
      <c r="H924" s="30"/>
      <c r="I924" s="29"/>
      <c r="J924" s="31"/>
      <c r="K924" s="31"/>
      <c r="L924" s="30"/>
      <c r="M924" s="29"/>
      <c r="N924" s="30"/>
      <c r="O924" s="31"/>
      <c r="P924" s="32" t="str">
        <f aca="false">IF($J924="","",$J924-WEEKDAY($J924,3))</f>
        <v/>
      </c>
      <c r="Q924" s="32" t="str">
        <f aca="false">IF($J924="","",IF($K924="",$J924,$K924))</f>
        <v/>
      </c>
      <c r="R924" s="28" t="str">
        <f aca="false">IF($E924="","",IF(OR($N924&lt;&gt;"Concluída",$O924="",$J924=""),0,IF($O924&lt;=$J924,1,0)))</f>
        <v/>
      </c>
      <c r="S924" s="28" t="str">
        <f aca="false">IF($E924="","",IF(OR($N924&lt;&gt;"Concluída",$O924="",$Q924=""),0,IF($O924&lt;=$Q924,1,0)))</f>
        <v/>
      </c>
      <c r="T924" s="28" t="str">
        <f aca="false">IF(OR($J924="",$N924&lt;&gt;"Concluída",$O924=""),"",MAX(0,$O924-$J924))</f>
        <v/>
      </c>
      <c r="U924" s="33" t="str">
        <f aca="true">IF($E924="","",IF($N924="Cancelada","Cancelada",IF($N924="Concluída",IF($R924=1,"No prazo","Concluída com atraso"),IF($J924="","Na carteira",IF($J924&lt;TODAY(),"VENCIDA",IF($J924=TODAY(),"Hoje","Programada"))))))</f>
        <v/>
      </c>
    </row>
    <row r="925" customFormat="false" ht="15.75" hidden="false" customHeight="true" outlineLevel="0" collapsed="false">
      <c r="A925" s="28" t="str">
        <f aca="false">IF($E925="","",COUNTA($E$4:$E925))</f>
        <v/>
      </c>
      <c r="B925" s="34"/>
      <c r="C925" s="34"/>
      <c r="D925" s="34"/>
      <c r="E925" s="34"/>
      <c r="F925" s="35"/>
      <c r="G925" s="34"/>
      <c r="H925" s="35"/>
      <c r="I925" s="34"/>
      <c r="J925" s="36"/>
      <c r="K925" s="36"/>
      <c r="L925" s="35"/>
      <c r="M925" s="34"/>
      <c r="N925" s="35"/>
      <c r="O925" s="36"/>
      <c r="P925" s="32" t="str">
        <f aca="false">IF($J925="","",$J925-WEEKDAY($J925,3))</f>
        <v/>
      </c>
      <c r="Q925" s="32" t="str">
        <f aca="false">IF($J925="","",IF($K925="",$J925,$K925))</f>
        <v/>
      </c>
      <c r="R925" s="28" t="str">
        <f aca="false">IF($E925="","",IF(OR($N925&lt;&gt;"Concluída",$O925="",$J925=""),0,IF($O925&lt;=$J925,1,0)))</f>
        <v/>
      </c>
      <c r="S925" s="28" t="str">
        <f aca="false">IF($E925="","",IF(OR($N925&lt;&gt;"Concluída",$O925="",$Q925=""),0,IF($O925&lt;=$Q925,1,0)))</f>
        <v/>
      </c>
      <c r="T925" s="28" t="str">
        <f aca="false">IF(OR($J925="",$N925&lt;&gt;"Concluída",$O925=""),"",MAX(0,$O925-$J925))</f>
        <v/>
      </c>
      <c r="U925" s="33" t="str">
        <f aca="true">IF($E925="","",IF($N925="Cancelada","Cancelada",IF($N925="Concluída",IF($R925=1,"No prazo","Concluída com atraso"),IF($J925="","Na carteira",IF($J925&lt;TODAY(),"VENCIDA",IF($J925=TODAY(),"Hoje","Programada"))))))</f>
        <v/>
      </c>
    </row>
    <row r="926" customFormat="false" ht="15.75" hidden="false" customHeight="true" outlineLevel="0" collapsed="false">
      <c r="A926" s="28" t="str">
        <f aca="false">IF($E926="","",COUNTA($E$4:$E926))</f>
        <v/>
      </c>
      <c r="B926" s="29"/>
      <c r="C926" s="29"/>
      <c r="D926" s="29"/>
      <c r="E926" s="29"/>
      <c r="F926" s="30"/>
      <c r="G926" s="29"/>
      <c r="H926" s="30"/>
      <c r="I926" s="29"/>
      <c r="J926" s="31"/>
      <c r="K926" s="31"/>
      <c r="L926" s="30"/>
      <c r="M926" s="29"/>
      <c r="N926" s="30"/>
      <c r="O926" s="31"/>
      <c r="P926" s="32" t="str">
        <f aca="false">IF($J926="","",$J926-WEEKDAY($J926,3))</f>
        <v/>
      </c>
      <c r="Q926" s="32" t="str">
        <f aca="false">IF($J926="","",IF($K926="",$J926,$K926))</f>
        <v/>
      </c>
      <c r="R926" s="28" t="str">
        <f aca="false">IF($E926="","",IF(OR($N926&lt;&gt;"Concluída",$O926="",$J926=""),0,IF($O926&lt;=$J926,1,0)))</f>
        <v/>
      </c>
      <c r="S926" s="28" t="str">
        <f aca="false">IF($E926="","",IF(OR($N926&lt;&gt;"Concluída",$O926="",$Q926=""),0,IF($O926&lt;=$Q926,1,0)))</f>
        <v/>
      </c>
      <c r="T926" s="28" t="str">
        <f aca="false">IF(OR($J926="",$N926&lt;&gt;"Concluída",$O926=""),"",MAX(0,$O926-$J926))</f>
        <v/>
      </c>
      <c r="U926" s="33" t="str">
        <f aca="true">IF($E926="","",IF($N926="Cancelada","Cancelada",IF($N926="Concluída",IF($R926=1,"No prazo","Concluída com atraso"),IF($J926="","Na carteira",IF($J926&lt;TODAY(),"VENCIDA",IF($J926=TODAY(),"Hoje","Programada"))))))</f>
        <v/>
      </c>
    </row>
    <row r="927" customFormat="false" ht="15.75" hidden="false" customHeight="true" outlineLevel="0" collapsed="false">
      <c r="A927" s="28" t="str">
        <f aca="false">IF($E927="","",COUNTA($E$4:$E927))</f>
        <v/>
      </c>
      <c r="B927" s="34"/>
      <c r="C927" s="34"/>
      <c r="D927" s="34"/>
      <c r="E927" s="34"/>
      <c r="F927" s="35"/>
      <c r="G927" s="34"/>
      <c r="H927" s="35"/>
      <c r="I927" s="34"/>
      <c r="J927" s="36"/>
      <c r="K927" s="36"/>
      <c r="L927" s="35"/>
      <c r="M927" s="34"/>
      <c r="N927" s="35"/>
      <c r="O927" s="36"/>
      <c r="P927" s="32" t="str">
        <f aca="false">IF($J927="","",$J927-WEEKDAY($J927,3))</f>
        <v/>
      </c>
      <c r="Q927" s="32" t="str">
        <f aca="false">IF($J927="","",IF($K927="",$J927,$K927))</f>
        <v/>
      </c>
      <c r="R927" s="28" t="str">
        <f aca="false">IF($E927="","",IF(OR($N927&lt;&gt;"Concluída",$O927="",$J927=""),0,IF($O927&lt;=$J927,1,0)))</f>
        <v/>
      </c>
      <c r="S927" s="28" t="str">
        <f aca="false">IF($E927="","",IF(OR($N927&lt;&gt;"Concluída",$O927="",$Q927=""),0,IF($O927&lt;=$Q927,1,0)))</f>
        <v/>
      </c>
      <c r="T927" s="28" t="str">
        <f aca="false">IF(OR($J927="",$N927&lt;&gt;"Concluída",$O927=""),"",MAX(0,$O927-$J927))</f>
        <v/>
      </c>
      <c r="U927" s="33" t="str">
        <f aca="true">IF($E927="","",IF($N927="Cancelada","Cancelada",IF($N927="Concluída",IF($R927=1,"No prazo","Concluída com atraso"),IF($J927="","Na carteira",IF($J927&lt;TODAY(),"VENCIDA",IF($J927=TODAY(),"Hoje","Programada"))))))</f>
        <v/>
      </c>
    </row>
    <row r="928" customFormat="false" ht="15.75" hidden="false" customHeight="true" outlineLevel="0" collapsed="false">
      <c r="A928" s="28" t="str">
        <f aca="false">IF($E928="","",COUNTA($E$4:$E928))</f>
        <v/>
      </c>
      <c r="B928" s="29"/>
      <c r="C928" s="29"/>
      <c r="D928" s="29"/>
      <c r="E928" s="29"/>
      <c r="F928" s="30"/>
      <c r="G928" s="29"/>
      <c r="H928" s="30"/>
      <c r="I928" s="29"/>
      <c r="J928" s="31"/>
      <c r="K928" s="31"/>
      <c r="L928" s="30"/>
      <c r="M928" s="29"/>
      <c r="N928" s="30"/>
      <c r="O928" s="31"/>
      <c r="P928" s="32" t="str">
        <f aca="false">IF($J928="","",$J928-WEEKDAY($J928,3))</f>
        <v/>
      </c>
      <c r="Q928" s="32" t="str">
        <f aca="false">IF($J928="","",IF($K928="",$J928,$K928))</f>
        <v/>
      </c>
      <c r="R928" s="28" t="str">
        <f aca="false">IF($E928="","",IF(OR($N928&lt;&gt;"Concluída",$O928="",$J928=""),0,IF($O928&lt;=$J928,1,0)))</f>
        <v/>
      </c>
      <c r="S928" s="28" t="str">
        <f aca="false">IF($E928="","",IF(OR($N928&lt;&gt;"Concluída",$O928="",$Q928=""),0,IF($O928&lt;=$Q928,1,0)))</f>
        <v/>
      </c>
      <c r="T928" s="28" t="str">
        <f aca="false">IF(OR($J928="",$N928&lt;&gt;"Concluída",$O928=""),"",MAX(0,$O928-$J928))</f>
        <v/>
      </c>
      <c r="U928" s="33" t="str">
        <f aca="true">IF($E928="","",IF($N928="Cancelada","Cancelada",IF($N928="Concluída",IF($R928=1,"No prazo","Concluída com atraso"),IF($J928="","Na carteira",IF($J928&lt;TODAY(),"VENCIDA",IF($J928=TODAY(),"Hoje","Programada"))))))</f>
        <v/>
      </c>
    </row>
    <row r="929" customFormat="false" ht="15.75" hidden="false" customHeight="true" outlineLevel="0" collapsed="false">
      <c r="A929" s="28" t="str">
        <f aca="false">IF($E929="","",COUNTA($E$4:$E929))</f>
        <v/>
      </c>
      <c r="B929" s="34"/>
      <c r="C929" s="34"/>
      <c r="D929" s="34"/>
      <c r="E929" s="34"/>
      <c r="F929" s="35"/>
      <c r="G929" s="34"/>
      <c r="H929" s="35"/>
      <c r="I929" s="34"/>
      <c r="J929" s="36"/>
      <c r="K929" s="36"/>
      <c r="L929" s="35"/>
      <c r="M929" s="34"/>
      <c r="N929" s="35"/>
      <c r="O929" s="36"/>
      <c r="P929" s="32" t="str">
        <f aca="false">IF($J929="","",$J929-WEEKDAY($J929,3))</f>
        <v/>
      </c>
      <c r="Q929" s="32" t="str">
        <f aca="false">IF($J929="","",IF($K929="",$J929,$K929))</f>
        <v/>
      </c>
      <c r="R929" s="28" t="str">
        <f aca="false">IF($E929="","",IF(OR($N929&lt;&gt;"Concluída",$O929="",$J929=""),0,IF($O929&lt;=$J929,1,0)))</f>
        <v/>
      </c>
      <c r="S929" s="28" t="str">
        <f aca="false">IF($E929="","",IF(OR($N929&lt;&gt;"Concluída",$O929="",$Q929=""),0,IF($O929&lt;=$Q929,1,0)))</f>
        <v/>
      </c>
      <c r="T929" s="28" t="str">
        <f aca="false">IF(OR($J929="",$N929&lt;&gt;"Concluída",$O929=""),"",MAX(0,$O929-$J929))</f>
        <v/>
      </c>
      <c r="U929" s="33" t="str">
        <f aca="true">IF($E929="","",IF($N929="Cancelada","Cancelada",IF($N929="Concluída",IF($R929=1,"No prazo","Concluída com atraso"),IF($J929="","Na carteira",IF($J929&lt;TODAY(),"VENCIDA",IF($J929=TODAY(),"Hoje","Programada"))))))</f>
        <v/>
      </c>
    </row>
    <row r="930" customFormat="false" ht="15.75" hidden="false" customHeight="true" outlineLevel="0" collapsed="false">
      <c r="A930" s="28" t="str">
        <f aca="false">IF($E930="","",COUNTA($E$4:$E930))</f>
        <v/>
      </c>
      <c r="B930" s="29"/>
      <c r="C930" s="29"/>
      <c r="D930" s="29"/>
      <c r="E930" s="29"/>
      <c r="F930" s="30"/>
      <c r="G930" s="29"/>
      <c r="H930" s="30"/>
      <c r="I930" s="29"/>
      <c r="J930" s="31"/>
      <c r="K930" s="31"/>
      <c r="L930" s="30"/>
      <c r="M930" s="29"/>
      <c r="N930" s="30"/>
      <c r="O930" s="31"/>
      <c r="P930" s="32" t="str">
        <f aca="false">IF($J930="","",$J930-WEEKDAY($J930,3))</f>
        <v/>
      </c>
      <c r="Q930" s="32" t="str">
        <f aca="false">IF($J930="","",IF($K930="",$J930,$K930))</f>
        <v/>
      </c>
      <c r="R930" s="28" t="str">
        <f aca="false">IF($E930="","",IF(OR($N930&lt;&gt;"Concluída",$O930="",$J930=""),0,IF($O930&lt;=$J930,1,0)))</f>
        <v/>
      </c>
      <c r="S930" s="28" t="str">
        <f aca="false">IF($E930="","",IF(OR($N930&lt;&gt;"Concluída",$O930="",$Q930=""),0,IF($O930&lt;=$Q930,1,0)))</f>
        <v/>
      </c>
      <c r="T930" s="28" t="str">
        <f aca="false">IF(OR($J930="",$N930&lt;&gt;"Concluída",$O930=""),"",MAX(0,$O930-$J930))</f>
        <v/>
      </c>
      <c r="U930" s="33" t="str">
        <f aca="true">IF($E930="","",IF($N930="Cancelada","Cancelada",IF($N930="Concluída",IF($R930=1,"No prazo","Concluída com atraso"),IF($J930="","Na carteira",IF($J930&lt;TODAY(),"VENCIDA",IF($J930=TODAY(),"Hoje","Programada"))))))</f>
        <v/>
      </c>
    </row>
    <row r="931" customFormat="false" ht="15.75" hidden="false" customHeight="true" outlineLevel="0" collapsed="false">
      <c r="A931" s="28" t="str">
        <f aca="false">IF($E931="","",COUNTA($E$4:$E931))</f>
        <v/>
      </c>
      <c r="B931" s="34"/>
      <c r="C931" s="34"/>
      <c r="D931" s="34"/>
      <c r="E931" s="34"/>
      <c r="F931" s="35"/>
      <c r="G931" s="34"/>
      <c r="H931" s="35"/>
      <c r="I931" s="34"/>
      <c r="J931" s="36"/>
      <c r="K931" s="36"/>
      <c r="L931" s="35"/>
      <c r="M931" s="34"/>
      <c r="N931" s="35"/>
      <c r="O931" s="36"/>
      <c r="P931" s="32" t="str">
        <f aca="false">IF($J931="","",$J931-WEEKDAY($J931,3))</f>
        <v/>
      </c>
      <c r="Q931" s="32" t="str">
        <f aca="false">IF($J931="","",IF($K931="",$J931,$K931))</f>
        <v/>
      </c>
      <c r="R931" s="28" t="str">
        <f aca="false">IF($E931="","",IF(OR($N931&lt;&gt;"Concluída",$O931="",$J931=""),0,IF($O931&lt;=$J931,1,0)))</f>
        <v/>
      </c>
      <c r="S931" s="28" t="str">
        <f aca="false">IF($E931="","",IF(OR($N931&lt;&gt;"Concluída",$O931="",$Q931=""),0,IF($O931&lt;=$Q931,1,0)))</f>
        <v/>
      </c>
      <c r="T931" s="28" t="str">
        <f aca="false">IF(OR($J931="",$N931&lt;&gt;"Concluída",$O931=""),"",MAX(0,$O931-$J931))</f>
        <v/>
      </c>
      <c r="U931" s="33" t="str">
        <f aca="true">IF($E931="","",IF($N931="Cancelada","Cancelada",IF($N931="Concluída",IF($R931=1,"No prazo","Concluída com atraso"),IF($J931="","Na carteira",IF($J931&lt;TODAY(),"VENCIDA",IF($J931=TODAY(),"Hoje","Programada"))))))</f>
        <v/>
      </c>
    </row>
    <row r="932" customFormat="false" ht="15.75" hidden="false" customHeight="true" outlineLevel="0" collapsed="false">
      <c r="A932" s="28" t="str">
        <f aca="false">IF($E932="","",COUNTA($E$4:$E932))</f>
        <v/>
      </c>
      <c r="B932" s="29"/>
      <c r="C932" s="29"/>
      <c r="D932" s="29"/>
      <c r="E932" s="29"/>
      <c r="F932" s="30"/>
      <c r="G932" s="29"/>
      <c r="H932" s="30"/>
      <c r="I932" s="29"/>
      <c r="J932" s="31"/>
      <c r="K932" s="31"/>
      <c r="L932" s="30"/>
      <c r="M932" s="29"/>
      <c r="N932" s="30"/>
      <c r="O932" s="31"/>
      <c r="P932" s="32" t="str">
        <f aca="false">IF($J932="","",$J932-WEEKDAY($J932,3))</f>
        <v/>
      </c>
      <c r="Q932" s="32" t="str">
        <f aca="false">IF($J932="","",IF($K932="",$J932,$K932))</f>
        <v/>
      </c>
      <c r="R932" s="28" t="str">
        <f aca="false">IF($E932="","",IF(OR($N932&lt;&gt;"Concluída",$O932="",$J932=""),0,IF($O932&lt;=$J932,1,0)))</f>
        <v/>
      </c>
      <c r="S932" s="28" t="str">
        <f aca="false">IF($E932="","",IF(OR($N932&lt;&gt;"Concluída",$O932="",$Q932=""),0,IF($O932&lt;=$Q932,1,0)))</f>
        <v/>
      </c>
      <c r="T932" s="28" t="str">
        <f aca="false">IF(OR($J932="",$N932&lt;&gt;"Concluída",$O932=""),"",MAX(0,$O932-$J932))</f>
        <v/>
      </c>
      <c r="U932" s="33" t="str">
        <f aca="true">IF($E932="","",IF($N932="Cancelada","Cancelada",IF($N932="Concluída",IF($R932=1,"No prazo","Concluída com atraso"),IF($J932="","Na carteira",IF($J932&lt;TODAY(),"VENCIDA",IF($J932=TODAY(),"Hoje","Programada"))))))</f>
        <v/>
      </c>
    </row>
    <row r="933" customFormat="false" ht="15.75" hidden="false" customHeight="true" outlineLevel="0" collapsed="false">
      <c r="A933" s="28" t="str">
        <f aca="false">IF($E933="","",COUNTA($E$4:$E933))</f>
        <v/>
      </c>
      <c r="B933" s="34"/>
      <c r="C933" s="34"/>
      <c r="D933" s="34"/>
      <c r="E933" s="34"/>
      <c r="F933" s="35"/>
      <c r="G933" s="34"/>
      <c r="H933" s="35"/>
      <c r="I933" s="34"/>
      <c r="J933" s="36"/>
      <c r="K933" s="36"/>
      <c r="L933" s="35"/>
      <c r="M933" s="34"/>
      <c r="N933" s="35"/>
      <c r="O933" s="36"/>
      <c r="P933" s="32" t="str">
        <f aca="false">IF($J933="","",$J933-WEEKDAY($J933,3))</f>
        <v/>
      </c>
      <c r="Q933" s="32" t="str">
        <f aca="false">IF($J933="","",IF($K933="",$J933,$K933))</f>
        <v/>
      </c>
      <c r="R933" s="28" t="str">
        <f aca="false">IF($E933="","",IF(OR($N933&lt;&gt;"Concluída",$O933="",$J933=""),0,IF($O933&lt;=$J933,1,0)))</f>
        <v/>
      </c>
      <c r="S933" s="28" t="str">
        <f aca="false">IF($E933="","",IF(OR($N933&lt;&gt;"Concluída",$O933="",$Q933=""),0,IF($O933&lt;=$Q933,1,0)))</f>
        <v/>
      </c>
      <c r="T933" s="28" t="str">
        <f aca="false">IF(OR($J933="",$N933&lt;&gt;"Concluída",$O933=""),"",MAX(0,$O933-$J933))</f>
        <v/>
      </c>
      <c r="U933" s="33" t="str">
        <f aca="true">IF($E933="","",IF($N933="Cancelada","Cancelada",IF($N933="Concluída",IF($R933=1,"No prazo","Concluída com atraso"),IF($J933="","Na carteira",IF($J933&lt;TODAY(),"VENCIDA",IF($J933=TODAY(),"Hoje","Programada"))))))</f>
        <v/>
      </c>
    </row>
    <row r="934" customFormat="false" ht="15.75" hidden="false" customHeight="true" outlineLevel="0" collapsed="false">
      <c r="A934" s="28" t="str">
        <f aca="false">IF($E934="","",COUNTA($E$4:$E934))</f>
        <v/>
      </c>
      <c r="B934" s="29"/>
      <c r="C934" s="29"/>
      <c r="D934" s="29"/>
      <c r="E934" s="29"/>
      <c r="F934" s="30"/>
      <c r="G934" s="29"/>
      <c r="H934" s="30"/>
      <c r="I934" s="29"/>
      <c r="J934" s="31"/>
      <c r="K934" s="31"/>
      <c r="L934" s="30"/>
      <c r="M934" s="29"/>
      <c r="N934" s="30"/>
      <c r="O934" s="31"/>
      <c r="P934" s="32" t="str">
        <f aca="false">IF($J934="","",$J934-WEEKDAY($J934,3))</f>
        <v/>
      </c>
      <c r="Q934" s="32" t="str">
        <f aca="false">IF($J934="","",IF($K934="",$J934,$K934))</f>
        <v/>
      </c>
      <c r="R934" s="28" t="str">
        <f aca="false">IF($E934="","",IF(OR($N934&lt;&gt;"Concluída",$O934="",$J934=""),0,IF($O934&lt;=$J934,1,0)))</f>
        <v/>
      </c>
      <c r="S934" s="28" t="str">
        <f aca="false">IF($E934="","",IF(OR($N934&lt;&gt;"Concluída",$O934="",$Q934=""),0,IF($O934&lt;=$Q934,1,0)))</f>
        <v/>
      </c>
      <c r="T934" s="28" t="str">
        <f aca="false">IF(OR($J934="",$N934&lt;&gt;"Concluída",$O934=""),"",MAX(0,$O934-$J934))</f>
        <v/>
      </c>
      <c r="U934" s="33" t="str">
        <f aca="true">IF($E934="","",IF($N934="Cancelada","Cancelada",IF($N934="Concluída",IF($R934=1,"No prazo","Concluída com atraso"),IF($J934="","Na carteira",IF($J934&lt;TODAY(),"VENCIDA",IF($J934=TODAY(),"Hoje","Programada"))))))</f>
        <v/>
      </c>
    </row>
    <row r="935" customFormat="false" ht="15.75" hidden="false" customHeight="true" outlineLevel="0" collapsed="false">
      <c r="A935" s="28" t="str">
        <f aca="false">IF($E935="","",COUNTA($E$4:$E935))</f>
        <v/>
      </c>
      <c r="B935" s="34"/>
      <c r="C935" s="34"/>
      <c r="D935" s="34"/>
      <c r="E935" s="34"/>
      <c r="F935" s="35"/>
      <c r="G935" s="34"/>
      <c r="H935" s="35"/>
      <c r="I935" s="34"/>
      <c r="J935" s="36"/>
      <c r="K935" s="36"/>
      <c r="L935" s="35"/>
      <c r="M935" s="34"/>
      <c r="N935" s="35"/>
      <c r="O935" s="36"/>
      <c r="P935" s="32" t="str">
        <f aca="false">IF($J935="","",$J935-WEEKDAY($J935,3))</f>
        <v/>
      </c>
      <c r="Q935" s="32" t="str">
        <f aca="false">IF($J935="","",IF($K935="",$J935,$K935))</f>
        <v/>
      </c>
      <c r="R935" s="28" t="str">
        <f aca="false">IF($E935="","",IF(OR($N935&lt;&gt;"Concluída",$O935="",$J935=""),0,IF($O935&lt;=$J935,1,0)))</f>
        <v/>
      </c>
      <c r="S935" s="28" t="str">
        <f aca="false">IF($E935="","",IF(OR($N935&lt;&gt;"Concluída",$O935="",$Q935=""),0,IF($O935&lt;=$Q935,1,0)))</f>
        <v/>
      </c>
      <c r="T935" s="28" t="str">
        <f aca="false">IF(OR($J935="",$N935&lt;&gt;"Concluída",$O935=""),"",MAX(0,$O935-$J935))</f>
        <v/>
      </c>
      <c r="U935" s="33" t="str">
        <f aca="true">IF($E935="","",IF($N935="Cancelada","Cancelada",IF($N935="Concluída",IF($R935=1,"No prazo","Concluída com atraso"),IF($J935="","Na carteira",IF($J935&lt;TODAY(),"VENCIDA",IF($J935=TODAY(),"Hoje","Programada"))))))</f>
        <v/>
      </c>
    </row>
    <row r="936" customFormat="false" ht="15.75" hidden="false" customHeight="true" outlineLevel="0" collapsed="false">
      <c r="A936" s="28" t="str">
        <f aca="false">IF($E936="","",COUNTA($E$4:$E936))</f>
        <v/>
      </c>
      <c r="B936" s="29"/>
      <c r="C936" s="29"/>
      <c r="D936" s="29"/>
      <c r="E936" s="29"/>
      <c r="F936" s="30"/>
      <c r="G936" s="29"/>
      <c r="H936" s="30"/>
      <c r="I936" s="29"/>
      <c r="J936" s="31"/>
      <c r="K936" s="31"/>
      <c r="L936" s="30"/>
      <c r="M936" s="29"/>
      <c r="N936" s="30"/>
      <c r="O936" s="31"/>
      <c r="P936" s="32" t="str">
        <f aca="false">IF($J936="","",$J936-WEEKDAY($J936,3))</f>
        <v/>
      </c>
      <c r="Q936" s="32" t="str">
        <f aca="false">IF($J936="","",IF($K936="",$J936,$K936))</f>
        <v/>
      </c>
      <c r="R936" s="28" t="str">
        <f aca="false">IF($E936="","",IF(OR($N936&lt;&gt;"Concluída",$O936="",$J936=""),0,IF($O936&lt;=$J936,1,0)))</f>
        <v/>
      </c>
      <c r="S936" s="28" t="str">
        <f aca="false">IF($E936="","",IF(OR($N936&lt;&gt;"Concluída",$O936="",$Q936=""),0,IF($O936&lt;=$Q936,1,0)))</f>
        <v/>
      </c>
      <c r="T936" s="28" t="str">
        <f aca="false">IF(OR($J936="",$N936&lt;&gt;"Concluída",$O936=""),"",MAX(0,$O936-$J936))</f>
        <v/>
      </c>
      <c r="U936" s="33" t="str">
        <f aca="true">IF($E936="","",IF($N936="Cancelada","Cancelada",IF($N936="Concluída",IF($R936=1,"No prazo","Concluída com atraso"),IF($J936="","Na carteira",IF($J936&lt;TODAY(),"VENCIDA",IF($J936=TODAY(),"Hoje","Programada"))))))</f>
        <v/>
      </c>
    </row>
    <row r="937" customFormat="false" ht="15.75" hidden="false" customHeight="true" outlineLevel="0" collapsed="false">
      <c r="A937" s="28" t="str">
        <f aca="false">IF($E937="","",COUNTA($E$4:$E937))</f>
        <v/>
      </c>
      <c r="B937" s="34"/>
      <c r="C937" s="34"/>
      <c r="D937" s="34"/>
      <c r="E937" s="34"/>
      <c r="F937" s="35"/>
      <c r="G937" s="34"/>
      <c r="H937" s="35"/>
      <c r="I937" s="34"/>
      <c r="J937" s="36"/>
      <c r="K937" s="36"/>
      <c r="L937" s="35"/>
      <c r="M937" s="34"/>
      <c r="N937" s="35"/>
      <c r="O937" s="36"/>
      <c r="P937" s="32" t="str">
        <f aca="false">IF($J937="","",$J937-WEEKDAY($J937,3))</f>
        <v/>
      </c>
      <c r="Q937" s="32" t="str">
        <f aca="false">IF($J937="","",IF($K937="",$J937,$K937))</f>
        <v/>
      </c>
      <c r="R937" s="28" t="str">
        <f aca="false">IF($E937="","",IF(OR($N937&lt;&gt;"Concluída",$O937="",$J937=""),0,IF($O937&lt;=$J937,1,0)))</f>
        <v/>
      </c>
      <c r="S937" s="28" t="str">
        <f aca="false">IF($E937="","",IF(OR($N937&lt;&gt;"Concluída",$O937="",$Q937=""),0,IF($O937&lt;=$Q937,1,0)))</f>
        <v/>
      </c>
      <c r="T937" s="28" t="str">
        <f aca="false">IF(OR($J937="",$N937&lt;&gt;"Concluída",$O937=""),"",MAX(0,$O937-$J937))</f>
        <v/>
      </c>
      <c r="U937" s="33" t="str">
        <f aca="true">IF($E937="","",IF($N937="Cancelada","Cancelada",IF($N937="Concluída",IF($R937=1,"No prazo","Concluída com atraso"),IF($J937="","Na carteira",IF($J937&lt;TODAY(),"VENCIDA",IF($J937=TODAY(),"Hoje","Programada"))))))</f>
        <v/>
      </c>
    </row>
    <row r="938" customFormat="false" ht="15.75" hidden="false" customHeight="true" outlineLevel="0" collapsed="false">
      <c r="A938" s="28" t="str">
        <f aca="false">IF($E938="","",COUNTA($E$4:$E938))</f>
        <v/>
      </c>
      <c r="B938" s="29"/>
      <c r="C938" s="29"/>
      <c r="D938" s="29"/>
      <c r="E938" s="29"/>
      <c r="F938" s="30"/>
      <c r="G938" s="29"/>
      <c r="H938" s="30"/>
      <c r="I938" s="29"/>
      <c r="J938" s="31"/>
      <c r="K938" s="31"/>
      <c r="L938" s="30"/>
      <c r="M938" s="29"/>
      <c r="N938" s="30"/>
      <c r="O938" s="31"/>
      <c r="P938" s="32" t="str">
        <f aca="false">IF($J938="","",$J938-WEEKDAY($J938,3))</f>
        <v/>
      </c>
      <c r="Q938" s="32" t="str">
        <f aca="false">IF($J938="","",IF($K938="",$J938,$K938))</f>
        <v/>
      </c>
      <c r="R938" s="28" t="str">
        <f aca="false">IF($E938="","",IF(OR($N938&lt;&gt;"Concluída",$O938="",$J938=""),0,IF($O938&lt;=$J938,1,0)))</f>
        <v/>
      </c>
      <c r="S938" s="28" t="str">
        <f aca="false">IF($E938="","",IF(OR($N938&lt;&gt;"Concluída",$O938="",$Q938=""),0,IF($O938&lt;=$Q938,1,0)))</f>
        <v/>
      </c>
      <c r="T938" s="28" t="str">
        <f aca="false">IF(OR($J938="",$N938&lt;&gt;"Concluída",$O938=""),"",MAX(0,$O938-$J938))</f>
        <v/>
      </c>
      <c r="U938" s="33" t="str">
        <f aca="true">IF($E938="","",IF($N938="Cancelada","Cancelada",IF($N938="Concluída",IF($R938=1,"No prazo","Concluída com atraso"),IF($J938="","Na carteira",IF($J938&lt;TODAY(),"VENCIDA",IF($J938=TODAY(),"Hoje","Programada"))))))</f>
        <v/>
      </c>
    </row>
    <row r="939" customFormat="false" ht="15.75" hidden="false" customHeight="true" outlineLevel="0" collapsed="false">
      <c r="A939" s="28" t="str">
        <f aca="false">IF($E939="","",COUNTA($E$4:$E939))</f>
        <v/>
      </c>
      <c r="B939" s="34"/>
      <c r="C939" s="34"/>
      <c r="D939" s="34"/>
      <c r="E939" s="34"/>
      <c r="F939" s="35"/>
      <c r="G939" s="34"/>
      <c r="H939" s="35"/>
      <c r="I939" s="34"/>
      <c r="J939" s="36"/>
      <c r="K939" s="36"/>
      <c r="L939" s="35"/>
      <c r="M939" s="34"/>
      <c r="N939" s="35"/>
      <c r="O939" s="36"/>
      <c r="P939" s="32" t="str">
        <f aca="false">IF($J939="","",$J939-WEEKDAY($J939,3))</f>
        <v/>
      </c>
      <c r="Q939" s="32" t="str">
        <f aca="false">IF($J939="","",IF($K939="",$J939,$K939))</f>
        <v/>
      </c>
      <c r="R939" s="28" t="str">
        <f aca="false">IF($E939="","",IF(OR($N939&lt;&gt;"Concluída",$O939="",$J939=""),0,IF($O939&lt;=$J939,1,0)))</f>
        <v/>
      </c>
      <c r="S939" s="28" t="str">
        <f aca="false">IF($E939="","",IF(OR($N939&lt;&gt;"Concluída",$O939="",$Q939=""),0,IF($O939&lt;=$Q939,1,0)))</f>
        <v/>
      </c>
      <c r="T939" s="28" t="str">
        <f aca="false">IF(OR($J939="",$N939&lt;&gt;"Concluída",$O939=""),"",MAX(0,$O939-$J939))</f>
        <v/>
      </c>
      <c r="U939" s="33" t="str">
        <f aca="true">IF($E939="","",IF($N939="Cancelada","Cancelada",IF($N939="Concluída",IF($R939=1,"No prazo","Concluída com atraso"),IF($J939="","Na carteira",IF($J939&lt;TODAY(),"VENCIDA",IF($J939=TODAY(),"Hoje","Programada"))))))</f>
        <v/>
      </c>
    </row>
    <row r="940" customFormat="false" ht="15.75" hidden="false" customHeight="true" outlineLevel="0" collapsed="false">
      <c r="A940" s="28" t="str">
        <f aca="false">IF($E940="","",COUNTA($E$4:$E940))</f>
        <v/>
      </c>
      <c r="B940" s="29"/>
      <c r="C940" s="29"/>
      <c r="D940" s="29"/>
      <c r="E940" s="29"/>
      <c r="F940" s="30"/>
      <c r="G940" s="29"/>
      <c r="H940" s="30"/>
      <c r="I940" s="29"/>
      <c r="J940" s="31"/>
      <c r="K940" s="31"/>
      <c r="L940" s="30"/>
      <c r="M940" s="29"/>
      <c r="N940" s="30"/>
      <c r="O940" s="31"/>
      <c r="P940" s="32" t="str">
        <f aca="false">IF($J940="","",$J940-WEEKDAY($J940,3))</f>
        <v/>
      </c>
      <c r="Q940" s="32" t="str">
        <f aca="false">IF($J940="","",IF($K940="",$J940,$K940))</f>
        <v/>
      </c>
      <c r="R940" s="28" t="str">
        <f aca="false">IF($E940="","",IF(OR($N940&lt;&gt;"Concluída",$O940="",$J940=""),0,IF($O940&lt;=$J940,1,0)))</f>
        <v/>
      </c>
      <c r="S940" s="28" t="str">
        <f aca="false">IF($E940="","",IF(OR($N940&lt;&gt;"Concluída",$O940="",$Q940=""),0,IF($O940&lt;=$Q940,1,0)))</f>
        <v/>
      </c>
      <c r="T940" s="28" t="str">
        <f aca="false">IF(OR($J940="",$N940&lt;&gt;"Concluída",$O940=""),"",MAX(0,$O940-$J940))</f>
        <v/>
      </c>
      <c r="U940" s="33" t="str">
        <f aca="true">IF($E940="","",IF($N940="Cancelada","Cancelada",IF($N940="Concluída",IF($R940=1,"No prazo","Concluída com atraso"),IF($J940="","Na carteira",IF($J940&lt;TODAY(),"VENCIDA",IF($J940=TODAY(),"Hoje","Programada"))))))</f>
        <v/>
      </c>
    </row>
    <row r="941" customFormat="false" ht="15.75" hidden="false" customHeight="true" outlineLevel="0" collapsed="false">
      <c r="A941" s="28" t="str">
        <f aca="false">IF($E941="","",COUNTA($E$4:$E941))</f>
        <v/>
      </c>
      <c r="B941" s="34"/>
      <c r="C941" s="34"/>
      <c r="D941" s="34"/>
      <c r="E941" s="34"/>
      <c r="F941" s="35"/>
      <c r="G941" s="34"/>
      <c r="H941" s="35"/>
      <c r="I941" s="34"/>
      <c r="J941" s="36"/>
      <c r="K941" s="36"/>
      <c r="L941" s="35"/>
      <c r="M941" s="34"/>
      <c r="N941" s="35"/>
      <c r="O941" s="36"/>
      <c r="P941" s="32" t="str">
        <f aca="false">IF($J941="","",$J941-WEEKDAY($J941,3))</f>
        <v/>
      </c>
      <c r="Q941" s="32" t="str">
        <f aca="false">IF($J941="","",IF($K941="",$J941,$K941))</f>
        <v/>
      </c>
      <c r="R941" s="28" t="str">
        <f aca="false">IF($E941="","",IF(OR($N941&lt;&gt;"Concluída",$O941="",$J941=""),0,IF($O941&lt;=$J941,1,0)))</f>
        <v/>
      </c>
      <c r="S941" s="28" t="str">
        <f aca="false">IF($E941="","",IF(OR($N941&lt;&gt;"Concluída",$O941="",$Q941=""),0,IF($O941&lt;=$Q941,1,0)))</f>
        <v/>
      </c>
      <c r="T941" s="28" t="str">
        <f aca="false">IF(OR($J941="",$N941&lt;&gt;"Concluída",$O941=""),"",MAX(0,$O941-$J941))</f>
        <v/>
      </c>
      <c r="U941" s="33" t="str">
        <f aca="true">IF($E941="","",IF($N941="Cancelada","Cancelada",IF($N941="Concluída",IF($R941=1,"No prazo","Concluída com atraso"),IF($J941="","Na carteira",IF($J941&lt;TODAY(),"VENCIDA",IF($J941=TODAY(),"Hoje","Programada"))))))</f>
        <v/>
      </c>
    </row>
    <row r="942" customFormat="false" ht="15.75" hidden="false" customHeight="true" outlineLevel="0" collapsed="false">
      <c r="A942" s="28" t="str">
        <f aca="false">IF($E942="","",COUNTA($E$4:$E942))</f>
        <v/>
      </c>
      <c r="B942" s="29"/>
      <c r="C942" s="29"/>
      <c r="D942" s="29"/>
      <c r="E942" s="29"/>
      <c r="F942" s="30"/>
      <c r="G942" s="29"/>
      <c r="H942" s="30"/>
      <c r="I942" s="29"/>
      <c r="J942" s="31"/>
      <c r="K942" s="31"/>
      <c r="L942" s="30"/>
      <c r="M942" s="29"/>
      <c r="N942" s="30"/>
      <c r="O942" s="31"/>
      <c r="P942" s="32" t="str">
        <f aca="false">IF($J942="","",$J942-WEEKDAY($J942,3))</f>
        <v/>
      </c>
      <c r="Q942" s="32" t="str">
        <f aca="false">IF($J942="","",IF($K942="",$J942,$K942))</f>
        <v/>
      </c>
      <c r="R942" s="28" t="str">
        <f aca="false">IF($E942="","",IF(OR($N942&lt;&gt;"Concluída",$O942="",$J942=""),0,IF($O942&lt;=$J942,1,0)))</f>
        <v/>
      </c>
      <c r="S942" s="28" t="str">
        <f aca="false">IF($E942="","",IF(OR($N942&lt;&gt;"Concluída",$O942="",$Q942=""),0,IF($O942&lt;=$Q942,1,0)))</f>
        <v/>
      </c>
      <c r="T942" s="28" t="str">
        <f aca="false">IF(OR($J942="",$N942&lt;&gt;"Concluída",$O942=""),"",MAX(0,$O942-$J942))</f>
        <v/>
      </c>
      <c r="U942" s="33" t="str">
        <f aca="true">IF($E942="","",IF($N942="Cancelada","Cancelada",IF($N942="Concluída",IF($R942=1,"No prazo","Concluída com atraso"),IF($J942="","Na carteira",IF($J942&lt;TODAY(),"VENCIDA",IF($J942=TODAY(),"Hoje","Programada"))))))</f>
        <v/>
      </c>
    </row>
    <row r="943" customFormat="false" ht="15.75" hidden="false" customHeight="true" outlineLevel="0" collapsed="false">
      <c r="A943" s="28" t="str">
        <f aca="false">IF($E943="","",COUNTA($E$4:$E943))</f>
        <v/>
      </c>
      <c r="B943" s="34"/>
      <c r="C943" s="34"/>
      <c r="D943" s="34"/>
      <c r="E943" s="34"/>
      <c r="F943" s="35"/>
      <c r="G943" s="34"/>
      <c r="H943" s="35"/>
      <c r="I943" s="34"/>
      <c r="J943" s="36"/>
      <c r="K943" s="36"/>
      <c r="L943" s="35"/>
      <c r="M943" s="34"/>
      <c r="N943" s="35"/>
      <c r="O943" s="36"/>
      <c r="P943" s="32" t="str">
        <f aca="false">IF($J943="","",$J943-WEEKDAY($J943,3))</f>
        <v/>
      </c>
      <c r="Q943" s="32" t="str">
        <f aca="false">IF($J943="","",IF($K943="",$J943,$K943))</f>
        <v/>
      </c>
      <c r="R943" s="28" t="str">
        <f aca="false">IF($E943="","",IF(OR($N943&lt;&gt;"Concluída",$O943="",$J943=""),0,IF($O943&lt;=$J943,1,0)))</f>
        <v/>
      </c>
      <c r="S943" s="28" t="str">
        <f aca="false">IF($E943="","",IF(OR($N943&lt;&gt;"Concluída",$O943="",$Q943=""),0,IF($O943&lt;=$Q943,1,0)))</f>
        <v/>
      </c>
      <c r="T943" s="28" t="str">
        <f aca="false">IF(OR($J943="",$N943&lt;&gt;"Concluída",$O943=""),"",MAX(0,$O943-$J943))</f>
        <v/>
      </c>
      <c r="U943" s="33" t="str">
        <f aca="true">IF($E943="","",IF($N943="Cancelada","Cancelada",IF($N943="Concluída",IF($R943=1,"No prazo","Concluída com atraso"),IF($J943="","Na carteira",IF($J943&lt;TODAY(),"VENCIDA",IF($J943=TODAY(),"Hoje","Programada"))))))</f>
        <v/>
      </c>
    </row>
    <row r="944" customFormat="false" ht="15.75" hidden="false" customHeight="true" outlineLevel="0" collapsed="false">
      <c r="A944" s="28" t="str">
        <f aca="false">IF($E944="","",COUNTA($E$4:$E944))</f>
        <v/>
      </c>
      <c r="B944" s="29"/>
      <c r="C944" s="29"/>
      <c r="D944" s="29"/>
      <c r="E944" s="29"/>
      <c r="F944" s="30"/>
      <c r="G944" s="29"/>
      <c r="H944" s="30"/>
      <c r="I944" s="29"/>
      <c r="J944" s="31"/>
      <c r="K944" s="31"/>
      <c r="L944" s="30"/>
      <c r="M944" s="29"/>
      <c r="N944" s="30"/>
      <c r="O944" s="31"/>
      <c r="P944" s="32" t="str">
        <f aca="false">IF($J944="","",$J944-WEEKDAY($J944,3))</f>
        <v/>
      </c>
      <c r="Q944" s="32" t="str">
        <f aca="false">IF($J944="","",IF($K944="",$J944,$K944))</f>
        <v/>
      </c>
      <c r="R944" s="28" t="str">
        <f aca="false">IF($E944="","",IF(OR($N944&lt;&gt;"Concluída",$O944="",$J944=""),0,IF($O944&lt;=$J944,1,0)))</f>
        <v/>
      </c>
      <c r="S944" s="28" t="str">
        <f aca="false">IF($E944="","",IF(OR($N944&lt;&gt;"Concluída",$O944="",$Q944=""),0,IF($O944&lt;=$Q944,1,0)))</f>
        <v/>
      </c>
      <c r="T944" s="28" t="str">
        <f aca="false">IF(OR($J944="",$N944&lt;&gt;"Concluída",$O944=""),"",MAX(0,$O944-$J944))</f>
        <v/>
      </c>
      <c r="U944" s="33" t="str">
        <f aca="true">IF($E944="","",IF($N944="Cancelada","Cancelada",IF($N944="Concluída",IF($R944=1,"No prazo","Concluída com atraso"),IF($J944="","Na carteira",IF($J944&lt;TODAY(),"VENCIDA",IF($J944=TODAY(),"Hoje","Programada"))))))</f>
        <v/>
      </c>
    </row>
    <row r="945" customFormat="false" ht="15.75" hidden="false" customHeight="true" outlineLevel="0" collapsed="false">
      <c r="A945" s="28" t="str">
        <f aca="false">IF($E945="","",COUNTA($E$4:$E945))</f>
        <v/>
      </c>
      <c r="B945" s="34"/>
      <c r="C945" s="34"/>
      <c r="D945" s="34"/>
      <c r="E945" s="34"/>
      <c r="F945" s="35"/>
      <c r="G945" s="34"/>
      <c r="H945" s="35"/>
      <c r="I945" s="34"/>
      <c r="J945" s="36"/>
      <c r="K945" s="36"/>
      <c r="L945" s="35"/>
      <c r="M945" s="34"/>
      <c r="N945" s="35"/>
      <c r="O945" s="36"/>
      <c r="P945" s="32" t="str">
        <f aca="false">IF($J945="","",$J945-WEEKDAY($J945,3))</f>
        <v/>
      </c>
      <c r="Q945" s="32" t="str">
        <f aca="false">IF($J945="","",IF($K945="",$J945,$K945))</f>
        <v/>
      </c>
      <c r="R945" s="28" t="str">
        <f aca="false">IF($E945="","",IF(OR($N945&lt;&gt;"Concluída",$O945="",$J945=""),0,IF($O945&lt;=$J945,1,0)))</f>
        <v/>
      </c>
      <c r="S945" s="28" t="str">
        <f aca="false">IF($E945="","",IF(OR($N945&lt;&gt;"Concluída",$O945="",$Q945=""),0,IF($O945&lt;=$Q945,1,0)))</f>
        <v/>
      </c>
      <c r="T945" s="28" t="str">
        <f aca="false">IF(OR($J945="",$N945&lt;&gt;"Concluída",$O945=""),"",MAX(0,$O945-$J945))</f>
        <v/>
      </c>
      <c r="U945" s="33" t="str">
        <f aca="true">IF($E945="","",IF($N945="Cancelada","Cancelada",IF($N945="Concluída",IF($R945=1,"No prazo","Concluída com atraso"),IF($J945="","Na carteira",IF($J945&lt;TODAY(),"VENCIDA",IF($J945=TODAY(),"Hoje","Programada"))))))</f>
        <v/>
      </c>
    </row>
    <row r="946" customFormat="false" ht="15.75" hidden="false" customHeight="true" outlineLevel="0" collapsed="false">
      <c r="A946" s="28" t="str">
        <f aca="false">IF($E946="","",COUNTA($E$4:$E946))</f>
        <v/>
      </c>
      <c r="B946" s="29"/>
      <c r="C946" s="29"/>
      <c r="D946" s="29"/>
      <c r="E946" s="29"/>
      <c r="F946" s="30"/>
      <c r="G946" s="29"/>
      <c r="H946" s="30"/>
      <c r="I946" s="29"/>
      <c r="J946" s="31"/>
      <c r="K946" s="31"/>
      <c r="L946" s="30"/>
      <c r="M946" s="29"/>
      <c r="N946" s="30"/>
      <c r="O946" s="31"/>
      <c r="P946" s="32" t="str">
        <f aca="false">IF($J946="","",$J946-WEEKDAY($J946,3))</f>
        <v/>
      </c>
      <c r="Q946" s="32" t="str">
        <f aca="false">IF($J946="","",IF($K946="",$J946,$K946))</f>
        <v/>
      </c>
      <c r="R946" s="28" t="str">
        <f aca="false">IF($E946="","",IF(OR($N946&lt;&gt;"Concluída",$O946="",$J946=""),0,IF($O946&lt;=$J946,1,0)))</f>
        <v/>
      </c>
      <c r="S946" s="28" t="str">
        <f aca="false">IF($E946="","",IF(OR($N946&lt;&gt;"Concluída",$O946="",$Q946=""),0,IF($O946&lt;=$Q946,1,0)))</f>
        <v/>
      </c>
      <c r="T946" s="28" t="str">
        <f aca="false">IF(OR($J946="",$N946&lt;&gt;"Concluída",$O946=""),"",MAX(0,$O946-$J946))</f>
        <v/>
      </c>
      <c r="U946" s="33" t="str">
        <f aca="true">IF($E946="","",IF($N946="Cancelada","Cancelada",IF($N946="Concluída",IF($R946=1,"No prazo","Concluída com atraso"),IF($J946="","Na carteira",IF($J946&lt;TODAY(),"VENCIDA",IF($J946=TODAY(),"Hoje","Programada"))))))</f>
        <v/>
      </c>
    </row>
    <row r="947" customFormat="false" ht="15.75" hidden="false" customHeight="true" outlineLevel="0" collapsed="false">
      <c r="A947" s="28" t="str">
        <f aca="false">IF($E947="","",COUNTA($E$4:$E947))</f>
        <v/>
      </c>
      <c r="B947" s="34"/>
      <c r="C947" s="34"/>
      <c r="D947" s="34"/>
      <c r="E947" s="34"/>
      <c r="F947" s="35"/>
      <c r="G947" s="34"/>
      <c r="H947" s="35"/>
      <c r="I947" s="34"/>
      <c r="J947" s="36"/>
      <c r="K947" s="36"/>
      <c r="L947" s="35"/>
      <c r="M947" s="34"/>
      <c r="N947" s="35"/>
      <c r="O947" s="36"/>
      <c r="P947" s="32" t="str">
        <f aca="false">IF($J947="","",$J947-WEEKDAY($J947,3))</f>
        <v/>
      </c>
      <c r="Q947" s="32" t="str">
        <f aca="false">IF($J947="","",IF($K947="",$J947,$K947))</f>
        <v/>
      </c>
      <c r="R947" s="28" t="str">
        <f aca="false">IF($E947="","",IF(OR($N947&lt;&gt;"Concluída",$O947="",$J947=""),0,IF($O947&lt;=$J947,1,0)))</f>
        <v/>
      </c>
      <c r="S947" s="28" t="str">
        <f aca="false">IF($E947="","",IF(OR($N947&lt;&gt;"Concluída",$O947="",$Q947=""),0,IF($O947&lt;=$Q947,1,0)))</f>
        <v/>
      </c>
      <c r="T947" s="28" t="str">
        <f aca="false">IF(OR($J947="",$N947&lt;&gt;"Concluída",$O947=""),"",MAX(0,$O947-$J947))</f>
        <v/>
      </c>
      <c r="U947" s="33" t="str">
        <f aca="true">IF($E947="","",IF($N947="Cancelada","Cancelada",IF($N947="Concluída",IF($R947=1,"No prazo","Concluída com atraso"),IF($J947="","Na carteira",IF($J947&lt;TODAY(),"VENCIDA",IF($J947=TODAY(),"Hoje","Programada"))))))</f>
        <v/>
      </c>
    </row>
    <row r="948" customFormat="false" ht="15.75" hidden="false" customHeight="true" outlineLevel="0" collapsed="false">
      <c r="A948" s="28" t="str">
        <f aca="false">IF($E948="","",COUNTA($E$4:$E948))</f>
        <v/>
      </c>
      <c r="B948" s="29"/>
      <c r="C948" s="29"/>
      <c r="D948" s="29"/>
      <c r="E948" s="29"/>
      <c r="F948" s="30"/>
      <c r="G948" s="29"/>
      <c r="H948" s="30"/>
      <c r="I948" s="29"/>
      <c r="J948" s="31"/>
      <c r="K948" s="31"/>
      <c r="L948" s="30"/>
      <c r="M948" s="29"/>
      <c r="N948" s="30"/>
      <c r="O948" s="31"/>
      <c r="P948" s="32" t="str">
        <f aca="false">IF($J948="","",$J948-WEEKDAY($J948,3))</f>
        <v/>
      </c>
      <c r="Q948" s="32" t="str">
        <f aca="false">IF($J948="","",IF($K948="",$J948,$K948))</f>
        <v/>
      </c>
      <c r="R948" s="28" t="str">
        <f aca="false">IF($E948="","",IF(OR($N948&lt;&gt;"Concluída",$O948="",$J948=""),0,IF($O948&lt;=$J948,1,0)))</f>
        <v/>
      </c>
      <c r="S948" s="28" t="str">
        <f aca="false">IF($E948="","",IF(OR($N948&lt;&gt;"Concluída",$O948="",$Q948=""),0,IF($O948&lt;=$Q948,1,0)))</f>
        <v/>
      </c>
      <c r="T948" s="28" t="str">
        <f aca="false">IF(OR($J948="",$N948&lt;&gt;"Concluída",$O948=""),"",MAX(0,$O948-$J948))</f>
        <v/>
      </c>
      <c r="U948" s="33" t="str">
        <f aca="true">IF($E948="","",IF($N948="Cancelada","Cancelada",IF($N948="Concluída",IF($R948=1,"No prazo","Concluída com atraso"),IF($J948="","Na carteira",IF($J948&lt;TODAY(),"VENCIDA",IF($J948=TODAY(),"Hoje","Programada"))))))</f>
        <v/>
      </c>
    </row>
    <row r="949" customFormat="false" ht="15.75" hidden="false" customHeight="true" outlineLevel="0" collapsed="false">
      <c r="A949" s="28" t="str">
        <f aca="false">IF($E949="","",COUNTA($E$4:$E949))</f>
        <v/>
      </c>
      <c r="B949" s="34"/>
      <c r="C949" s="34"/>
      <c r="D949" s="34"/>
      <c r="E949" s="34"/>
      <c r="F949" s="35"/>
      <c r="G949" s="34"/>
      <c r="H949" s="35"/>
      <c r="I949" s="34"/>
      <c r="J949" s="36"/>
      <c r="K949" s="36"/>
      <c r="L949" s="35"/>
      <c r="M949" s="34"/>
      <c r="N949" s="35"/>
      <c r="O949" s="36"/>
      <c r="P949" s="32" t="str">
        <f aca="false">IF($J949="","",$J949-WEEKDAY($J949,3))</f>
        <v/>
      </c>
      <c r="Q949" s="32" t="str">
        <f aca="false">IF($J949="","",IF($K949="",$J949,$K949))</f>
        <v/>
      </c>
      <c r="R949" s="28" t="str">
        <f aca="false">IF($E949="","",IF(OR($N949&lt;&gt;"Concluída",$O949="",$J949=""),0,IF($O949&lt;=$J949,1,0)))</f>
        <v/>
      </c>
      <c r="S949" s="28" t="str">
        <f aca="false">IF($E949="","",IF(OR($N949&lt;&gt;"Concluída",$O949="",$Q949=""),0,IF($O949&lt;=$Q949,1,0)))</f>
        <v/>
      </c>
      <c r="T949" s="28" t="str">
        <f aca="false">IF(OR($J949="",$N949&lt;&gt;"Concluída",$O949=""),"",MAX(0,$O949-$J949))</f>
        <v/>
      </c>
      <c r="U949" s="33" t="str">
        <f aca="true">IF($E949="","",IF($N949="Cancelada","Cancelada",IF($N949="Concluída",IF($R949=1,"No prazo","Concluída com atraso"),IF($J949="","Na carteira",IF($J949&lt;TODAY(),"VENCIDA",IF($J949=TODAY(),"Hoje","Programada"))))))</f>
        <v/>
      </c>
    </row>
    <row r="950" customFormat="false" ht="15.75" hidden="false" customHeight="true" outlineLevel="0" collapsed="false">
      <c r="A950" s="28" t="str">
        <f aca="false">IF($E950="","",COUNTA($E$4:$E950))</f>
        <v/>
      </c>
      <c r="B950" s="29"/>
      <c r="C950" s="29"/>
      <c r="D950" s="29"/>
      <c r="E950" s="29"/>
      <c r="F950" s="30"/>
      <c r="G950" s="29"/>
      <c r="H950" s="30"/>
      <c r="I950" s="29"/>
      <c r="J950" s="31"/>
      <c r="K950" s="31"/>
      <c r="L950" s="30"/>
      <c r="M950" s="29"/>
      <c r="N950" s="30"/>
      <c r="O950" s="31"/>
      <c r="P950" s="32" t="str">
        <f aca="false">IF($J950="","",$J950-WEEKDAY($J950,3))</f>
        <v/>
      </c>
      <c r="Q950" s="32" t="str">
        <f aca="false">IF($J950="","",IF($K950="",$J950,$K950))</f>
        <v/>
      </c>
      <c r="R950" s="28" t="str">
        <f aca="false">IF($E950="","",IF(OR($N950&lt;&gt;"Concluída",$O950="",$J950=""),0,IF($O950&lt;=$J950,1,0)))</f>
        <v/>
      </c>
      <c r="S950" s="28" t="str">
        <f aca="false">IF($E950="","",IF(OR($N950&lt;&gt;"Concluída",$O950="",$Q950=""),0,IF($O950&lt;=$Q950,1,0)))</f>
        <v/>
      </c>
      <c r="T950" s="28" t="str">
        <f aca="false">IF(OR($J950="",$N950&lt;&gt;"Concluída",$O950=""),"",MAX(0,$O950-$J950))</f>
        <v/>
      </c>
      <c r="U950" s="33" t="str">
        <f aca="true">IF($E950="","",IF($N950="Cancelada","Cancelada",IF($N950="Concluída",IF($R950=1,"No prazo","Concluída com atraso"),IF($J950="","Na carteira",IF($J950&lt;TODAY(),"VENCIDA",IF($J950=TODAY(),"Hoje","Programada"))))))</f>
        <v/>
      </c>
    </row>
    <row r="951" customFormat="false" ht="15.75" hidden="false" customHeight="true" outlineLevel="0" collapsed="false">
      <c r="A951" s="28" t="str">
        <f aca="false">IF($E951="","",COUNTA($E$4:$E951))</f>
        <v/>
      </c>
      <c r="B951" s="34"/>
      <c r="C951" s="34"/>
      <c r="D951" s="34"/>
      <c r="E951" s="34"/>
      <c r="F951" s="35"/>
      <c r="G951" s="34"/>
      <c r="H951" s="35"/>
      <c r="I951" s="34"/>
      <c r="J951" s="36"/>
      <c r="K951" s="36"/>
      <c r="L951" s="35"/>
      <c r="M951" s="34"/>
      <c r="N951" s="35"/>
      <c r="O951" s="36"/>
      <c r="P951" s="32" t="str">
        <f aca="false">IF($J951="","",$J951-WEEKDAY($J951,3))</f>
        <v/>
      </c>
      <c r="Q951" s="32" t="str">
        <f aca="false">IF($J951="","",IF($K951="",$J951,$K951))</f>
        <v/>
      </c>
      <c r="R951" s="28" t="str">
        <f aca="false">IF($E951="","",IF(OR($N951&lt;&gt;"Concluída",$O951="",$J951=""),0,IF($O951&lt;=$J951,1,0)))</f>
        <v/>
      </c>
      <c r="S951" s="28" t="str">
        <f aca="false">IF($E951="","",IF(OR($N951&lt;&gt;"Concluída",$O951="",$Q951=""),0,IF($O951&lt;=$Q951,1,0)))</f>
        <v/>
      </c>
      <c r="T951" s="28" t="str">
        <f aca="false">IF(OR($J951="",$N951&lt;&gt;"Concluída",$O951=""),"",MAX(0,$O951-$J951))</f>
        <v/>
      </c>
      <c r="U951" s="33" t="str">
        <f aca="true">IF($E951="","",IF($N951="Cancelada","Cancelada",IF($N951="Concluída",IF($R951=1,"No prazo","Concluída com atraso"),IF($J951="","Na carteira",IF($J951&lt;TODAY(),"VENCIDA",IF($J951=TODAY(),"Hoje","Programada"))))))</f>
        <v/>
      </c>
    </row>
    <row r="952" customFormat="false" ht="15.75" hidden="false" customHeight="true" outlineLevel="0" collapsed="false">
      <c r="A952" s="28" t="str">
        <f aca="false">IF($E952="","",COUNTA($E$4:$E952))</f>
        <v/>
      </c>
      <c r="B952" s="29"/>
      <c r="C952" s="29"/>
      <c r="D952" s="29"/>
      <c r="E952" s="29"/>
      <c r="F952" s="30"/>
      <c r="G952" s="29"/>
      <c r="H952" s="30"/>
      <c r="I952" s="29"/>
      <c r="J952" s="31"/>
      <c r="K952" s="31"/>
      <c r="L952" s="30"/>
      <c r="M952" s="29"/>
      <c r="N952" s="30"/>
      <c r="O952" s="31"/>
      <c r="P952" s="32" t="str">
        <f aca="false">IF($J952="","",$J952-WEEKDAY($J952,3))</f>
        <v/>
      </c>
      <c r="Q952" s="32" t="str">
        <f aca="false">IF($J952="","",IF($K952="",$J952,$K952))</f>
        <v/>
      </c>
      <c r="R952" s="28" t="str">
        <f aca="false">IF($E952="","",IF(OR($N952&lt;&gt;"Concluída",$O952="",$J952=""),0,IF($O952&lt;=$J952,1,0)))</f>
        <v/>
      </c>
      <c r="S952" s="28" t="str">
        <f aca="false">IF($E952="","",IF(OR($N952&lt;&gt;"Concluída",$O952="",$Q952=""),0,IF($O952&lt;=$Q952,1,0)))</f>
        <v/>
      </c>
      <c r="T952" s="28" t="str">
        <f aca="false">IF(OR($J952="",$N952&lt;&gt;"Concluída",$O952=""),"",MAX(0,$O952-$J952))</f>
        <v/>
      </c>
      <c r="U952" s="33" t="str">
        <f aca="true">IF($E952="","",IF($N952="Cancelada","Cancelada",IF($N952="Concluída",IF($R952=1,"No prazo","Concluída com atraso"),IF($J952="","Na carteira",IF($J952&lt;TODAY(),"VENCIDA",IF($J952=TODAY(),"Hoje","Programada"))))))</f>
        <v/>
      </c>
    </row>
    <row r="953" customFormat="false" ht="15.75" hidden="false" customHeight="true" outlineLevel="0" collapsed="false">
      <c r="A953" s="28" t="str">
        <f aca="false">IF($E953="","",COUNTA($E$4:$E953))</f>
        <v/>
      </c>
      <c r="B953" s="34"/>
      <c r="C953" s="34"/>
      <c r="D953" s="34"/>
      <c r="E953" s="34"/>
      <c r="F953" s="35"/>
      <c r="G953" s="34"/>
      <c r="H953" s="35"/>
      <c r="I953" s="34"/>
      <c r="J953" s="36"/>
      <c r="K953" s="36"/>
      <c r="L953" s="35"/>
      <c r="M953" s="34"/>
      <c r="N953" s="35"/>
      <c r="O953" s="36"/>
      <c r="P953" s="32" t="str">
        <f aca="false">IF($J953="","",$J953-WEEKDAY($J953,3))</f>
        <v/>
      </c>
      <c r="Q953" s="32" t="str">
        <f aca="false">IF($J953="","",IF($K953="",$J953,$K953))</f>
        <v/>
      </c>
      <c r="R953" s="28" t="str">
        <f aca="false">IF($E953="","",IF(OR($N953&lt;&gt;"Concluída",$O953="",$J953=""),0,IF($O953&lt;=$J953,1,0)))</f>
        <v/>
      </c>
      <c r="S953" s="28" t="str">
        <f aca="false">IF($E953="","",IF(OR($N953&lt;&gt;"Concluída",$O953="",$Q953=""),0,IF($O953&lt;=$Q953,1,0)))</f>
        <v/>
      </c>
      <c r="T953" s="28" t="str">
        <f aca="false">IF(OR($J953="",$N953&lt;&gt;"Concluída",$O953=""),"",MAX(0,$O953-$J953))</f>
        <v/>
      </c>
      <c r="U953" s="33" t="str">
        <f aca="true">IF($E953="","",IF($N953="Cancelada","Cancelada",IF($N953="Concluída",IF($R953=1,"No prazo","Concluída com atraso"),IF($J953="","Na carteira",IF($J953&lt;TODAY(),"VENCIDA",IF($J953=TODAY(),"Hoje","Programada"))))))</f>
        <v/>
      </c>
    </row>
    <row r="954" customFormat="false" ht="15.75" hidden="false" customHeight="true" outlineLevel="0" collapsed="false">
      <c r="A954" s="28" t="str">
        <f aca="false">IF($E954="","",COUNTA($E$4:$E954))</f>
        <v/>
      </c>
      <c r="B954" s="29"/>
      <c r="C954" s="29"/>
      <c r="D954" s="29"/>
      <c r="E954" s="29"/>
      <c r="F954" s="30"/>
      <c r="G954" s="29"/>
      <c r="H954" s="30"/>
      <c r="I954" s="29"/>
      <c r="J954" s="31"/>
      <c r="K954" s="31"/>
      <c r="L954" s="30"/>
      <c r="M954" s="29"/>
      <c r="N954" s="30"/>
      <c r="O954" s="31"/>
      <c r="P954" s="32" t="str">
        <f aca="false">IF($J954="","",$J954-WEEKDAY($J954,3))</f>
        <v/>
      </c>
      <c r="Q954" s="32" t="str">
        <f aca="false">IF($J954="","",IF($K954="",$J954,$K954))</f>
        <v/>
      </c>
      <c r="R954" s="28" t="str">
        <f aca="false">IF($E954="","",IF(OR($N954&lt;&gt;"Concluída",$O954="",$J954=""),0,IF($O954&lt;=$J954,1,0)))</f>
        <v/>
      </c>
      <c r="S954" s="28" t="str">
        <f aca="false">IF($E954="","",IF(OR($N954&lt;&gt;"Concluída",$O954="",$Q954=""),0,IF($O954&lt;=$Q954,1,0)))</f>
        <v/>
      </c>
      <c r="T954" s="28" t="str">
        <f aca="false">IF(OR($J954="",$N954&lt;&gt;"Concluída",$O954=""),"",MAX(0,$O954-$J954))</f>
        <v/>
      </c>
      <c r="U954" s="33" t="str">
        <f aca="true">IF($E954="","",IF($N954="Cancelada","Cancelada",IF($N954="Concluída",IF($R954=1,"No prazo","Concluída com atraso"),IF($J954="","Na carteira",IF($J954&lt;TODAY(),"VENCIDA",IF($J954=TODAY(),"Hoje","Programada"))))))</f>
        <v/>
      </c>
    </row>
    <row r="955" customFormat="false" ht="15.75" hidden="false" customHeight="true" outlineLevel="0" collapsed="false">
      <c r="A955" s="28" t="str">
        <f aca="false">IF($E955="","",COUNTA($E$4:$E955))</f>
        <v/>
      </c>
      <c r="B955" s="34"/>
      <c r="C955" s="34"/>
      <c r="D955" s="34"/>
      <c r="E955" s="34"/>
      <c r="F955" s="35"/>
      <c r="G955" s="34"/>
      <c r="H955" s="35"/>
      <c r="I955" s="34"/>
      <c r="J955" s="36"/>
      <c r="K955" s="36"/>
      <c r="L955" s="35"/>
      <c r="M955" s="34"/>
      <c r="N955" s="35"/>
      <c r="O955" s="36"/>
      <c r="P955" s="32" t="str">
        <f aca="false">IF($J955="","",$J955-WEEKDAY($J955,3))</f>
        <v/>
      </c>
      <c r="Q955" s="32" t="str">
        <f aca="false">IF($J955="","",IF($K955="",$J955,$K955))</f>
        <v/>
      </c>
      <c r="R955" s="28" t="str">
        <f aca="false">IF($E955="","",IF(OR($N955&lt;&gt;"Concluída",$O955="",$J955=""),0,IF($O955&lt;=$J955,1,0)))</f>
        <v/>
      </c>
      <c r="S955" s="28" t="str">
        <f aca="false">IF($E955="","",IF(OR($N955&lt;&gt;"Concluída",$O955="",$Q955=""),0,IF($O955&lt;=$Q955,1,0)))</f>
        <v/>
      </c>
      <c r="T955" s="28" t="str">
        <f aca="false">IF(OR($J955="",$N955&lt;&gt;"Concluída",$O955=""),"",MAX(0,$O955-$J955))</f>
        <v/>
      </c>
      <c r="U955" s="33" t="str">
        <f aca="true">IF($E955="","",IF($N955="Cancelada","Cancelada",IF($N955="Concluída",IF($R955=1,"No prazo","Concluída com atraso"),IF($J955="","Na carteira",IF($J955&lt;TODAY(),"VENCIDA",IF($J955=TODAY(),"Hoje","Programada"))))))</f>
        <v/>
      </c>
    </row>
    <row r="956" customFormat="false" ht="15.75" hidden="false" customHeight="true" outlineLevel="0" collapsed="false">
      <c r="A956" s="28" t="str">
        <f aca="false">IF($E956="","",COUNTA($E$4:$E956))</f>
        <v/>
      </c>
      <c r="B956" s="29"/>
      <c r="C956" s="29"/>
      <c r="D956" s="29"/>
      <c r="E956" s="29"/>
      <c r="F956" s="30"/>
      <c r="G956" s="29"/>
      <c r="H956" s="30"/>
      <c r="I956" s="29"/>
      <c r="J956" s="31"/>
      <c r="K956" s="31"/>
      <c r="L956" s="30"/>
      <c r="M956" s="29"/>
      <c r="N956" s="30"/>
      <c r="O956" s="31"/>
      <c r="P956" s="32" t="str">
        <f aca="false">IF($J956="","",$J956-WEEKDAY($J956,3))</f>
        <v/>
      </c>
      <c r="Q956" s="32" t="str">
        <f aca="false">IF($J956="","",IF($K956="",$J956,$K956))</f>
        <v/>
      </c>
      <c r="R956" s="28" t="str">
        <f aca="false">IF($E956="","",IF(OR($N956&lt;&gt;"Concluída",$O956="",$J956=""),0,IF($O956&lt;=$J956,1,0)))</f>
        <v/>
      </c>
      <c r="S956" s="28" t="str">
        <f aca="false">IF($E956="","",IF(OR($N956&lt;&gt;"Concluída",$O956="",$Q956=""),0,IF($O956&lt;=$Q956,1,0)))</f>
        <v/>
      </c>
      <c r="T956" s="28" t="str">
        <f aca="false">IF(OR($J956="",$N956&lt;&gt;"Concluída",$O956=""),"",MAX(0,$O956-$J956))</f>
        <v/>
      </c>
      <c r="U956" s="33" t="str">
        <f aca="true">IF($E956="","",IF($N956="Cancelada","Cancelada",IF($N956="Concluída",IF($R956=1,"No prazo","Concluída com atraso"),IF($J956="","Na carteira",IF($J956&lt;TODAY(),"VENCIDA",IF($J956=TODAY(),"Hoje","Programada"))))))</f>
        <v/>
      </c>
    </row>
    <row r="957" customFormat="false" ht="15.75" hidden="false" customHeight="true" outlineLevel="0" collapsed="false">
      <c r="A957" s="28" t="str">
        <f aca="false">IF($E957="","",COUNTA($E$4:$E957))</f>
        <v/>
      </c>
      <c r="B957" s="34"/>
      <c r="C957" s="34"/>
      <c r="D957" s="34"/>
      <c r="E957" s="34"/>
      <c r="F957" s="35"/>
      <c r="G957" s="34"/>
      <c r="H957" s="35"/>
      <c r="I957" s="34"/>
      <c r="J957" s="36"/>
      <c r="K957" s="36"/>
      <c r="L957" s="35"/>
      <c r="M957" s="34"/>
      <c r="N957" s="35"/>
      <c r="O957" s="36"/>
      <c r="P957" s="32" t="str">
        <f aca="false">IF($J957="","",$J957-WEEKDAY($J957,3))</f>
        <v/>
      </c>
      <c r="Q957" s="32" t="str">
        <f aca="false">IF($J957="","",IF($K957="",$J957,$K957))</f>
        <v/>
      </c>
      <c r="R957" s="28" t="str">
        <f aca="false">IF($E957="","",IF(OR($N957&lt;&gt;"Concluída",$O957="",$J957=""),0,IF($O957&lt;=$J957,1,0)))</f>
        <v/>
      </c>
      <c r="S957" s="28" t="str">
        <f aca="false">IF($E957="","",IF(OR($N957&lt;&gt;"Concluída",$O957="",$Q957=""),0,IF($O957&lt;=$Q957,1,0)))</f>
        <v/>
      </c>
      <c r="T957" s="28" t="str">
        <f aca="false">IF(OR($J957="",$N957&lt;&gt;"Concluída",$O957=""),"",MAX(0,$O957-$J957))</f>
        <v/>
      </c>
      <c r="U957" s="33" t="str">
        <f aca="true">IF($E957="","",IF($N957="Cancelada","Cancelada",IF($N957="Concluída",IF($R957=1,"No prazo","Concluída com atraso"),IF($J957="","Na carteira",IF($J957&lt;TODAY(),"VENCIDA",IF($J957=TODAY(),"Hoje","Programada"))))))</f>
        <v/>
      </c>
    </row>
    <row r="958" customFormat="false" ht="15.75" hidden="false" customHeight="true" outlineLevel="0" collapsed="false">
      <c r="A958" s="28" t="str">
        <f aca="false">IF($E958="","",COUNTA($E$4:$E958))</f>
        <v/>
      </c>
      <c r="B958" s="29"/>
      <c r="C958" s="29"/>
      <c r="D958" s="29"/>
      <c r="E958" s="29"/>
      <c r="F958" s="30"/>
      <c r="G958" s="29"/>
      <c r="H958" s="30"/>
      <c r="I958" s="29"/>
      <c r="J958" s="31"/>
      <c r="K958" s="31"/>
      <c r="L958" s="30"/>
      <c r="M958" s="29"/>
      <c r="N958" s="30"/>
      <c r="O958" s="31"/>
      <c r="P958" s="32" t="str">
        <f aca="false">IF($J958="","",$J958-WEEKDAY($J958,3))</f>
        <v/>
      </c>
      <c r="Q958" s="32" t="str">
        <f aca="false">IF($J958="","",IF($K958="",$J958,$K958))</f>
        <v/>
      </c>
      <c r="R958" s="28" t="str">
        <f aca="false">IF($E958="","",IF(OR($N958&lt;&gt;"Concluída",$O958="",$J958=""),0,IF($O958&lt;=$J958,1,0)))</f>
        <v/>
      </c>
      <c r="S958" s="28" t="str">
        <f aca="false">IF($E958="","",IF(OR($N958&lt;&gt;"Concluída",$O958="",$Q958=""),0,IF($O958&lt;=$Q958,1,0)))</f>
        <v/>
      </c>
      <c r="T958" s="28" t="str">
        <f aca="false">IF(OR($J958="",$N958&lt;&gt;"Concluída",$O958=""),"",MAX(0,$O958-$J958))</f>
        <v/>
      </c>
      <c r="U958" s="33" t="str">
        <f aca="true">IF($E958="","",IF($N958="Cancelada","Cancelada",IF($N958="Concluída",IF($R958=1,"No prazo","Concluída com atraso"),IF($J958="","Na carteira",IF($J958&lt;TODAY(),"VENCIDA",IF($J958=TODAY(),"Hoje","Programada"))))))</f>
        <v/>
      </c>
    </row>
    <row r="959" customFormat="false" ht="15.75" hidden="false" customHeight="true" outlineLevel="0" collapsed="false">
      <c r="A959" s="28" t="str">
        <f aca="false">IF($E959="","",COUNTA($E$4:$E959))</f>
        <v/>
      </c>
      <c r="B959" s="34"/>
      <c r="C959" s="34"/>
      <c r="D959" s="34"/>
      <c r="E959" s="34"/>
      <c r="F959" s="35"/>
      <c r="G959" s="34"/>
      <c r="H959" s="35"/>
      <c r="I959" s="34"/>
      <c r="J959" s="36"/>
      <c r="K959" s="36"/>
      <c r="L959" s="35"/>
      <c r="M959" s="34"/>
      <c r="N959" s="35"/>
      <c r="O959" s="36"/>
      <c r="P959" s="32" t="str">
        <f aca="false">IF($J959="","",$J959-WEEKDAY($J959,3))</f>
        <v/>
      </c>
      <c r="Q959" s="32" t="str">
        <f aca="false">IF($J959="","",IF($K959="",$J959,$K959))</f>
        <v/>
      </c>
      <c r="R959" s="28" t="str">
        <f aca="false">IF($E959="","",IF(OR($N959&lt;&gt;"Concluída",$O959="",$J959=""),0,IF($O959&lt;=$J959,1,0)))</f>
        <v/>
      </c>
      <c r="S959" s="28" t="str">
        <f aca="false">IF($E959="","",IF(OR($N959&lt;&gt;"Concluída",$O959="",$Q959=""),0,IF($O959&lt;=$Q959,1,0)))</f>
        <v/>
      </c>
      <c r="T959" s="28" t="str">
        <f aca="false">IF(OR($J959="",$N959&lt;&gt;"Concluída",$O959=""),"",MAX(0,$O959-$J959))</f>
        <v/>
      </c>
      <c r="U959" s="33" t="str">
        <f aca="true">IF($E959="","",IF($N959="Cancelada","Cancelada",IF($N959="Concluída",IF($R959=1,"No prazo","Concluída com atraso"),IF($J959="","Na carteira",IF($J959&lt;TODAY(),"VENCIDA",IF($J959=TODAY(),"Hoje","Programada"))))))</f>
        <v/>
      </c>
    </row>
    <row r="960" customFormat="false" ht="15.75" hidden="false" customHeight="true" outlineLevel="0" collapsed="false">
      <c r="A960" s="28" t="str">
        <f aca="false">IF($E960="","",COUNTA($E$4:$E960))</f>
        <v/>
      </c>
      <c r="B960" s="29"/>
      <c r="C960" s="29"/>
      <c r="D960" s="29"/>
      <c r="E960" s="29"/>
      <c r="F960" s="30"/>
      <c r="G960" s="29"/>
      <c r="H960" s="30"/>
      <c r="I960" s="29"/>
      <c r="J960" s="31"/>
      <c r="K960" s="31"/>
      <c r="L960" s="30"/>
      <c r="M960" s="29"/>
      <c r="N960" s="30"/>
      <c r="O960" s="31"/>
      <c r="P960" s="32" t="str">
        <f aca="false">IF($J960="","",$J960-WEEKDAY($J960,3))</f>
        <v/>
      </c>
      <c r="Q960" s="32" t="str">
        <f aca="false">IF($J960="","",IF($K960="",$J960,$K960))</f>
        <v/>
      </c>
      <c r="R960" s="28" t="str">
        <f aca="false">IF($E960="","",IF(OR($N960&lt;&gt;"Concluída",$O960="",$J960=""),0,IF($O960&lt;=$J960,1,0)))</f>
        <v/>
      </c>
      <c r="S960" s="28" t="str">
        <f aca="false">IF($E960="","",IF(OR($N960&lt;&gt;"Concluída",$O960="",$Q960=""),0,IF($O960&lt;=$Q960,1,0)))</f>
        <v/>
      </c>
      <c r="T960" s="28" t="str">
        <f aca="false">IF(OR($J960="",$N960&lt;&gt;"Concluída",$O960=""),"",MAX(0,$O960-$J960))</f>
        <v/>
      </c>
      <c r="U960" s="33" t="str">
        <f aca="true">IF($E960="","",IF($N960="Cancelada","Cancelada",IF($N960="Concluída",IF($R960=1,"No prazo","Concluída com atraso"),IF($J960="","Na carteira",IF($J960&lt;TODAY(),"VENCIDA",IF($J960=TODAY(),"Hoje","Programada"))))))</f>
        <v/>
      </c>
    </row>
    <row r="961" customFormat="false" ht="15.75" hidden="false" customHeight="true" outlineLevel="0" collapsed="false">
      <c r="A961" s="28" t="str">
        <f aca="false">IF($E961="","",COUNTA($E$4:$E961))</f>
        <v/>
      </c>
      <c r="B961" s="34"/>
      <c r="C961" s="34"/>
      <c r="D961" s="34"/>
      <c r="E961" s="34"/>
      <c r="F961" s="35"/>
      <c r="G961" s="34"/>
      <c r="H961" s="35"/>
      <c r="I961" s="34"/>
      <c r="J961" s="36"/>
      <c r="K961" s="36"/>
      <c r="L961" s="35"/>
      <c r="M961" s="34"/>
      <c r="N961" s="35"/>
      <c r="O961" s="36"/>
      <c r="P961" s="32" t="str">
        <f aca="false">IF($J961="","",$J961-WEEKDAY($J961,3))</f>
        <v/>
      </c>
      <c r="Q961" s="32" t="str">
        <f aca="false">IF($J961="","",IF($K961="",$J961,$K961))</f>
        <v/>
      </c>
      <c r="R961" s="28" t="str">
        <f aca="false">IF($E961="","",IF(OR($N961&lt;&gt;"Concluída",$O961="",$J961=""),0,IF($O961&lt;=$J961,1,0)))</f>
        <v/>
      </c>
      <c r="S961" s="28" t="str">
        <f aca="false">IF($E961="","",IF(OR($N961&lt;&gt;"Concluída",$O961="",$Q961=""),0,IF($O961&lt;=$Q961,1,0)))</f>
        <v/>
      </c>
      <c r="T961" s="28" t="str">
        <f aca="false">IF(OR($J961="",$N961&lt;&gt;"Concluída",$O961=""),"",MAX(0,$O961-$J961))</f>
        <v/>
      </c>
      <c r="U961" s="33" t="str">
        <f aca="true">IF($E961="","",IF($N961="Cancelada","Cancelada",IF($N961="Concluída",IF($R961=1,"No prazo","Concluída com atraso"),IF($J961="","Na carteira",IF($J961&lt;TODAY(),"VENCIDA",IF($J961=TODAY(),"Hoje","Programada"))))))</f>
        <v/>
      </c>
    </row>
    <row r="962" customFormat="false" ht="15.75" hidden="false" customHeight="true" outlineLevel="0" collapsed="false">
      <c r="A962" s="28" t="str">
        <f aca="false">IF($E962="","",COUNTA($E$4:$E962))</f>
        <v/>
      </c>
      <c r="B962" s="29"/>
      <c r="C962" s="29"/>
      <c r="D962" s="29"/>
      <c r="E962" s="29"/>
      <c r="F962" s="30"/>
      <c r="G962" s="29"/>
      <c r="H962" s="30"/>
      <c r="I962" s="29"/>
      <c r="J962" s="31"/>
      <c r="K962" s="31"/>
      <c r="L962" s="30"/>
      <c r="M962" s="29"/>
      <c r="N962" s="30"/>
      <c r="O962" s="31"/>
      <c r="P962" s="32" t="str">
        <f aca="false">IF($J962="","",$J962-WEEKDAY($J962,3))</f>
        <v/>
      </c>
      <c r="Q962" s="32" t="str">
        <f aca="false">IF($J962="","",IF($K962="",$J962,$K962))</f>
        <v/>
      </c>
      <c r="R962" s="28" t="str">
        <f aca="false">IF($E962="","",IF(OR($N962&lt;&gt;"Concluída",$O962="",$J962=""),0,IF($O962&lt;=$J962,1,0)))</f>
        <v/>
      </c>
      <c r="S962" s="28" t="str">
        <f aca="false">IF($E962="","",IF(OR($N962&lt;&gt;"Concluída",$O962="",$Q962=""),0,IF($O962&lt;=$Q962,1,0)))</f>
        <v/>
      </c>
      <c r="T962" s="28" t="str">
        <f aca="false">IF(OR($J962="",$N962&lt;&gt;"Concluída",$O962=""),"",MAX(0,$O962-$J962))</f>
        <v/>
      </c>
      <c r="U962" s="33" t="str">
        <f aca="true">IF($E962="","",IF($N962="Cancelada","Cancelada",IF($N962="Concluída",IF($R962=1,"No prazo","Concluída com atraso"),IF($J962="","Na carteira",IF($J962&lt;TODAY(),"VENCIDA",IF($J962=TODAY(),"Hoje","Programada"))))))</f>
        <v/>
      </c>
    </row>
    <row r="963" customFormat="false" ht="15.75" hidden="false" customHeight="true" outlineLevel="0" collapsed="false">
      <c r="A963" s="28" t="str">
        <f aca="false">IF($E963="","",COUNTA($E$4:$E963))</f>
        <v/>
      </c>
      <c r="B963" s="34"/>
      <c r="C963" s="34"/>
      <c r="D963" s="34"/>
      <c r="E963" s="34"/>
      <c r="F963" s="35"/>
      <c r="G963" s="34"/>
      <c r="H963" s="35"/>
      <c r="I963" s="34"/>
      <c r="J963" s="36"/>
      <c r="K963" s="36"/>
      <c r="L963" s="35"/>
      <c r="M963" s="34"/>
      <c r="N963" s="35"/>
      <c r="O963" s="36"/>
      <c r="P963" s="32" t="str">
        <f aca="false">IF($J963="","",$J963-WEEKDAY($J963,3))</f>
        <v/>
      </c>
      <c r="Q963" s="32" t="str">
        <f aca="false">IF($J963="","",IF($K963="",$J963,$K963))</f>
        <v/>
      </c>
      <c r="R963" s="28" t="str">
        <f aca="false">IF($E963="","",IF(OR($N963&lt;&gt;"Concluída",$O963="",$J963=""),0,IF($O963&lt;=$J963,1,0)))</f>
        <v/>
      </c>
      <c r="S963" s="28" t="str">
        <f aca="false">IF($E963="","",IF(OR($N963&lt;&gt;"Concluída",$O963="",$Q963=""),0,IF($O963&lt;=$Q963,1,0)))</f>
        <v/>
      </c>
      <c r="T963" s="28" t="str">
        <f aca="false">IF(OR($J963="",$N963&lt;&gt;"Concluída",$O963=""),"",MAX(0,$O963-$J963))</f>
        <v/>
      </c>
      <c r="U963" s="33" t="str">
        <f aca="true">IF($E963="","",IF($N963="Cancelada","Cancelada",IF($N963="Concluída",IF($R963=1,"No prazo","Concluída com atraso"),IF($J963="","Na carteira",IF($J963&lt;TODAY(),"VENCIDA",IF($J963=TODAY(),"Hoje","Programada"))))))</f>
        <v/>
      </c>
    </row>
    <row r="964" customFormat="false" ht="15.75" hidden="false" customHeight="true" outlineLevel="0" collapsed="false">
      <c r="A964" s="28" t="str">
        <f aca="false">IF($E964="","",COUNTA($E$4:$E964))</f>
        <v/>
      </c>
      <c r="B964" s="29"/>
      <c r="C964" s="29"/>
      <c r="D964" s="29"/>
      <c r="E964" s="29"/>
      <c r="F964" s="30"/>
      <c r="G964" s="29"/>
      <c r="H964" s="30"/>
      <c r="I964" s="29"/>
      <c r="J964" s="31"/>
      <c r="K964" s="31"/>
      <c r="L964" s="30"/>
      <c r="M964" s="29"/>
      <c r="N964" s="30"/>
      <c r="O964" s="31"/>
      <c r="P964" s="32" t="str">
        <f aca="false">IF($J964="","",$J964-WEEKDAY($J964,3))</f>
        <v/>
      </c>
      <c r="Q964" s="32" t="str">
        <f aca="false">IF($J964="","",IF($K964="",$J964,$K964))</f>
        <v/>
      </c>
      <c r="R964" s="28" t="str">
        <f aca="false">IF($E964="","",IF(OR($N964&lt;&gt;"Concluída",$O964="",$J964=""),0,IF($O964&lt;=$J964,1,0)))</f>
        <v/>
      </c>
      <c r="S964" s="28" t="str">
        <f aca="false">IF($E964="","",IF(OR($N964&lt;&gt;"Concluída",$O964="",$Q964=""),0,IF($O964&lt;=$Q964,1,0)))</f>
        <v/>
      </c>
      <c r="T964" s="28" t="str">
        <f aca="false">IF(OR($J964="",$N964&lt;&gt;"Concluída",$O964=""),"",MAX(0,$O964-$J964))</f>
        <v/>
      </c>
      <c r="U964" s="33" t="str">
        <f aca="true">IF($E964="","",IF($N964="Cancelada","Cancelada",IF($N964="Concluída",IF($R964=1,"No prazo","Concluída com atraso"),IF($J964="","Na carteira",IF($J964&lt;TODAY(),"VENCIDA",IF($J964=TODAY(),"Hoje","Programada"))))))</f>
        <v/>
      </c>
    </row>
    <row r="965" customFormat="false" ht="15.75" hidden="false" customHeight="true" outlineLevel="0" collapsed="false">
      <c r="A965" s="28" t="str">
        <f aca="false">IF($E965="","",COUNTA($E$4:$E965))</f>
        <v/>
      </c>
      <c r="B965" s="34"/>
      <c r="C965" s="34"/>
      <c r="D965" s="34"/>
      <c r="E965" s="34"/>
      <c r="F965" s="35"/>
      <c r="G965" s="34"/>
      <c r="H965" s="35"/>
      <c r="I965" s="34"/>
      <c r="J965" s="36"/>
      <c r="K965" s="36"/>
      <c r="L965" s="35"/>
      <c r="M965" s="34"/>
      <c r="N965" s="35"/>
      <c r="O965" s="36"/>
      <c r="P965" s="32" t="str">
        <f aca="false">IF($J965="","",$J965-WEEKDAY($J965,3))</f>
        <v/>
      </c>
      <c r="Q965" s="32" t="str">
        <f aca="false">IF($J965="","",IF($K965="",$J965,$K965))</f>
        <v/>
      </c>
      <c r="R965" s="28" t="str">
        <f aca="false">IF($E965="","",IF(OR($N965&lt;&gt;"Concluída",$O965="",$J965=""),0,IF($O965&lt;=$J965,1,0)))</f>
        <v/>
      </c>
      <c r="S965" s="28" t="str">
        <f aca="false">IF($E965="","",IF(OR($N965&lt;&gt;"Concluída",$O965="",$Q965=""),0,IF($O965&lt;=$Q965,1,0)))</f>
        <v/>
      </c>
      <c r="T965" s="28" t="str">
        <f aca="false">IF(OR($J965="",$N965&lt;&gt;"Concluída",$O965=""),"",MAX(0,$O965-$J965))</f>
        <v/>
      </c>
      <c r="U965" s="33" t="str">
        <f aca="true">IF($E965="","",IF($N965="Cancelada","Cancelada",IF($N965="Concluída",IF($R965=1,"No prazo","Concluída com atraso"),IF($J965="","Na carteira",IF($J965&lt;TODAY(),"VENCIDA",IF($J965=TODAY(),"Hoje","Programada"))))))</f>
        <v/>
      </c>
    </row>
    <row r="966" customFormat="false" ht="15.75" hidden="false" customHeight="true" outlineLevel="0" collapsed="false">
      <c r="A966" s="28" t="str">
        <f aca="false">IF($E966="","",COUNTA($E$4:$E966))</f>
        <v/>
      </c>
      <c r="B966" s="29"/>
      <c r="C966" s="29"/>
      <c r="D966" s="29"/>
      <c r="E966" s="29"/>
      <c r="F966" s="30"/>
      <c r="G966" s="29"/>
      <c r="H966" s="30"/>
      <c r="I966" s="29"/>
      <c r="J966" s="31"/>
      <c r="K966" s="31"/>
      <c r="L966" s="30"/>
      <c r="M966" s="29"/>
      <c r="N966" s="30"/>
      <c r="O966" s="31"/>
      <c r="P966" s="32" t="str">
        <f aca="false">IF($J966="","",$J966-WEEKDAY($J966,3))</f>
        <v/>
      </c>
      <c r="Q966" s="32" t="str">
        <f aca="false">IF($J966="","",IF($K966="",$J966,$K966))</f>
        <v/>
      </c>
      <c r="R966" s="28" t="str">
        <f aca="false">IF($E966="","",IF(OR($N966&lt;&gt;"Concluída",$O966="",$J966=""),0,IF($O966&lt;=$J966,1,0)))</f>
        <v/>
      </c>
      <c r="S966" s="28" t="str">
        <f aca="false">IF($E966="","",IF(OR($N966&lt;&gt;"Concluída",$O966="",$Q966=""),0,IF($O966&lt;=$Q966,1,0)))</f>
        <v/>
      </c>
      <c r="T966" s="28" t="str">
        <f aca="false">IF(OR($J966="",$N966&lt;&gt;"Concluída",$O966=""),"",MAX(0,$O966-$J966))</f>
        <v/>
      </c>
      <c r="U966" s="33" t="str">
        <f aca="true">IF($E966="","",IF($N966="Cancelada","Cancelada",IF($N966="Concluída",IF($R966=1,"No prazo","Concluída com atraso"),IF($J966="","Na carteira",IF($J966&lt;TODAY(),"VENCIDA",IF($J966=TODAY(),"Hoje","Programada"))))))</f>
        <v/>
      </c>
    </row>
    <row r="967" customFormat="false" ht="15.75" hidden="false" customHeight="true" outlineLevel="0" collapsed="false">
      <c r="A967" s="28" t="str">
        <f aca="false">IF($E967="","",COUNTA($E$4:$E967))</f>
        <v/>
      </c>
      <c r="B967" s="34"/>
      <c r="C967" s="34"/>
      <c r="D967" s="34"/>
      <c r="E967" s="34"/>
      <c r="F967" s="35"/>
      <c r="G967" s="34"/>
      <c r="H967" s="35"/>
      <c r="I967" s="34"/>
      <c r="J967" s="36"/>
      <c r="K967" s="36"/>
      <c r="L967" s="35"/>
      <c r="M967" s="34"/>
      <c r="N967" s="35"/>
      <c r="O967" s="36"/>
      <c r="P967" s="32" t="str">
        <f aca="false">IF($J967="","",$J967-WEEKDAY($J967,3))</f>
        <v/>
      </c>
      <c r="Q967" s="32" t="str">
        <f aca="false">IF($J967="","",IF($K967="",$J967,$K967))</f>
        <v/>
      </c>
      <c r="R967" s="28" t="str">
        <f aca="false">IF($E967="","",IF(OR($N967&lt;&gt;"Concluída",$O967="",$J967=""),0,IF($O967&lt;=$J967,1,0)))</f>
        <v/>
      </c>
      <c r="S967" s="28" t="str">
        <f aca="false">IF($E967="","",IF(OR($N967&lt;&gt;"Concluída",$O967="",$Q967=""),0,IF($O967&lt;=$Q967,1,0)))</f>
        <v/>
      </c>
      <c r="T967" s="28" t="str">
        <f aca="false">IF(OR($J967="",$N967&lt;&gt;"Concluída",$O967=""),"",MAX(0,$O967-$J967))</f>
        <v/>
      </c>
      <c r="U967" s="33" t="str">
        <f aca="true">IF($E967="","",IF($N967="Cancelada","Cancelada",IF($N967="Concluída",IF($R967=1,"No prazo","Concluída com atraso"),IF($J967="","Na carteira",IF($J967&lt;TODAY(),"VENCIDA",IF($J967=TODAY(),"Hoje","Programada"))))))</f>
        <v/>
      </c>
    </row>
    <row r="968" customFormat="false" ht="15.75" hidden="false" customHeight="true" outlineLevel="0" collapsed="false">
      <c r="A968" s="28" t="str">
        <f aca="false">IF($E968="","",COUNTA($E$4:$E968))</f>
        <v/>
      </c>
      <c r="B968" s="29"/>
      <c r="C968" s="29"/>
      <c r="D968" s="29"/>
      <c r="E968" s="29"/>
      <c r="F968" s="30"/>
      <c r="G968" s="29"/>
      <c r="H968" s="30"/>
      <c r="I968" s="29"/>
      <c r="J968" s="31"/>
      <c r="K968" s="31"/>
      <c r="L968" s="30"/>
      <c r="M968" s="29"/>
      <c r="N968" s="30"/>
      <c r="O968" s="31"/>
      <c r="P968" s="32" t="str">
        <f aca="false">IF($J968="","",$J968-WEEKDAY($J968,3))</f>
        <v/>
      </c>
      <c r="Q968" s="32" t="str">
        <f aca="false">IF($J968="","",IF($K968="",$J968,$K968))</f>
        <v/>
      </c>
      <c r="R968" s="28" t="str">
        <f aca="false">IF($E968="","",IF(OR($N968&lt;&gt;"Concluída",$O968="",$J968=""),0,IF($O968&lt;=$J968,1,0)))</f>
        <v/>
      </c>
      <c r="S968" s="28" t="str">
        <f aca="false">IF($E968="","",IF(OR($N968&lt;&gt;"Concluída",$O968="",$Q968=""),0,IF($O968&lt;=$Q968,1,0)))</f>
        <v/>
      </c>
      <c r="T968" s="28" t="str">
        <f aca="false">IF(OR($J968="",$N968&lt;&gt;"Concluída",$O968=""),"",MAX(0,$O968-$J968))</f>
        <v/>
      </c>
      <c r="U968" s="33" t="str">
        <f aca="true">IF($E968="","",IF($N968="Cancelada","Cancelada",IF($N968="Concluída",IF($R968=1,"No prazo","Concluída com atraso"),IF($J968="","Na carteira",IF($J968&lt;TODAY(),"VENCIDA",IF($J968=TODAY(),"Hoje","Programada"))))))</f>
        <v/>
      </c>
    </row>
    <row r="969" customFormat="false" ht="15.75" hidden="false" customHeight="true" outlineLevel="0" collapsed="false">
      <c r="A969" s="28" t="str">
        <f aca="false">IF($E969="","",COUNTA($E$4:$E969))</f>
        <v/>
      </c>
      <c r="B969" s="34"/>
      <c r="C969" s="34"/>
      <c r="D969" s="34"/>
      <c r="E969" s="34"/>
      <c r="F969" s="35"/>
      <c r="G969" s="34"/>
      <c r="H969" s="35"/>
      <c r="I969" s="34"/>
      <c r="J969" s="36"/>
      <c r="K969" s="36"/>
      <c r="L969" s="35"/>
      <c r="M969" s="34"/>
      <c r="N969" s="35"/>
      <c r="O969" s="36"/>
      <c r="P969" s="32" t="str">
        <f aca="false">IF($J969="","",$J969-WEEKDAY($J969,3))</f>
        <v/>
      </c>
      <c r="Q969" s="32" t="str">
        <f aca="false">IF($J969="","",IF($K969="",$J969,$K969))</f>
        <v/>
      </c>
      <c r="R969" s="28" t="str">
        <f aca="false">IF($E969="","",IF(OR($N969&lt;&gt;"Concluída",$O969="",$J969=""),0,IF($O969&lt;=$J969,1,0)))</f>
        <v/>
      </c>
      <c r="S969" s="28" t="str">
        <f aca="false">IF($E969="","",IF(OR($N969&lt;&gt;"Concluída",$O969="",$Q969=""),0,IF($O969&lt;=$Q969,1,0)))</f>
        <v/>
      </c>
      <c r="T969" s="28" t="str">
        <f aca="false">IF(OR($J969="",$N969&lt;&gt;"Concluída",$O969=""),"",MAX(0,$O969-$J969))</f>
        <v/>
      </c>
      <c r="U969" s="33" t="str">
        <f aca="true">IF($E969="","",IF($N969="Cancelada","Cancelada",IF($N969="Concluída",IF($R969=1,"No prazo","Concluída com atraso"),IF($J969="","Na carteira",IF($J969&lt;TODAY(),"VENCIDA",IF($J969=TODAY(),"Hoje","Programada"))))))</f>
        <v/>
      </c>
    </row>
    <row r="970" customFormat="false" ht="15.75" hidden="false" customHeight="true" outlineLevel="0" collapsed="false">
      <c r="A970" s="28" t="str">
        <f aca="false">IF($E970="","",COUNTA($E$4:$E970))</f>
        <v/>
      </c>
      <c r="B970" s="29"/>
      <c r="C970" s="29"/>
      <c r="D970" s="29"/>
      <c r="E970" s="29"/>
      <c r="F970" s="30"/>
      <c r="G970" s="29"/>
      <c r="H970" s="30"/>
      <c r="I970" s="29"/>
      <c r="J970" s="31"/>
      <c r="K970" s="31"/>
      <c r="L970" s="30"/>
      <c r="M970" s="29"/>
      <c r="N970" s="30"/>
      <c r="O970" s="31"/>
      <c r="P970" s="32" t="str">
        <f aca="false">IF($J970="","",$J970-WEEKDAY($J970,3))</f>
        <v/>
      </c>
      <c r="Q970" s="32" t="str">
        <f aca="false">IF($J970="","",IF($K970="",$J970,$K970))</f>
        <v/>
      </c>
      <c r="R970" s="28" t="str">
        <f aca="false">IF($E970="","",IF(OR($N970&lt;&gt;"Concluída",$O970="",$J970=""),0,IF($O970&lt;=$J970,1,0)))</f>
        <v/>
      </c>
      <c r="S970" s="28" t="str">
        <f aca="false">IF($E970="","",IF(OR($N970&lt;&gt;"Concluída",$O970="",$Q970=""),0,IF($O970&lt;=$Q970,1,0)))</f>
        <v/>
      </c>
      <c r="T970" s="28" t="str">
        <f aca="false">IF(OR($J970="",$N970&lt;&gt;"Concluída",$O970=""),"",MAX(0,$O970-$J970))</f>
        <v/>
      </c>
      <c r="U970" s="33" t="str">
        <f aca="true">IF($E970="","",IF($N970="Cancelada","Cancelada",IF($N970="Concluída",IF($R970=1,"No prazo","Concluída com atraso"),IF($J970="","Na carteira",IF($J970&lt;TODAY(),"VENCIDA",IF($J970=TODAY(),"Hoje","Programada"))))))</f>
        <v/>
      </c>
    </row>
    <row r="971" customFormat="false" ht="15.75" hidden="false" customHeight="true" outlineLevel="0" collapsed="false">
      <c r="A971" s="28" t="str">
        <f aca="false">IF($E971="","",COUNTA($E$4:$E971))</f>
        <v/>
      </c>
      <c r="B971" s="34"/>
      <c r="C971" s="34"/>
      <c r="D971" s="34"/>
      <c r="E971" s="34"/>
      <c r="F971" s="35"/>
      <c r="G971" s="34"/>
      <c r="H971" s="35"/>
      <c r="I971" s="34"/>
      <c r="J971" s="36"/>
      <c r="K971" s="36"/>
      <c r="L971" s="35"/>
      <c r="M971" s="34"/>
      <c r="N971" s="35"/>
      <c r="O971" s="36"/>
      <c r="P971" s="32" t="str">
        <f aca="false">IF($J971="","",$J971-WEEKDAY($J971,3))</f>
        <v/>
      </c>
      <c r="Q971" s="32" t="str">
        <f aca="false">IF($J971="","",IF($K971="",$J971,$K971))</f>
        <v/>
      </c>
      <c r="R971" s="28" t="str">
        <f aca="false">IF($E971="","",IF(OR($N971&lt;&gt;"Concluída",$O971="",$J971=""),0,IF($O971&lt;=$J971,1,0)))</f>
        <v/>
      </c>
      <c r="S971" s="28" t="str">
        <f aca="false">IF($E971="","",IF(OR($N971&lt;&gt;"Concluída",$O971="",$Q971=""),0,IF($O971&lt;=$Q971,1,0)))</f>
        <v/>
      </c>
      <c r="T971" s="28" t="str">
        <f aca="false">IF(OR($J971="",$N971&lt;&gt;"Concluída",$O971=""),"",MAX(0,$O971-$J971))</f>
        <v/>
      </c>
      <c r="U971" s="33" t="str">
        <f aca="true">IF($E971="","",IF($N971="Cancelada","Cancelada",IF($N971="Concluída",IF($R971=1,"No prazo","Concluída com atraso"),IF($J971="","Na carteira",IF($J971&lt;TODAY(),"VENCIDA",IF($J971=TODAY(),"Hoje","Programada"))))))</f>
        <v/>
      </c>
    </row>
    <row r="972" customFormat="false" ht="15.75" hidden="false" customHeight="true" outlineLevel="0" collapsed="false">
      <c r="A972" s="28" t="str">
        <f aca="false">IF($E972="","",COUNTA($E$4:$E972))</f>
        <v/>
      </c>
      <c r="B972" s="29"/>
      <c r="C972" s="29"/>
      <c r="D972" s="29"/>
      <c r="E972" s="29"/>
      <c r="F972" s="30"/>
      <c r="G972" s="29"/>
      <c r="H972" s="30"/>
      <c r="I972" s="29"/>
      <c r="J972" s="31"/>
      <c r="K972" s="31"/>
      <c r="L972" s="30"/>
      <c r="M972" s="29"/>
      <c r="N972" s="30"/>
      <c r="O972" s="31"/>
      <c r="P972" s="32" t="str">
        <f aca="false">IF($J972="","",$J972-WEEKDAY($J972,3))</f>
        <v/>
      </c>
      <c r="Q972" s="32" t="str">
        <f aca="false">IF($J972="","",IF($K972="",$J972,$K972))</f>
        <v/>
      </c>
      <c r="R972" s="28" t="str">
        <f aca="false">IF($E972="","",IF(OR($N972&lt;&gt;"Concluída",$O972="",$J972=""),0,IF($O972&lt;=$J972,1,0)))</f>
        <v/>
      </c>
      <c r="S972" s="28" t="str">
        <f aca="false">IF($E972="","",IF(OR($N972&lt;&gt;"Concluída",$O972="",$Q972=""),0,IF($O972&lt;=$Q972,1,0)))</f>
        <v/>
      </c>
      <c r="T972" s="28" t="str">
        <f aca="false">IF(OR($J972="",$N972&lt;&gt;"Concluída",$O972=""),"",MAX(0,$O972-$J972))</f>
        <v/>
      </c>
      <c r="U972" s="33" t="str">
        <f aca="true">IF($E972="","",IF($N972="Cancelada","Cancelada",IF($N972="Concluída",IF($R972=1,"No prazo","Concluída com atraso"),IF($J972="","Na carteira",IF($J972&lt;TODAY(),"VENCIDA",IF($J972=TODAY(),"Hoje","Programada"))))))</f>
        <v/>
      </c>
    </row>
    <row r="973" customFormat="false" ht="15.75" hidden="false" customHeight="true" outlineLevel="0" collapsed="false">
      <c r="A973" s="28" t="str">
        <f aca="false">IF($E973="","",COUNTA($E$4:$E973))</f>
        <v/>
      </c>
      <c r="B973" s="34"/>
      <c r="C973" s="34"/>
      <c r="D973" s="34"/>
      <c r="E973" s="34"/>
      <c r="F973" s="35"/>
      <c r="G973" s="34"/>
      <c r="H973" s="35"/>
      <c r="I973" s="34"/>
      <c r="J973" s="36"/>
      <c r="K973" s="36"/>
      <c r="L973" s="35"/>
      <c r="M973" s="34"/>
      <c r="N973" s="35"/>
      <c r="O973" s="36"/>
      <c r="P973" s="32" t="str">
        <f aca="false">IF($J973="","",$J973-WEEKDAY($J973,3))</f>
        <v/>
      </c>
      <c r="Q973" s="32" t="str">
        <f aca="false">IF($J973="","",IF($K973="",$J973,$K973))</f>
        <v/>
      </c>
      <c r="R973" s="28" t="str">
        <f aca="false">IF($E973="","",IF(OR($N973&lt;&gt;"Concluída",$O973="",$J973=""),0,IF($O973&lt;=$J973,1,0)))</f>
        <v/>
      </c>
      <c r="S973" s="28" t="str">
        <f aca="false">IF($E973="","",IF(OR($N973&lt;&gt;"Concluída",$O973="",$Q973=""),0,IF($O973&lt;=$Q973,1,0)))</f>
        <v/>
      </c>
      <c r="T973" s="28" t="str">
        <f aca="false">IF(OR($J973="",$N973&lt;&gt;"Concluída",$O973=""),"",MAX(0,$O973-$J973))</f>
        <v/>
      </c>
      <c r="U973" s="33" t="str">
        <f aca="true">IF($E973="","",IF($N973="Cancelada","Cancelada",IF($N973="Concluída",IF($R973=1,"No prazo","Concluída com atraso"),IF($J973="","Na carteira",IF($J973&lt;TODAY(),"VENCIDA",IF($J973=TODAY(),"Hoje","Programada"))))))</f>
        <v/>
      </c>
    </row>
    <row r="974" customFormat="false" ht="15.75" hidden="false" customHeight="true" outlineLevel="0" collapsed="false">
      <c r="A974" s="28" t="str">
        <f aca="false">IF($E974="","",COUNTA($E$4:$E974))</f>
        <v/>
      </c>
      <c r="B974" s="29"/>
      <c r="C974" s="29"/>
      <c r="D974" s="29"/>
      <c r="E974" s="29"/>
      <c r="F974" s="30"/>
      <c r="G974" s="29"/>
      <c r="H974" s="30"/>
      <c r="I974" s="29"/>
      <c r="J974" s="31"/>
      <c r="K974" s="31"/>
      <c r="L974" s="30"/>
      <c r="M974" s="29"/>
      <c r="N974" s="30"/>
      <c r="O974" s="31"/>
      <c r="P974" s="32" t="str">
        <f aca="false">IF($J974="","",$J974-WEEKDAY($J974,3))</f>
        <v/>
      </c>
      <c r="Q974" s="32" t="str">
        <f aca="false">IF($J974="","",IF($K974="",$J974,$K974))</f>
        <v/>
      </c>
      <c r="R974" s="28" t="str">
        <f aca="false">IF($E974="","",IF(OR($N974&lt;&gt;"Concluída",$O974="",$J974=""),0,IF($O974&lt;=$J974,1,0)))</f>
        <v/>
      </c>
      <c r="S974" s="28" t="str">
        <f aca="false">IF($E974="","",IF(OR($N974&lt;&gt;"Concluída",$O974="",$Q974=""),0,IF($O974&lt;=$Q974,1,0)))</f>
        <v/>
      </c>
      <c r="T974" s="28" t="str">
        <f aca="false">IF(OR($J974="",$N974&lt;&gt;"Concluída",$O974=""),"",MAX(0,$O974-$J974))</f>
        <v/>
      </c>
      <c r="U974" s="33" t="str">
        <f aca="true">IF($E974="","",IF($N974="Cancelada","Cancelada",IF($N974="Concluída",IF($R974=1,"No prazo","Concluída com atraso"),IF($J974="","Na carteira",IF($J974&lt;TODAY(),"VENCIDA",IF($J974=TODAY(),"Hoje","Programada"))))))</f>
        <v/>
      </c>
    </row>
    <row r="975" customFormat="false" ht="15.75" hidden="false" customHeight="true" outlineLevel="0" collapsed="false">
      <c r="A975" s="28" t="str">
        <f aca="false">IF($E975="","",COUNTA($E$4:$E975))</f>
        <v/>
      </c>
      <c r="B975" s="34"/>
      <c r="C975" s="34"/>
      <c r="D975" s="34"/>
      <c r="E975" s="34"/>
      <c r="F975" s="35"/>
      <c r="G975" s="34"/>
      <c r="H975" s="35"/>
      <c r="I975" s="34"/>
      <c r="J975" s="36"/>
      <c r="K975" s="36"/>
      <c r="L975" s="35"/>
      <c r="M975" s="34"/>
      <c r="N975" s="35"/>
      <c r="O975" s="36"/>
      <c r="P975" s="32" t="str">
        <f aca="false">IF($J975="","",$J975-WEEKDAY($J975,3))</f>
        <v/>
      </c>
      <c r="Q975" s="32" t="str">
        <f aca="false">IF($J975="","",IF($K975="",$J975,$K975))</f>
        <v/>
      </c>
      <c r="R975" s="28" t="str">
        <f aca="false">IF($E975="","",IF(OR($N975&lt;&gt;"Concluída",$O975="",$J975=""),0,IF($O975&lt;=$J975,1,0)))</f>
        <v/>
      </c>
      <c r="S975" s="28" t="str">
        <f aca="false">IF($E975="","",IF(OR($N975&lt;&gt;"Concluída",$O975="",$Q975=""),0,IF($O975&lt;=$Q975,1,0)))</f>
        <v/>
      </c>
      <c r="T975" s="28" t="str">
        <f aca="false">IF(OR($J975="",$N975&lt;&gt;"Concluída",$O975=""),"",MAX(0,$O975-$J975))</f>
        <v/>
      </c>
      <c r="U975" s="33" t="str">
        <f aca="true">IF($E975="","",IF($N975="Cancelada","Cancelada",IF($N975="Concluída",IF($R975=1,"No prazo","Concluída com atraso"),IF($J975="","Na carteira",IF($J975&lt;TODAY(),"VENCIDA",IF($J975=TODAY(),"Hoje","Programada"))))))</f>
        <v/>
      </c>
    </row>
    <row r="976" customFormat="false" ht="15.75" hidden="false" customHeight="true" outlineLevel="0" collapsed="false">
      <c r="A976" s="28" t="str">
        <f aca="false">IF($E976="","",COUNTA($E$4:$E976))</f>
        <v/>
      </c>
      <c r="B976" s="29"/>
      <c r="C976" s="29"/>
      <c r="D976" s="29"/>
      <c r="E976" s="29"/>
      <c r="F976" s="30"/>
      <c r="G976" s="29"/>
      <c r="H976" s="30"/>
      <c r="I976" s="29"/>
      <c r="J976" s="31"/>
      <c r="K976" s="31"/>
      <c r="L976" s="30"/>
      <c r="M976" s="29"/>
      <c r="N976" s="30"/>
      <c r="O976" s="31"/>
      <c r="P976" s="32" t="str">
        <f aca="false">IF($J976="","",$J976-WEEKDAY($J976,3))</f>
        <v/>
      </c>
      <c r="Q976" s="32" t="str">
        <f aca="false">IF($J976="","",IF($K976="",$J976,$K976))</f>
        <v/>
      </c>
      <c r="R976" s="28" t="str">
        <f aca="false">IF($E976="","",IF(OR($N976&lt;&gt;"Concluída",$O976="",$J976=""),0,IF($O976&lt;=$J976,1,0)))</f>
        <v/>
      </c>
      <c r="S976" s="28" t="str">
        <f aca="false">IF($E976="","",IF(OR($N976&lt;&gt;"Concluída",$O976="",$Q976=""),0,IF($O976&lt;=$Q976,1,0)))</f>
        <v/>
      </c>
      <c r="T976" s="28" t="str">
        <f aca="false">IF(OR($J976="",$N976&lt;&gt;"Concluída",$O976=""),"",MAX(0,$O976-$J976))</f>
        <v/>
      </c>
      <c r="U976" s="33" t="str">
        <f aca="true">IF($E976="","",IF($N976="Cancelada","Cancelada",IF($N976="Concluída",IF($R976=1,"No prazo","Concluída com atraso"),IF($J976="","Na carteira",IF($J976&lt;TODAY(),"VENCIDA",IF($J976=TODAY(),"Hoje","Programada"))))))</f>
        <v/>
      </c>
    </row>
    <row r="977" customFormat="false" ht="15.75" hidden="false" customHeight="true" outlineLevel="0" collapsed="false">
      <c r="A977" s="28" t="str">
        <f aca="false">IF($E977="","",COUNTA($E$4:$E977))</f>
        <v/>
      </c>
      <c r="B977" s="34"/>
      <c r="C977" s="34"/>
      <c r="D977" s="34"/>
      <c r="E977" s="34"/>
      <c r="F977" s="35"/>
      <c r="G977" s="34"/>
      <c r="H977" s="35"/>
      <c r="I977" s="34"/>
      <c r="J977" s="36"/>
      <c r="K977" s="36"/>
      <c r="L977" s="35"/>
      <c r="M977" s="34"/>
      <c r="N977" s="35"/>
      <c r="O977" s="36"/>
      <c r="P977" s="32" t="str">
        <f aca="false">IF($J977="","",$J977-WEEKDAY($J977,3))</f>
        <v/>
      </c>
      <c r="Q977" s="32" t="str">
        <f aca="false">IF($J977="","",IF($K977="",$J977,$K977))</f>
        <v/>
      </c>
      <c r="R977" s="28" t="str">
        <f aca="false">IF($E977="","",IF(OR($N977&lt;&gt;"Concluída",$O977="",$J977=""),0,IF($O977&lt;=$J977,1,0)))</f>
        <v/>
      </c>
      <c r="S977" s="28" t="str">
        <f aca="false">IF($E977="","",IF(OR($N977&lt;&gt;"Concluída",$O977="",$Q977=""),0,IF($O977&lt;=$Q977,1,0)))</f>
        <v/>
      </c>
      <c r="T977" s="28" t="str">
        <f aca="false">IF(OR($J977="",$N977&lt;&gt;"Concluída",$O977=""),"",MAX(0,$O977-$J977))</f>
        <v/>
      </c>
      <c r="U977" s="33" t="str">
        <f aca="true">IF($E977="","",IF($N977="Cancelada","Cancelada",IF($N977="Concluída",IF($R977=1,"No prazo","Concluída com atraso"),IF($J977="","Na carteira",IF($J977&lt;TODAY(),"VENCIDA",IF($J977=TODAY(),"Hoje","Programada"))))))</f>
        <v/>
      </c>
    </row>
    <row r="978" customFormat="false" ht="15.75" hidden="false" customHeight="true" outlineLevel="0" collapsed="false">
      <c r="A978" s="28" t="str">
        <f aca="false">IF($E978="","",COUNTA($E$4:$E978))</f>
        <v/>
      </c>
      <c r="B978" s="29"/>
      <c r="C978" s="29"/>
      <c r="D978" s="29"/>
      <c r="E978" s="29"/>
      <c r="F978" s="30"/>
      <c r="G978" s="29"/>
      <c r="H978" s="30"/>
      <c r="I978" s="29"/>
      <c r="J978" s="31"/>
      <c r="K978" s="31"/>
      <c r="L978" s="30"/>
      <c r="M978" s="29"/>
      <c r="N978" s="30"/>
      <c r="O978" s="31"/>
      <c r="P978" s="32" t="str">
        <f aca="false">IF($J978="","",$J978-WEEKDAY($J978,3))</f>
        <v/>
      </c>
      <c r="Q978" s="32" t="str">
        <f aca="false">IF($J978="","",IF($K978="",$J978,$K978))</f>
        <v/>
      </c>
      <c r="R978" s="28" t="str">
        <f aca="false">IF($E978="","",IF(OR($N978&lt;&gt;"Concluída",$O978="",$J978=""),0,IF($O978&lt;=$J978,1,0)))</f>
        <v/>
      </c>
      <c r="S978" s="28" t="str">
        <f aca="false">IF($E978="","",IF(OR($N978&lt;&gt;"Concluída",$O978="",$Q978=""),0,IF($O978&lt;=$Q978,1,0)))</f>
        <v/>
      </c>
      <c r="T978" s="28" t="str">
        <f aca="false">IF(OR($J978="",$N978&lt;&gt;"Concluída",$O978=""),"",MAX(0,$O978-$J978))</f>
        <v/>
      </c>
      <c r="U978" s="33" t="str">
        <f aca="true">IF($E978="","",IF($N978="Cancelada","Cancelada",IF($N978="Concluída",IF($R978=1,"No prazo","Concluída com atraso"),IF($J978="","Na carteira",IF($J978&lt;TODAY(),"VENCIDA",IF($J978=TODAY(),"Hoje","Programada"))))))</f>
        <v/>
      </c>
    </row>
    <row r="979" customFormat="false" ht="15.75" hidden="false" customHeight="true" outlineLevel="0" collapsed="false">
      <c r="A979" s="28" t="str">
        <f aca="false">IF($E979="","",COUNTA($E$4:$E979))</f>
        <v/>
      </c>
      <c r="B979" s="34"/>
      <c r="C979" s="34"/>
      <c r="D979" s="34"/>
      <c r="E979" s="34"/>
      <c r="F979" s="35"/>
      <c r="G979" s="34"/>
      <c r="H979" s="35"/>
      <c r="I979" s="34"/>
      <c r="J979" s="36"/>
      <c r="K979" s="36"/>
      <c r="L979" s="35"/>
      <c r="M979" s="34"/>
      <c r="N979" s="35"/>
      <c r="O979" s="36"/>
      <c r="P979" s="32" t="str">
        <f aca="false">IF($J979="","",$J979-WEEKDAY($J979,3))</f>
        <v/>
      </c>
      <c r="Q979" s="32" t="str">
        <f aca="false">IF($J979="","",IF($K979="",$J979,$K979))</f>
        <v/>
      </c>
      <c r="R979" s="28" t="str">
        <f aca="false">IF($E979="","",IF(OR($N979&lt;&gt;"Concluída",$O979="",$J979=""),0,IF($O979&lt;=$J979,1,0)))</f>
        <v/>
      </c>
      <c r="S979" s="28" t="str">
        <f aca="false">IF($E979="","",IF(OR($N979&lt;&gt;"Concluída",$O979="",$Q979=""),0,IF($O979&lt;=$Q979,1,0)))</f>
        <v/>
      </c>
      <c r="T979" s="28" t="str">
        <f aca="false">IF(OR($J979="",$N979&lt;&gt;"Concluída",$O979=""),"",MAX(0,$O979-$J979))</f>
        <v/>
      </c>
      <c r="U979" s="33" t="str">
        <f aca="true">IF($E979="","",IF($N979="Cancelada","Cancelada",IF($N979="Concluída",IF($R979=1,"No prazo","Concluída com atraso"),IF($J979="","Na carteira",IF($J979&lt;TODAY(),"VENCIDA",IF($J979=TODAY(),"Hoje","Programada"))))))</f>
        <v/>
      </c>
    </row>
    <row r="980" customFormat="false" ht="15.75" hidden="false" customHeight="true" outlineLevel="0" collapsed="false">
      <c r="A980" s="28" t="str">
        <f aca="false">IF($E980="","",COUNTA($E$4:$E980))</f>
        <v/>
      </c>
      <c r="B980" s="29"/>
      <c r="C980" s="29"/>
      <c r="D980" s="29"/>
      <c r="E980" s="29"/>
      <c r="F980" s="30"/>
      <c r="G980" s="29"/>
      <c r="H980" s="30"/>
      <c r="I980" s="29"/>
      <c r="J980" s="31"/>
      <c r="K980" s="31"/>
      <c r="L980" s="30"/>
      <c r="M980" s="29"/>
      <c r="N980" s="30"/>
      <c r="O980" s="31"/>
      <c r="P980" s="32" t="str">
        <f aca="false">IF($J980="","",$J980-WEEKDAY($J980,3))</f>
        <v/>
      </c>
      <c r="Q980" s="32" t="str">
        <f aca="false">IF($J980="","",IF($K980="",$J980,$K980))</f>
        <v/>
      </c>
      <c r="R980" s="28" t="str">
        <f aca="false">IF($E980="","",IF(OR($N980&lt;&gt;"Concluída",$O980="",$J980=""),0,IF($O980&lt;=$J980,1,0)))</f>
        <v/>
      </c>
      <c r="S980" s="28" t="str">
        <f aca="false">IF($E980="","",IF(OR($N980&lt;&gt;"Concluída",$O980="",$Q980=""),0,IF($O980&lt;=$Q980,1,0)))</f>
        <v/>
      </c>
      <c r="T980" s="28" t="str">
        <f aca="false">IF(OR($J980="",$N980&lt;&gt;"Concluída",$O980=""),"",MAX(0,$O980-$J980))</f>
        <v/>
      </c>
      <c r="U980" s="33" t="str">
        <f aca="true">IF($E980="","",IF($N980="Cancelada","Cancelada",IF($N980="Concluída",IF($R980=1,"No prazo","Concluída com atraso"),IF($J980="","Na carteira",IF($J980&lt;TODAY(),"VENCIDA",IF($J980=TODAY(),"Hoje","Programada"))))))</f>
        <v/>
      </c>
    </row>
    <row r="981" customFormat="false" ht="15.75" hidden="false" customHeight="true" outlineLevel="0" collapsed="false">
      <c r="A981" s="28" t="str">
        <f aca="false">IF($E981="","",COUNTA($E$4:$E981))</f>
        <v/>
      </c>
      <c r="B981" s="34"/>
      <c r="C981" s="34"/>
      <c r="D981" s="34"/>
      <c r="E981" s="34"/>
      <c r="F981" s="35"/>
      <c r="G981" s="34"/>
      <c r="H981" s="35"/>
      <c r="I981" s="34"/>
      <c r="J981" s="36"/>
      <c r="K981" s="36"/>
      <c r="L981" s="35"/>
      <c r="M981" s="34"/>
      <c r="N981" s="35"/>
      <c r="O981" s="36"/>
      <c r="P981" s="32" t="str">
        <f aca="false">IF($J981="","",$J981-WEEKDAY($J981,3))</f>
        <v/>
      </c>
      <c r="Q981" s="32" t="str">
        <f aca="false">IF($J981="","",IF($K981="",$J981,$K981))</f>
        <v/>
      </c>
      <c r="R981" s="28" t="str">
        <f aca="false">IF($E981="","",IF(OR($N981&lt;&gt;"Concluída",$O981="",$J981=""),0,IF($O981&lt;=$J981,1,0)))</f>
        <v/>
      </c>
      <c r="S981" s="28" t="str">
        <f aca="false">IF($E981="","",IF(OR($N981&lt;&gt;"Concluída",$O981="",$Q981=""),0,IF($O981&lt;=$Q981,1,0)))</f>
        <v/>
      </c>
      <c r="T981" s="28" t="str">
        <f aca="false">IF(OR($J981="",$N981&lt;&gt;"Concluída",$O981=""),"",MAX(0,$O981-$J981))</f>
        <v/>
      </c>
      <c r="U981" s="33" t="str">
        <f aca="true">IF($E981="","",IF($N981="Cancelada","Cancelada",IF($N981="Concluída",IF($R981=1,"No prazo","Concluída com atraso"),IF($J981="","Na carteira",IF($J981&lt;TODAY(),"VENCIDA",IF($J981=TODAY(),"Hoje","Programada"))))))</f>
        <v/>
      </c>
    </row>
    <row r="982" customFormat="false" ht="15.75" hidden="false" customHeight="true" outlineLevel="0" collapsed="false">
      <c r="A982" s="28" t="str">
        <f aca="false">IF($E982="","",COUNTA($E$4:$E982))</f>
        <v/>
      </c>
      <c r="B982" s="29"/>
      <c r="C982" s="29"/>
      <c r="D982" s="29"/>
      <c r="E982" s="29"/>
      <c r="F982" s="30"/>
      <c r="G982" s="29"/>
      <c r="H982" s="30"/>
      <c r="I982" s="29"/>
      <c r="J982" s="31"/>
      <c r="K982" s="31"/>
      <c r="L982" s="30"/>
      <c r="M982" s="29"/>
      <c r="N982" s="30"/>
      <c r="O982" s="31"/>
      <c r="P982" s="32" t="str">
        <f aca="false">IF($J982="","",$J982-WEEKDAY($J982,3))</f>
        <v/>
      </c>
      <c r="Q982" s="32" t="str">
        <f aca="false">IF($J982="","",IF($K982="",$J982,$K982))</f>
        <v/>
      </c>
      <c r="R982" s="28" t="str">
        <f aca="false">IF($E982="","",IF(OR($N982&lt;&gt;"Concluída",$O982="",$J982=""),0,IF($O982&lt;=$J982,1,0)))</f>
        <v/>
      </c>
      <c r="S982" s="28" t="str">
        <f aca="false">IF($E982="","",IF(OR($N982&lt;&gt;"Concluída",$O982="",$Q982=""),0,IF($O982&lt;=$Q982,1,0)))</f>
        <v/>
      </c>
      <c r="T982" s="28" t="str">
        <f aca="false">IF(OR($J982="",$N982&lt;&gt;"Concluída",$O982=""),"",MAX(0,$O982-$J982))</f>
        <v/>
      </c>
      <c r="U982" s="33" t="str">
        <f aca="true">IF($E982="","",IF($N982="Cancelada","Cancelada",IF($N982="Concluída",IF($R982=1,"No prazo","Concluída com atraso"),IF($J982="","Na carteira",IF($J982&lt;TODAY(),"VENCIDA",IF($J982=TODAY(),"Hoje","Programada"))))))</f>
        <v/>
      </c>
    </row>
    <row r="983" customFormat="false" ht="15.75" hidden="false" customHeight="true" outlineLevel="0" collapsed="false">
      <c r="A983" s="28" t="str">
        <f aca="false">IF($E983="","",COUNTA($E$4:$E983))</f>
        <v/>
      </c>
      <c r="B983" s="34"/>
      <c r="C983" s="34"/>
      <c r="D983" s="34"/>
      <c r="E983" s="34"/>
      <c r="F983" s="35"/>
      <c r="G983" s="34"/>
      <c r="H983" s="35"/>
      <c r="I983" s="34"/>
      <c r="J983" s="36"/>
      <c r="K983" s="36"/>
      <c r="L983" s="35"/>
      <c r="M983" s="34"/>
      <c r="N983" s="35"/>
      <c r="O983" s="36"/>
      <c r="P983" s="32" t="str">
        <f aca="false">IF($J983="","",$J983-WEEKDAY($J983,3))</f>
        <v/>
      </c>
      <c r="Q983" s="32" t="str">
        <f aca="false">IF($J983="","",IF($K983="",$J983,$K983))</f>
        <v/>
      </c>
      <c r="R983" s="28" t="str">
        <f aca="false">IF($E983="","",IF(OR($N983&lt;&gt;"Concluída",$O983="",$J983=""),0,IF($O983&lt;=$J983,1,0)))</f>
        <v/>
      </c>
      <c r="S983" s="28" t="str">
        <f aca="false">IF($E983="","",IF(OR($N983&lt;&gt;"Concluída",$O983="",$Q983=""),0,IF($O983&lt;=$Q983,1,0)))</f>
        <v/>
      </c>
      <c r="T983" s="28" t="str">
        <f aca="false">IF(OR($J983="",$N983&lt;&gt;"Concluída",$O983=""),"",MAX(0,$O983-$J983))</f>
        <v/>
      </c>
      <c r="U983" s="33" t="str">
        <f aca="true">IF($E983="","",IF($N983="Cancelada","Cancelada",IF($N983="Concluída",IF($R983=1,"No prazo","Concluída com atraso"),IF($J983="","Na carteira",IF($J983&lt;TODAY(),"VENCIDA",IF($J983=TODAY(),"Hoje","Programada"))))))</f>
        <v/>
      </c>
    </row>
    <row r="984" customFormat="false" ht="15.75" hidden="false" customHeight="true" outlineLevel="0" collapsed="false">
      <c r="A984" s="28" t="str">
        <f aca="false">IF($E984="","",COUNTA($E$4:$E984))</f>
        <v/>
      </c>
      <c r="B984" s="29"/>
      <c r="C984" s="29"/>
      <c r="D984" s="29"/>
      <c r="E984" s="29"/>
      <c r="F984" s="30"/>
      <c r="G984" s="29"/>
      <c r="H984" s="30"/>
      <c r="I984" s="29"/>
      <c r="J984" s="31"/>
      <c r="K984" s="31"/>
      <c r="L984" s="30"/>
      <c r="M984" s="29"/>
      <c r="N984" s="30"/>
      <c r="O984" s="31"/>
      <c r="P984" s="32" t="str">
        <f aca="false">IF($J984="","",$J984-WEEKDAY($J984,3))</f>
        <v/>
      </c>
      <c r="Q984" s="32" t="str">
        <f aca="false">IF($J984="","",IF($K984="",$J984,$K984))</f>
        <v/>
      </c>
      <c r="R984" s="28" t="str">
        <f aca="false">IF($E984="","",IF(OR($N984&lt;&gt;"Concluída",$O984="",$J984=""),0,IF($O984&lt;=$J984,1,0)))</f>
        <v/>
      </c>
      <c r="S984" s="28" t="str">
        <f aca="false">IF($E984="","",IF(OR($N984&lt;&gt;"Concluída",$O984="",$Q984=""),0,IF($O984&lt;=$Q984,1,0)))</f>
        <v/>
      </c>
      <c r="T984" s="28" t="str">
        <f aca="false">IF(OR($J984="",$N984&lt;&gt;"Concluída",$O984=""),"",MAX(0,$O984-$J984))</f>
        <v/>
      </c>
      <c r="U984" s="33" t="str">
        <f aca="true">IF($E984="","",IF($N984="Cancelada","Cancelada",IF($N984="Concluída",IF($R984=1,"No prazo","Concluída com atraso"),IF($J984="","Na carteira",IF($J984&lt;TODAY(),"VENCIDA",IF($J984=TODAY(),"Hoje","Programada"))))))</f>
        <v/>
      </c>
    </row>
    <row r="985" customFormat="false" ht="15.75" hidden="false" customHeight="true" outlineLevel="0" collapsed="false">
      <c r="A985" s="28" t="str">
        <f aca="false">IF($E985="","",COUNTA($E$4:$E985))</f>
        <v/>
      </c>
      <c r="B985" s="34"/>
      <c r="C985" s="34"/>
      <c r="D985" s="34"/>
      <c r="E985" s="34"/>
      <c r="F985" s="35"/>
      <c r="G985" s="34"/>
      <c r="H985" s="35"/>
      <c r="I985" s="34"/>
      <c r="J985" s="36"/>
      <c r="K985" s="36"/>
      <c r="L985" s="35"/>
      <c r="M985" s="34"/>
      <c r="N985" s="35"/>
      <c r="O985" s="36"/>
      <c r="P985" s="32" t="str">
        <f aca="false">IF($J985="","",$J985-WEEKDAY($J985,3))</f>
        <v/>
      </c>
      <c r="Q985" s="32" t="str">
        <f aca="false">IF($J985="","",IF($K985="",$J985,$K985))</f>
        <v/>
      </c>
      <c r="R985" s="28" t="str">
        <f aca="false">IF($E985="","",IF(OR($N985&lt;&gt;"Concluída",$O985="",$J985=""),0,IF($O985&lt;=$J985,1,0)))</f>
        <v/>
      </c>
      <c r="S985" s="28" t="str">
        <f aca="false">IF($E985="","",IF(OR($N985&lt;&gt;"Concluída",$O985="",$Q985=""),0,IF($O985&lt;=$Q985,1,0)))</f>
        <v/>
      </c>
      <c r="T985" s="28" t="str">
        <f aca="false">IF(OR($J985="",$N985&lt;&gt;"Concluída",$O985=""),"",MAX(0,$O985-$J985))</f>
        <v/>
      </c>
      <c r="U985" s="33" t="str">
        <f aca="true">IF($E985="","",IF($N985="Cancelada","Cancelada",IF($N985="Concluída",IF($R985=1,"No prazo","Concluída com atraso"),IF($J985="","Na carteira",IF($J985&lt;TODAY(),"VENCIDA",IF($J985=TODAY(),"Hoje","Programada"))))))</f>
        <v/>
      </c>
    </row>
    <row r="986" customFormat="false" ht="15.75" hidden="false" customHeight="true" outlineLevel="0" collapsed="false">
      <c r="A986" s="28" t="str">
        <f aca="false">IF($E986="","",COUNTA($E$4:$E986))</f>
        <v/>
      </c>
      <c r="B986" s="29"/>
      <c r="C986" s="29"/>
      <c r="D986" s="29"/>
      <c r="E986" s="29"/>
      <c r="F986" s="30"/>
      <c r="G986" s="29"/>
      <c r="H986" s="30"/>
      <c r="I986" s="29"/>
      <c r="J986" s="31"/>
      <c r="K986" s="31"/>
      <c r="L986" s="30"/>
      <c r="M986" s="29"/>
      <c r="N986" s="30"/>
      <c r="O986" s="31"/>
      <c r="P986" s="32" t="str">
        <f aca="false">IF($J986="","",$J986-WEEKDAY($J986,3))</f>
        <v/>
      </c>
      <c r="Q986" s="32" t="str">
        <f aca="false">IF($J986="","",IF($K986="",$J986,$K986))</f>
        <v/>
      </c>
      <c r="R986" s="28" t="str">
        <f aca="false">IF($E986="","",IF(OR($N986&lt;&gt;"Concluída",$O986="",$J986=""),0,IF($O986&lt;=$J986,1,0)))</f>
        <v/>
      </c>
      <c r="S986" s="28" t="str">
        <f aca="false">IF($E986="","",IF(OR($N986&lt;&gt;"Concluída",$O986="",$Q986=""),0,IF($O986&lt;=$Q986,1,0)))</f>
        <v/>
      </c>
      <c r="T986" s="28" t="str">
        <f aca="false">IF(OR($J986="",$N986&lt;&gt;"Concluída",$O986=""),"",MAX(0,$O986-$J986))</f>
        <v/>
      </c>
      <c r="U986" s="33" t="str">
        <f aca="true">IF($E986="","",IF($N986="Cancelada","Cancelada",IF($N986="Concluída",IF($R986=1,"No prazo","Concluída com atraso"),IF($J986="","Na carteira",IF($J986&lt;TODAY(),"VENCIDA",IF($J986=TODAY(),"Hoje","Programada"))))))</f>
        <v/>
      </c>
    </row>
    <row r="987" customFormat="false" ht="15.75" hidden="false" customHeight="true" outlineLevel="0" collapsed="false">
      <c r="A987" s="28" t="str">
        <f aca="false">IF($E987="","",COUNTA($E$4:$E987))</f>
        <v/>
      </c>
      <c r="B987" s="34"/>
      <c r="C987" s="34"/>
      <c r="D987" s="34"/>
      <c r="E987" s="34"/>
      <c r="F987" s="35"/>
      <c r="G987" s="34"/>
      <c r="H987" s="35"/>
      <c r="I987" s="34"/>
      <c r="J987" s="36"/>
      <c r="K987" s="36"/>
      <c r="L987" s="35"/>
      <c r="M987" s="34"/>
      <c r="N987" s="35"/>
      <c r="O987" s="36"/>
      <c r="P987" s="32" t="str">
        <f aca="false">IF($J987="","",$J987-WEEKDAY($J987,3))</f>
        <v/>
      </c>
      <c r="Q987" s="32" t="str">
        <f aca="false">IF($J987="","",IF($K987="",$J987,$K987))</f>
        <v/>
      </c>
      <c r="R987" s="28" t="str">
        <f aca="false">IF($E987="","",IF(OR($N987&lt;&gt;"Concluída",$O987="",$J987=""),0,IF($O987&lt;=$J987,1,0)))</f>
        <v/>
      </c>
      <c r="S987" s="28" t="str">
        <f aca="false">IF($E987="","",IF(OR($N987&lt;&gt;"Concluída",$O987="",$Q987=""),0,IF($O987&lt;=$Q987,1,0)))</f>
        <v/>
      </c>
      <c r="T987" s="28" t="str">
        <f aca="false">IF(OR($J987="",$N987&lt;&gt;"Concluída",$O987=""),"",MAX(0,$O987-$J987))</f>
        <v/>
      </c>
      <c r="U987" s="33" t="str">
        <f aca="true">IF($E987="","",IF($N987="Cancelada","Cancelada",IF($N987="Concluída",IF($R987=1,"No prazo","Concluída com atraso"),IF($J987="","Na carteira",IF($J987&lt;TODAY(),"VENCIDA",IF($J987=TODAY(),"Hoje","Programada"))))))</f>
        <v/>
      </c>
    </row>
    <row r="988" customFormat="false" ht="15.75" hidden="false" customHeight="true" outlineLevel="0" collapsed="false">
      <c r="A988" s="28" t="str">
        <f aca="false">IF($E988="","",COUNTA($E$4:$E988))</f>
        <v/>
      </c>
      <c r="B988" s="29"/>
      <c r="C988" s="29"/>
      <c r="D988" s="29"/>
      <c r="E988" s="29"/>
      <c r="F988" s="30"/>
      <c r="G988" s="29"/>
      <c r="H988" s="30"/>
      <c r="I988" s="29"/>
      <c r="J988" s="31"/>
      <c r="K988" s="31"/>
      <c r="L988" s="30"/>
      <c r="M988" s="29"/>
      <c r="N988" s="30"/>
      <c r="O988" s="31"/>
      <c r="P988" s="32" t="str">
        <f aca="false">IF($J988="","",$J988-WEEKDAY($J988,3))</f>
        <v/>
      </c>
      <c r="Q988" s="32" t="str">
        <f aca="false">IF($J988="","",IF($K988="",$J988,$K988))</f>
        <v/>
      </c>
      <c r="R988" s="28" t="str">
        <f aca="false">IF($E988="","",IF(OR($N988&lt;&gt;"Concluída",$O988="",$J988=""),0,IF($O988&lt;=$J988,1,0)))</f>
        <v/>
      </c>
      <c r="S988" s="28" t="str">
        <f aca="false">IF($E988="","",IF(OR($N988&lt;&gt;"Concluída",$O988="",$Q988=""),0,IF($O988&lt;=$Q988,1,0)))</f>
        <v/>
      </c>
      <c r="T988" s="28" t="str">
        <f aca="false">IF(OR($J988="",$N988&lt;&gt;"Concluída",$O988=""),"",MAX(0,$O988-$J988))</f>
        <v/>
      </c>
      <c r="U988" s="33" t="str">
        <f aca="true">IF($E988="","",IF($N988="Cancelada","Cancelada",IF($N988="Concluída",IF($R988=1,"No prazo","Concluída com atraso"),IF($J988="","Na carteira",IF($J988&lt;TODAY(),"VENCIDA",IF($J988=TODAY(),"Hoje","Programada"))))))</f>
        <v/>
      </c>
    </row>
    <row r="989" customFormat="false" ht="15.75" hidden="false" customHeight="true" outlineLevel="0" collapsed="false">
      <c r="A989" s="28" t="str">
        <f aca="false">IF($E989="","",COUNTA($E$4:$E989))</f>
        <v/>
      </c>
      <c r="B989" s="34"/>
      <c r="C989" s="34"/>
      <c r="D989" s="34"/>
      <c r="E989" s="34"/>
      <c r="F989" s="35"/>
      <c r="G989" s="34"/>
      <c r="H989" s="35"/>
      <c r="I989" s="34"/>
      <c r="J989" s="36"/>
      <c r="K989" s="36"/>
      <c r="L989" s="35"/>
      <c r="M989" s="34"/>
      <c r="N989" s="35"/>
      <c r="O989" s="36"/>
      <c r="P989" s="32" t="str">
        <f aca="false">IF($J989="","",$J989-WEEKDAY($J989,3))</f>
        <v/>
      </c>
      <c r="Q989" s="32" t="str">
        <f aca="false">IF($J989="","",IF($K989="",$J989,$K989))</f>
        <v/>
      </c>
      <c r="R989" s="28" t="str">
        <f aca="false">IF($E989="","",IF(OR($N989&lt;&gt;"Concluída",$O989="",$J989=""),0,IF($O989&lt;=$J989,1,0)))</f>
        <v/>
      </c>
      <c r="S989" s="28" t="str">
        <f aca="false">IF($E989="","",IF(OR($N989&lt;&gt;"Concluída",$O989="",$Q989=""),0,IF($O989&lt;=$Q989,1,0)))</f>
        <v/>
      </c>
      <c r="T989" s="28" t="str">
        <f aca="false">IF(OR($J989="",$N989&lt;&gt;"Concluída",$O989=""),"",MAX(0,$O989-$J989))</f>
        <v/>
      </c>
      <c r="U989" s="33" t="str">
        <f aca="true">IF($E989="","",IF($N989="Cancelada","Cancelada",IF($N989="Concluída",IF($R989=1,"No prazo","Concluída com atraso"),IF($J989="","Na carteira",IF($J989&lt;TODAY(),"VENCIDA",IF($J989=TODAY(),"Hoje","Programada"))))))</f>
        <v/>
      </c>
    </row>
    <row r="990" customFormat="false" ht="15.75" hidden="false" customHeight="true" outlineLevel="0" collapsed="false">
      <c r="A990" s="28" t="str">
        <f aca="false">IF($E990="","",COUNTA($E$4:$E990))</f>
        <v/>
      </c>
      <c r="B990" s="29"/>
      <c r="C990" s="29"/>
      <c r="D990" s="29"/>
      <c r="E990" s="29"/>
      <c r="F990" s="30"/>
      <c r="G990" s="29"/>
      <c r="H990" s="30"/>
      <c r="I990" s="29"/>
      <c r="J990" s="31"/>
      <c r="K990" s="31"/>
      <c r="L990" s="30"/>
      <c r="M990" s="29"/>
      <c r="N990" s="30"/>
      <c r="O990" s="31"/>
      <c r="P990" s="32" t="str">
        <f aca="false">IF($J990="","",$J990-WEEKDAY($J990,3))</f>
        <v/>
      </c>
      <c r="Q990" s="32" t="str">
        <f aca="false">IF($J990="","",IF($K990="",$J990,$K990))</f>
        <v/>
      </c>
      <c r="R990" s="28" t="str">
        <f aca="false">IF($E990="","",IF(OR($N990&lt;&gt;"Concluída",$O990="",$J990=""),0,IF($O990&lt;=$J990,1,0)))</f>
        <v/>
      </c>
      <c r="S990" s="28" t="str">
        <f aca="false">IF($E990="","",IF(OR($N990&lt;&gt;"Concluída",$O990="",$Q990=""),0,IF($O990&lt;=$Q990,1,0)))</f>
        <v/>
      </c>
      <c r="T990" s="28" t="str">
        <f aca="false">IF(OR($J990="",$N990&lt;&gt;"Concluída",$O990=""),"",MAX(0,$O990-$J990))</f>
        <v/>
      </c>
      <c r="U990" s="33" t="str">
        <f aca="true">IF($E990="","",IF($N990="Cancelada","Cancelada",IF($N990="Concluída",IF($R990=1,"No prazo","Concluída com atraso"),IF($J990="","Na carteira",IF($J990&lt;TODAY(),"VENCIDA",IF($J990=TODAY(),"Hoje","Programada"))))))</f>
        <v/>
      </c>
    </row>
    <row r="991" customFormat="false" ht="15.75" hidden="false" customHeight="true" outlineLevel="0" collapsed="false">
      <c r="A991" s="28" t="str">
        <f aca="false">IF($E991="","",COUNTA($E$4:$E991))</f>
        <v/>
      </c>
      <c r="B991" s="34"/>
      <c r="C991" s="34"/>
      <c r="D991" s="34"/>
      <c r="E991" s="34"/>
      <c r="F991" s="35"/>
      <c r="G991" s="34"/>
      <c r="H991" s="35"/>
      <c r="I991" s="34"/>
      <c r="J991" s="36"/>
      <c r="K991" s="36"/>
      <c r="L991" s="35"/>
      <c r="M991" s="34"/>
      <c r="N991" s="35"/>
      <c r="O991" s="36"/>
      <c r="P991" s="32" t="str">
        <f aca="false">IF($J991="","",$J991-WEEKDAY($J991,3))</f>
        <v/>
      </c>
      <c r="Q991" s="32" t="str">
        <f aca="false">IF($J991="","",IF($K991="",$J991,$K991))</f>
        <v/>
      </c>
      <c r="R991" s="28" t="str">
        <f aca="false">IF($E991="","",IF(OR($N991&lt;&gt;"Concluída",$O991="",$J991=""),0,IF($O991&lt;=$J991,1,0)))</f>
        <v/>
      </c>
      <c r="S991" s="28" t="str">
        <f aca="false">IF($E991="","",IF(OR($N991&lt;&gt;"Concluída",$O991="",$Q991=""),0,IF($O991&lt;=$Q991,1,0)))</f>
        <v/>
      </c>
      <c r="T991" s="28" t="str">
        <f aca="false">IF(OR($J991="",$N991&lt;&gt;"Concluída",$O991=""),"",MAX(0,$O991-$J991))</f>
        <v/>
      </c>
      <c r="U991" s="33" t="str">
        <f aca="true">IF($E991="","",IF($N991="Cancelada","Cancelada",IF($N991="Concluída",IF($R991=1,"No prazo","Concluída com atraso"),IF($J991="","Na carteira",IF($J991&lt;TODAY(),"VENCIDA",IF($J991=TODAY(),"Hoje","Programada"))))))</f>
        <v/>
      </c>
    </row>
    <row r="992" customFormat="false" ht="15.75" hidden="false" customHeight="true" outlineLevel="0" collapsed="false">
      <c r="A992" s="28" t="str">
        <f aca="false">IF($E992="","",COUNTA($E$4:$E992))</f>
        <v/>
      </c>
      <c r="B992" s="29"/>
      <c r="C992" s="29"/>
      <c r="D992" s="29"/>
      <c r="E992" s="29"/>
      <c r="F992" s="30"/>
      <c r="G992" s="29"/>
      <c r="H992" s="30"/>
      <c r="I992" s="29"/>
      <c r="J992" s="31"/>
      <c r="K992" s="31"/>
      <c r="L992" s="30"/>
      <c r="M992" s="29"/>
      <c r="N992" s="30"/>
      <c r="O992" s="31"/>
      <c r="P992" s="32" t="str">
        <f aca="false">IF($J992="","",$J992-WEEKDAY($J992,3))</f>
        <v/>
      </c>
      <c r="Q992" s="32" t="str">
        <f aca="false">IF($J992="","",IF($K992="",$J992,$K992))</f>
        <v/>
      </c>
      <c r="R992" s="28" t="str">
        <f aca="false">IF($E992="","",IF(OR($N992&lt;&gt;"Concluída",$O992="",$J992=""),0,IF($O992&lt;=$J992,1,0)))</f>
        <v/>
      </c>
      <c r="S992" s="28" t="str">
        <f aca="false">IF($E992="","",IF(OR($N992&lt;&gt;"Concluída",$O992="",$Q992=""),0,IF($O992&lt;=$Q992,1,0)))</f>
        <v/>
      </c>
      <c r="T992" s="28" t="str">
        <f aca="false">IF(OR($J992="",$N992&lt;&gt;"Concluída",$O992=""),"",MAX(0,$O992-$J992))</f>
        <v/>
      </c>
      <c r="U992" s="33" t="str">
        <f aca="true">IF($E992="","",IF($N992="Cancelada","Cancelada",IF($N992="Concluída",IF($R992=1,"No prazo","Concluída com atraso"),IF($J992="","Na carteira",IF($J992&lt;TODAY(),"VENCIDA",IF($J992=TODAY(),"Hoje","Programada"))))))</f>
        <v/>
      </c>
    </row>
    <row r="993" customFormat="false" ht="15.75" hidden="false" customHeight="true" outlineLevel="0" collapsed="false">
      <c r="A993" s="28" t="str">
        <f aca="false">IF($E993="","",COUNTA($E$4:$E993))</f>
        <v/>
      </c>
      <c r="B993" s="34"/>
      <c r="C993" s="34"/>
      <c r="D993" s="34"/>
      <c r="E993" s="34"/>
      <c r="F993" s="35"/>
      <c r="G993" s="34"/>
      <c r="H993" s="35"/>
      <c r="I993" s="34"/>
      <c r="J993" s="36"/>
      <c r="K993" s="36"/>
      <c r="L993" s="35"/>
      <c r="M993" s="34"/>
      <c r="N993" s="35"/>
      <c r="O993" s="36"/>
      <c r="P993" s="32" t="str">
        <f aca="false">IF($J993="","",$J993-WEEKDAY($J993,3))</f>
        <v/>
      </c>
      <c r="Q993" s="32" t="str">
        <f aca="false">IF($J993="","",IF($K993="",$J993,$K993))</f>
        <v/>
      </c>
      <c r="R993" s="28" t="str">
        <f aca="false">IF($E993="","",IF(OR($N993&lt;&gt;"Concluída",$O993="",$J993=""),0,IF($O993&lt;=$J993,1,0)))</f>
        <v/>
      </c>
      <c r="S993" s="28" t="str">
        <f aca="false">IF($E993="","",IF(OR($N993&lt;&gt;"Concluída",$O993="",$Q993=""),0,IF($O993&lt;=$Q993,1,0)))</f>
        <v/>
      </c>
      <c r="T993" s="28" t="str">
        <f aca="false">IF(OR($J993="",$N993&lt;&gt;"Concluída",$O993=""),"",MAX(0,$O993-$J993))</f>
        <v/>
      </c>
      <c r="U993" s="33" t="str">
        <f aca="true">IF($E993="","",IF($N993="Cancelada","Cancelada",IF($N993="Concluída",IF($R993=1,"No prazo","Concluída com atraso"),IF($J993="","Na carteira",IF($J993&lt;TODAY(),"VENCIDA",IF($J993=TODAY(),"Hoje","Programada"))))))</f>
        <v/>
      </c>
    </row>
    <row r="994" customFormat="false" ht="15.75" hidden="false" customHeight="true" outlineLevel="0" collapsed="false">
      <c r="A994" s="28" t="str">
        <f aca="false">IF($E994="","",COUNTA($E$4:$E994))</f>
        <v/>
      </c>
      <c r="B994" s="29"/>
      <c r="C994" s="29"/>
      <c r="D994" s="29"/>
      <c r="E994" s="29"/>
      <c r="F994" s="30"/>
      <c r="G994" s="29"/>
      <c r="H994" s="30"/>
      <c r="I994" s="29"/>
      <c r="J994" s="31"/>
      <c r="K994" s="31"/>
      <c r="L994" s="30"/>
      <c r="M994" s="29"/>
      <c r="N994" s="30"/>
      <c r="O994" s="31"/>
      <c r="P994" s="32" t="str">
        <f aca="false">IF($J994="","",$J994-WEEKDAY($J994,3))</f>
        <v/>
      </c>
      <c r="Q994" s="32" t="str">
        <f aca="false">IF($J994="","",IF($K994="",$J994,$K994))</f>
        <v/>
      </c>
      <c r="R994" s="28" t="str">
        <f aca="false">IF($E994="","",IF(OR($N994&lt;&gt;"Concluída",$O994="",$J994=""),0,IF($O994&lt;=$J994,1,0)))</f>
        <v/>
      </c>
      <c r="S994" s="28" t="str">
        <f aca="false">IF($E994="","",IF(OR($N994&lt;&gt;"Concluída",$O994="",$Q994=""),0,IF($O994&lt;=$Q994,1,0)))</f>
        <v/>
      </c>
      <c r="T994" s="28" t="str">
        <f aca="false">IF(OR($J994="",$N994&lt;&gt;"Concluída",$O994=""),"",MAX(0,$O994-$J994))</f>
        <v/>
      </c>
      <c r="U994" s="33" t="str">
        <f aca="true">IF($E994="","",IF($N994="Cancelada","Cancelada",IF($N994="Concluída",IF($R994=1,"No prazo","Concluída com atraso"),IF($J994="","Na carteira",IF($J994&lt;TODAY(),"VENCIDA",IF($J994=TODAY(),"Hoje","Programada"))))))</f>
        <v/>
      </c>
    </row>
    <row r="995" customFormat="false" ht="15.75" hidden="false" customHeight="true" outlineLevel="0" collapsed="false">
      <c r="A995" s="28" t="str">
        <f aca="false">IF($E995="","",COUNTA($E$4:$E995))</f>
        <v/>
      </c>
      <c r="B995" s="34"/>
      <c r="C995" s="34"/>
      <c r="D995" s="34"/>
      <c r="E995" s="34"/>
      <c r="F995" s="35"/>
      <c r="G995" s="34"/>
      <c r="H995" s="35"/>
      <c r="I995" s="34"/>
      <c r="J995" s="36"/>
      <c r="K995" s="36"/>
      <c r="L995" s="35"/>
      <c r="M995" s="34"/>
      <c r="N995" s="35"/>
      <c r="O995" s="36"/>
      <c r="P995" s="32" t="str">
        <f aca="false">IF($J995="","",$J995-WEEKDAY($J995,3))</f>
        <v/>
      </c>
      <c r="Q995" s="32" t="str">
        <f aca="false">IF($J995="","",IF($K995="",$J995,$K995))</f>
        <v/>
      </c>
      <c r="R995" s="28" t="str">
        <f aca="false">IF($E995="","",IF(OR($N995&lt;&gt;"Concluída",$O995="",$J995=""),0,IF($O995&lt;=$J995,1,0)))</f>
        <v/>
      </c>
      <c r="S995" s="28" t="str">
        <f aca="false">IF($E995="","",IF(OR($N995&lt;&gt;"Concluída",$O995="",$Q995=""),0,IF($O995&lt;=$Q995,1,0)))</f>
        <v/>
      </c>
      <c r="T995" s="28" t="str">
        <f aca="false">IF(OR($J995="",$N995&lt;&gt;"Concluída",$O995=""),"",MAX(0,$O995-$J995))</f>
        <v/>
      </c>
      <c r="U995" s="33" t="str">
        <f aca="true">IF($E995="","",IF($N995="Cancelada","Cancelada",IF($N995="Concluída",IF($R995=1,"No prazo","Concluída com atraso"),IF($J995="","Na carteira",IF($J995&lt;TODAY(),"VENCIDA",IF($J995=TODAY(),"Hoje","Programada"))))))</f>
        <v/>
      </c>
    </row>
    <row r="996" customFormat="false" ht="15.75" hidden="false" customHeight="true" outlineLevel="0" collapsed="false">
      <c r="A996" s="28" t="str">
        <f aca="false">IF($E996="","",COUNTA($E$4:$E996))</f>
        <v/>
      </c>
      <c r="B996" s="29"/>
      <c r="C996" s="29"/>
      <c r="D996" s="29"/>
      <c r="E996" s="29"/>
      <c r="F996" s="30"/>
      <c r="G996" s="29"/>
      <c r="H996" s="30"/>
      <c r="I996" s="29"/>
      <c r="J996" s="31"/>
      <c r="K996" s="31"/>
      <c r="L996" s="30"/>
      <c r="M996" s="29"/>
      <c r="N996" s="30"/>
      <c r="O996" s="31"/>
      <c r="P996" s="32" t="str">
        <f aca="false">IF($J996="","",$J996-WEEKDAY($J996,3))</f>
        <v/>
      </c>
      <c r="Q996" s="32" t="str">
        <f aca="false">IF($J996="","",IF($K996="",$J996,$K996))</f>
        <v/>
      </c>
      <c r="R996" s="28" t="str">
        <f aca="false">IF($E996="","",IF(OR($N996&lt;&gt;"Concluída",$O996="",$J996=""),0,IF($O996&lt;=$J996,1,0)))</f>
        <v/>
      </c>
      <c r="S996" s="28" t="str">
        <f aca="false">IF($E996="","",IF(OR($N996&lt;&gt;"Concluída",$O996="",$Q996=""),0,IF($O996&lt;=$Q996,1,0)))</f>
        <v/>
      </c>
      <c r="T996" s="28" t="str">
        <f aca="false">IF(OR($J996="",$N996&lt;&gt;"Concluída",$O996=""),"",MAX(0,$O996-$J996))</f>
        <v/>
      </c>
      <c r="U996" s="33" t="str">
        <f aca="true">IF($E996="","",IF($N996="Cancelada","Cancelada",IF($N996="Concluída",IF($R996=1,"No prazo","Concluída com atraso"),IF($J996="","Na carteira",IF($J996&lt;TODAY(),"VENCIDA",IF($J996=TODAY(),"Hoje","Programada"))))))</f>
        <v/>
      </c>
    </row>
    <row r="997" customFormat="false" ht="15.75" hidden="false" customHeight="true" outlineLevel="0" collapsed="false">
      <c r="A997" s="28" t="str">
        <f aca="false">IF($E997="","",COUNTA($E$4:$E997))</f>
        <v/>
      </c>
      <c r="B997" s="34"/>
      <c r="C997" s="34"/>
      <c r="D997" s="34"/>
      <c r="E997" s="34"/>
      <c r="F997" s="35"/>
      <c r="G997" s="34"/>
      <c r="H997" s="35"/>
      <c r="I997" s="34"/>
      <c r="J997" s="36"/>
      <c r="K997" s="36"/>
      <c r="L997" s="35"/>
      <c r="M997" s="34"/>
      <c r="N997" s="35"/>
      <c r="O997" s="36"/>
      <c r="P997" s="32" t="str">
        <f aca="false">IF($J997="","",$J997-WEEKDAY($J997,3))</f>
        <v/>
      </c>
      <c r="Q997" s="32" t="str">
        <f aca="false">IF($J997="","",IF($K997="",$J997,$K997))</f>
        <v/>
      </c>
      <c r="R997" s="28" t="str">
        <f aca="false">IF($E997="","",IF(OR($N997&lt;&gt;"Concluída",$O997="",$J997=""),0,IF($O997&lt;=$J997,1,0)))</f>
        <v/>
      </c>
      <c r="S997" s="28" t="str">
        <f aca="false">IF($E997="","",IF(OR($N997&lt;&gt;"Concluída",$O997="",$Q997=""),0,IF($O997&lt;=$Q997,1,0)))</f>
        <v/>
      </c>
      <c r="T997" s="28" t="str">
        <f aca="false">IF(OR($J997="",$N997&lt;&gt;"Concluída",$O997=""),"",MAX(0,$O997-$J997))</f>
        <v/>
      </c>
      <c r="U997" s="33" t="str">
        <f aca="true">IF($E997="","",IF($N997="Cancelada","Cancelada",IF($N997="Concluída",IF($R997=1,"No prazo","Concluída com atraso"),IF($J997="","Na carteira",IF($J997&lt;TODAY(),"VENCIDA",IF($J997=TODAY(),"Hoje","Programada"))))))</f>
        <v/>
      </c>
    </row>
    <row r="998" customFormat="false" ht="15.75" hidden="false" customHeight="true" outlineLevel="0" collapsed="false">
      <c r="A998" s="28" t="str">
        <f aca="false">IF($E998="","",COUNTA($E$4:$E998))</f>
        <v/>
      </c>
      <c r="B998" s="29"/>
      <c r="C998" s="29"/>
      <c r="D998" s="29"/>
      <c r="E998" s="29"/>
      <c r="F998" s="30"/>
      <c r="G998" s="29"/>
      <c r="H998" s="30"/>
      <c r="I998" s="29"/>
      <c r="J998" s="31"/>
      <c r="K998" s="31"/>
      <c r="L998" s="30"/>
      <c r="M998" s="29"/>
      <c r="N998" s="30"/>
      <c r="O998" s="31"/>
      <c r="P998" s="32" t="str">
        <f aca="false">IF($J998="","",$J998-WEEKDAY($J998,3))</f>
        <v/>
      </c>
      <c r="Q998" s="32" t="str">
        <f aca="false">IF($J998="","",IF($K998="",$J998,$K998))</f>
        <v/>
      </c>
      <c r="R998" s="28" t="str">
        <f aca="false">IF($E998="","",IF(OR($N998&lt;&gt;"Concluída",$O998="",$J998=""),0,IF($O998&lt;=$J998,1,0)))</f>
        <v/>
      </c>
      <c r="S998" s="28" t="str">
        <f aca="false">IF($E998="","",IF(OR($N998&lt;&gt;"Concluída",$O998="",$Q998=""),0,IF($O998&lt;=$Q998,1,0)))</f>
        <v/>
      </c>
      <c r="T998" s="28" t="str">
        <f aca="false">IF(OR($J998="",$N998&lt;&gt;"Concluída",$O998=""),"",MAX(0,$O998-$J998))</f>
        <v/>
      </c>
      <c r="U998" s="33" t="str">
        <f aca="true">IF($E998="","",IF($N998="Cancelada","Cancelada",IF($N998="Concluída",IF($R998=1,"No prazo","Concluída com atraso"),IF($J998="","Na carteira",IF($J998&lt;TODAY(),"VENCIDA",IF($J998=TODAY(),"Hoje","Programada"))))))</f>
        <v/>
      </c>
    </row>
    <row r="999" customFormat="false" ht="15.75" hidden="false" customHeight="true" outlineLevel="0" collapsed="false">
      <c r="A999" s="28" t="str">
        <f aca="false">IF($E999="","",COUNTA($E$4:$E999))</f>
        <v/>
      </c>
      <c r="B999" s="34"/>
      <c r="C999" s="34"/>
      <c r="D999" s="34"/>
      <c r="E999" s="34"/>
      <c r="F999" s="35"/>
      <c r="G999" s="34"/>
      <c r="H999" s="35"/>
      <c r="I999" s="34"/>
      <c r="J999" s="36"/>
      <c r="K999" s="36"/>
      <c r="L999" s="35"/>
      <c r="M999" s="34"/>
      <c r="N999" s="35"/>
      <c r="O999" s="36"/>
      <c r="P999" s="32" t="str">
        <f aca="false">IF($J999="","",$J999-WEEKDAY($J999,3))</f>
        <v/>
      </c>
      <c r="Q999" s="32" t="str">
        <f aca="false">IF($J999="","",IF($K999="",$J999,$K999))</f>
        <v/>
      </c>
      <c r="R999" s="28" t="str">
        <f aca="false">IF($E999="","",IF(OR($N999&lt;&gt;"Concluída",$O999="",$J999=""),0,IF($O999&lt;=$J999,1,0)))</f>
        <v/>
      </c>
      <c r="S999" s="28" t="str">
        <f aca="false">IF($E999="","",IF(OR($N999&lt;&gt;"Concluída",$O999="",$Q999=""),0,IF($O999&lt;=$Q999,1,0)))</f>
        <v/>
      </c>
      <c r="T999" s="28" t="str">
        <f aca="false">IF(OR($J999="",$N999&lt;&gt;"Concluída",$O999=""),"",MAX(0,$O999-$J999))</f>
        <v/>
      </c>
      <c r="U999" s="33" t="str">
        <f aca="true">IF($E999="","",IF($N999="Cancelada","Cancelada",IF($N999="Concluída",IF($R999=1,"No prazo","Concluída com atraso"),IF($J999="","Na carteira",IF($J999&lt;TODAY(),"VENCIDA",IF($J999=TODAY(),"Hoje","Programada"))))))</f>
        <v/>
      </c>
    </row>
    <row r="1000" customFormat="false" ht="15.75" hidden="false" customHeight="true" outlineLevel="0" collapsed="false">
      <c r="A1000" s="28" t="str">
        <f aca="false">IF($E1000="","",COUNTA($E$4:$E1000))</f>
        <v/>
      </c>
      <c r="B1000" s="29"/>
      <c r="C1000" s="29"/>
      <c r="D1000" s="29"/>
      <c r="E1000" s="29"/>
      <c r="F1000" s="30"/>
      <c r="G1000" s="29"/>
      <c r="H1000" s="30"/>
      <c r="I1000" s="29"/>
      <c r="J1000" s="31"/>
      <c r="K1000" s="31"/>
      <c r="L1000" s="30"/>
      <c r="M1000" s="29"/>
      <c r="N1000" s="30"/>
      <c r="O1000" s="31"/>
      <c r="P1000" s="32" t="str">
        <f aca="false">IF($J1000="","",$J1000-WEEKDAY($J1000,3))</f>
        <v/>
      </c>
      <c r="Q1000" s="32" t="str">
        <f aca="false">IF($J1000="","",IF($K1000="",$J1000,$K1000))</f>
        <v/>
      </c>
      <c r="R1000" s="28" t="str">
        <f aca="false">IF($E1000="","",IF(OR($N1000&lt;&gt;"Concluída",$O1000="",$J1000=""),0,IF($O1000&lt;=$J1000,1,0)))</f>
        <v/>
      </c>
      <c r="S1000" s="28" t="str">
        <f aca="false">IF($E1000="","",IF(OR($N1000&lt;&gt;"Concluída",$O1000="",$Q1000=""),0,IF($O1000&lt;=$Q1000,1,0)))</f>
        <v/>
      </c>
      <c r="T1000" s="28" t="str">
        <f aca="false">IF(OR($J1000="",$N1000&lt;&gt;"Concluída",$O1000=""),"",MAX(0,$O1000-$J1000))</f>
        <v/>
      </c>
      <c r="U1000" s="33" t="str">
        <f aca="true">IF($E1000="","",IF($N1000="Cancelada","Cancelada",IF($N1000="Concluída",IF($R1000=1,"No prazo","Concluída com atraso"),IF($J1000="","Na carteira",IF($J1000&lt;TODAY(),"VENCIDA",IF($J1000=TODAY(),"Hoje","Programada"))))))</f>
        <v/>
      </c>
    </row>
    <row r="1001" customFormat="false" ht="15.75" hidden="false" customHeight="true" outlineLevel="0" collapsed="false">
      <c r="A1001" s="28" t="str">
        <f aca="false">IF($E1001="","",COUNTA($E$4:$E1001))</f>
        <v/>
      </c>
      <c r="B1001" s="34"/>
      <c r="C1001" s="34"/>
      <c r="D1001" s="34"/>
      <c r="E1001" s="34"/>
      <c r="F1001" s="35"/>
      <c r="G1001" s="34"/>
      <c r="H1001" s="35"/>
      <c r="I1001" s="34"/>
      <c r="J1001" s="36"/>
      <c r="K1001" s="36"/>
      <c r="L1001" s="35"/>
      <c r="M1001" s="34"/>
      <c r="N1001" s="35"/>
      <c r="O1001" s="36"/>
      <c r="P1001" s="32" t="str">
        <f aca="false">IF($J1001="","",$J1001-WEEKDAY($J1001,3))</f>
        <v/>
      </c>
      <c r="Q1001" s="32" t="str">
        <f aca="false">IF($J1001="","",IF($K1001="",$J1001,$K1001))</f>
        <v/>
      </c>
      <c r="R1001" s="28" t="str">
        <f aca="false">IF($E1001="","",IF(OR($N1001&lt;&gt;"Concluída",$O1001="",$J1001=""),0,IF($O1001&lt;=$J1001,1,0)))</f>
        <v/>
      </c>
      <c r="S1001" s="28" t="str">
        <f aca="false">IF($E1001="","",IF(OR($N1001&lt;&gt;"Concluída",$O1001="",$Q1001=""),0,IF($O1001&lt;=$Q1001,1,0)))</f>
        <v/>
      </c>
      <c r="T1001" s="28" t="str">
        <f aca="false">IF(OR($J1001="",$N1001&lt;&gt;"Concluída",$O1001=""),"",MAX(0,$O1001-$J1001))</f>
        <v/>
      </c>
      <c r="U1001" s="33" t="str">
        <f aca="true">IF($E1001="","",IF($N1001="Cancelada","Cancelada",IF($N1001="Concluída",IF($R1001=1,"No prazo","Concluída com atraso"),IF($J1001="","Na carteira",IF($J1001&lt;TODAY(),"VENCIDA",IF($J1001=TODAY(),"Hoje","Programada"))))))</f>
        <v/>
      </c>
    </row>
    <row r="1002" customFormat="false" ht="15.75" hidden="false" customHeight="true" outlineLevel="0" collapsed="false">
      <c r="A1002" s="28" t="str">
        <f aca="false">IF($E1002="","",COUNTA($E$4:$E1002))</f>
        <v/>
      </c>
      <c r="B1002" s="29"/>
      <c r="C1002" s="29"/>
      <c r="D1002" s="29"/>
      <c r="E1002" s="29"/>
      <c r="F1002" s="30"/>
      <c r="G1002" s="29"/>
      <c r="H1002" s="30"/>
      <c r="I1002" s="29"/>
      <c r="J1002" s="31"/>
      <c r="K1002" s="31"/>
      <c r="L1002" s="30"/>
      <c r="M1002" s="29"/>
      <c r="N1002" s="30"/>
      <c r="O1002" s="31"/>
      <c r="P1002" s="32" t="str">
        <f aca="false">IF($J1002="","",$J1002-WEEKDAY($J1002,3))</f>
        <v/>
      </c>
      <c r="Q1002" s="32" t="str">
        <f aca="false">IF($J1002="","",IF($K1002="",$J1002,$K1002))</f>
        <v/>
      </c>
      <c r="R1002" s="28" t="str">
        <f aca="false">IF($E1002="","",IF(OR($N1002&lt;&gt;"Concluída",$O1002="",$J1002=""),0,IF($O1002&lt;=$J1002,1,0)))</f>
        <v/>
      </c>
      <c r="S1002" s="28" t="str">
        <f aca="false">IF($E1002="","",IF(OR($N1002&lt;&gt;"Concluída",$O1002="",$Q1002=""),0,IF($O1002&lt;=$Q1002,1,0)))</f>
        <v/>
      </c>
      <c r="T1002" s="28" t="str">
        <f aca="false">IF(OR($J1002="",$N1002&lt;&gt;"Concluída",$O1002=""),"",MAX(0,$O1002-$J1002))</f>
        <v/>
      </c>
      <c r="U1002" s="33" t="str">
        <f aca="true">IF($E1002="","",IF($N1002="Cancelada","Cancelada",IF($N1002="Concluída",IF($R1002=1,"No prazo","Concluída com atraso"),IF($J1002="","Na carteira",IF($J1002&lt;TODAY(),"VENCIDA",IF($J1002=TODAY(),"Hoje","Programada"))))))</f>
        <v/>
      </c>
    </row>
    <row r="1003" customFormat="false" ht="15.75" hidden="false" customHeight="true" outlineLevel="0" collapsed="false">
      <c r="A1003" s="28" t="str">
        <f aca="false">IF($E1003="","",COUNTA($E$4:$E1003))</f>
        <v/>
      </c>
      <c r="B1003" s="34"/>
      <c r="C1003" s="34"/>
      <c r="D1003" s="34"/>
      <c r="E1003" s="34"/>
      <c r="F1003" s="35"/>
      <c r="G1003" s="34"/>
      <c r="H1003" s="35"/>
      <c r="I1003" s="34"/>
      <c r="J1003" s="36"/>
      <c r="K1003" s="36"/>
      <c r="L1003" s="35"/>
      <c r="M1003" s="34"/>
      <c r="N1003" s="35"/>
      <c r="O1003" s="36"/>
      <c r="P1003" s="32" t="str">
        <f aca="false">IF($J1003="","",$J1003-WEEKDAY($J1003,3))</f>
        <v/>
      </c>
      <c r="Q1003" s="32" t="str">
        <f aca="false">IF($J1003="","",IF($K1003="",$J1003,$K1003))</f>
        <v/>
      </c>
      <c r="R1003" s="28" t="str">
        <f aca="false">IF($E1003="","",IF(OR($N1003&lt;&gt;"Concluída",$O1003="",$J1003=""),0,IF($O1003&lt;=$J1003,1,0)))</f>
        <v/>
      </c>
      <c r="S1003" s="28" t="str">
        <f aca="false">IF($E1003="","",IF(OR($N1003&lt;&gt;"Concluída",$O1003="",$Q1003=""),0,IF($O1003&lt;=$Q1003,1,0)))</f>
        <v/>
      </c>
      <c r="T1003" s="28" t="str">
        <f aca="false">IF(OR($J1003="",$N1003&lt;&gt;"Concluída",$O1003=""),"",MAX(0,$O1003-$J1003))</f>
        <v/>
      </c>
      <c r="U1003" s="33" t="str">
        <f aca="true">IF($E1003="","",IF($N1003="Cancelada","Cancelada",IF($N1003="Concluída",IF($R1003=1,"No prazo","Concluída com atraso"),IF($J1003="","Na carteira",IF($J1003&lt;TODAY(),"VENCIDA",IF($J1003=TODAY(),"Hoje","Programada"))))))</f>
        <v/>
      </c>
    </row>
  </sheetData>
  <autoFilter ref="A3:U1003"/>
  <mergeCells count="3">
    <mergeCell ref="A1:U1"/>
    <mergeCell ref="B2:O2"/>
    <mergeCell ref="P2:U2"/>
  </mergeCells>
  <conditionalFormatting sqref="U4:U1003">
    <cfRule type="cellIs" priority="2" operator="equal" aboveAverage="0" equalAverage="0" bottom="0" percent="0" rank="0" text="" dxfId="16">
      <formula>"VENCIDA"</formula>
    </cfRule>
    <cfRule type="cellIs" priority="3" operator="equal" aboveAverage="0" equalAverage="0" bottom="0" percent="0" rank="0" text="" dxfId="17">
      <formula>"No prazo"</formula>
    </cfRule>
    <cfRule type="cellIs" priority="4" operator="equal" aboveAverage="0" equalAverage="0" bottom="0" percent="0" rank="0" text="" dxfId="18">
      <formula>"Concluída com atraso"</formula>
    </cfRule>
    <cfRule type="cellIs" priority="5" operator="equal" aboveAverage="0" equalAverage="0" bottom="0" percent="0" rank="0" text="" dxfId="19">
      <formula>"Hoje"</formula>
    </cfRule>
  </conditionalFormatting>
  <conditionalFormatting sqref="T4:T1003">
    <cfRule type="cellIs" priority="6" operator="greaterThan" aboveAverage="0" equalAverage="0" bottom="0" percent="0" rank="0" text="" dxfId="20">
      <formula>0</formula>
    </cfRule>
  </conditionalFormatting>
  <dataValidations count="6">
    <dataValidation allowBlank="true" error="Escolha uma frota da lista (aba Listas)." errorStyle="stop" errorTitle="Frota" operator="between" showDropDown="false" showErrorMessage="true" showInputMessage="false" sqref="C4:C1003" type="list">
      <formula1>Listas!$B$5:$B$44</formula1>
      <formula2>0</formula2>
    </dataValidation>
    <dataValidation allowBlank="true" error="Escolha um tipo de serviço da lista (aba Listas)." errorStyle="stop" errorTitle="Tipo" operator="between" showDropDown="false" showErrorMessage="true" showInputMessage="false" sqref="F4:F1003" type="list">
      <formula1>Listas!$C$5:$C$44</formula1>
      <formula2>0</formula2>
    </dataValidation>
    <dataValidation allowBlank="true" error="Escolha um executante da lista (aba Listas)." errorStyle="stop" errorTitle="Executante" operator="between" showDropDown="false" showErrorMessage="true" showInputMessage="false" sqref="G4:G1003" type="list">
      <formula1>Listas!$A$5:$A$44</formula1>
      <formula2>0</formula2>
    </dataValidation>
    <dataValidation allowBlank="true" error="Interna ou Terceirizada." errorStyle="stop" errorTitle="Oficina" operator="between" showDropDown="false" showErrorMessage="true" showInputMessage="false" sqref="H4:H1003" type="list">
      <formula1>Listas!$E$5:$E$44</formula1>
      <formula2>0</formula2>
    </dataValidation>
    <dataValidation allowBlank="true" error="Escolha um motivo da lista (aba Listas) ou escreva o seu." errorStyle="stop" errorTitle="Motivo" operator="between" showDropDown="false" showErrorMessage="true" showInputMessage="false" sqref="M4:M1003" type="list">
      <formula1>Listas!$F$5:$F$44</formula1>
      <formula2>0</formula2>
    </dataValidation>
    <dataValidation allowBlank="true" error="Use: Programada, Em execução, Concluída ou Cancelada." errorStyle="stop" errorTitle="Situação" operator="between" showDropDown="false" showErrorMessage="true" showInputMessage="false" sqref="N4:N1003" type="list">
      <formula1>"Programada,Em execução,Concluída,Cancelada"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23" t="s">
        <v>137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3" customFormat="false" ht="15" hidden="false" customHeight="false" outlineLevel="0" collapsed="false">
      <c r="A3" s="37" t="s">
        <v>138</v>
      </c>
      <c r="B3" s="37"/>
      <c r="C3" s="38" t="n">
        <f aca="true">TODAY()-WEEKDAY(TODAY(),3)</f>
        <v>46258</v>
      </c>
      <c r="D3" s="20" t="s">
        <v>139</v>
      </c>
      <c r="E3" s="20"/>
      <c r="F3" s="20"/>
      <c r="G3" s="20"/>
      <c r="H3" s="20"/>
    </row>
    <row r="5" customFormat="false" ht="30" hidden="false" customHeight="true" outlineLevel="0" collapsed="false">
      <c r="A5" s="6" t="s">
        <v>95</v>
      </c>
      <c r="B5" s="39" t="n">
        <f aca="false">$C$3</f>
        <v>46258</v>
      </c>
      <c r="C5" s="39" t="n">
        <f aca="false">$C$3+1</f>
        <v>46259</v>
      </c>
      <c r="D5" s="39" t="n">
        <f aca="false">$C$3+2</f>
        <v>46260</v>
      </c>
      <c r="E5" s="39" t="n">
        <f aca="false">$C$3+3</f>
        <v>46261</v>
      </c>
      <c r="F5" s="39" t="n">
        <f aca="false">$C$3+4</f>
        <v>46262</v>
      </c>
      <c r="G5" s="39" t="n">
        <f aca="false">$C$3+5</f>
        <v>46263</v>
      </c>
      <c r="H5" s="39" t="n">
        <f aca="false">$C$3+6</f>
        <v>46264</v>
      </c>
      <c r="I5" s="6" t="s">
        <v>140</v>
      </c>
      <c r="J5" s="6" t="s">
        <v>141</v>
      </c>
      <c r="K5" s="6" t="s">
        <v>18</v>
      </c>
      <c r="L5" s="6" t="s">
        <v>142</v>
      </c>
    </row>
    <row r="6" customFormat="false" ht="16.5" hidden="false" customHeight="true" outlineLevel="0" collapsed="false">
      <c r="A6" s="22" t="str">
        <f aca="false">IF(Listas!A5="","",Listas!A5)</f>
        <v>João Batista</v>
      </c>
      <c r="B6" s="40" t="n">
        <f aca="false">IF($A6="","",COUNTIFS(Programação!$G$4:$G$1003,$A6,Programação!$J$4:$J$1003,B$5,Programação!$N$4:$N$1003,"&lt;&gt;Cancelada"))</f>
        <v>3</v>
      </c>
      <c r="C6" s="40" t="n">
        <f aca="false">IF($A6="","",COUNTIFS(Programação!$G$4:$G$1003,$A6,Programação!$J$4:$J$1003,C$5,Programação!$N$4:$N$1003,"&lt;&gt;Cancelada"))</f>
        <v>0</v>
      </c>
      <c r="D6" s="40" t="n">
        <f aca="false">IF($A6="","",COUNTIFS(Programação!$G$4:$G$1003,$A6,Programação!$J$4:$J$1003,D$5,Programação!$N$4:$N$1003,"&lt;&gt;Cancelada"))</f>
        <v>0</v>
      </c>
      <c r="E6" s="40" t="n">
        <f aca="false">IF($A6="","",COUNTIFS(Programação!$G$4:$G$1003,$A6,Programação!$J$4:$J$1003,E$5,Programação!$N$4:$N$1003,"&lt;&gt;Cancelada"))</f>
        <v>0</v>
      </c>
      <c r="F6" s="40" t="n">
        <f aca="false">IF($A6="","",COUNTIFS(Programação!$G$4:$G$1003,$A6,Programação!$J$4:$J$1003,F$5,Programação!$N$4:$N$1003,"&lt;&gt;Cancelada"))</f>
        <v>0</v>
      </c>
      <c r="G6" s="40" t="n">
        <f aca="false">IF($A6="","",COUNTIFS(Programação!$G$4:$G$1003,$A6,Programação!$J$4:$J$1003,G$5,Programação!$N$4:$N$1003,"&lt;&gt;Cancelada"))</f>
        <v>0</v>
      </c>
      <c r="H6" s="40" t="n">
        <f aca="false">IF($A6="","",COUNTIFS(Programação!$G$4:$G$1003,$A6,Programação!$J$4:$J$1003,H$5,Programação!$N$4:$N$1003,"&lt;&gt;Cancelada"))</f>
        <v>0</v>
      </c>
      <c r="I6" s="41" t="n">
        <f aca="false">IF($A6="","",SUM($B6:$H6))</f>
        <v>3</v>
      </c>
      <c r="J6" s="41" t="n">
        <f aca="false">IF($A6="","",COUNTIFS(Programação!$G$4:$G$1003,$A6,Programação!$J$4:$J$1003,"&gt;="&amp;$C$3,Programação!$J$4:$J$1003,"&lt;="&amp;$C$3+6,Programação!$N$4:$N$1003,"Concluída"))</f>
        <v>2</v>
      </c>
      <c r="K6" s="42" t="n">
        <f aca="false">IF(OR($A6="",$I6=0),"",$J6/$I6)</f>
        <v>0.666666666666667</v>
      </c>
      <c r="L6" s="41" t="n">
        <f aca="true">IF($A6="","",COUNTIFS(Programação!$G$4:$G$1003,$A6,Programação!$J$4:$J$1003,"&gt;="&amp;$C$3,Programação!$J$4:$J$1003,"&lt;="&amp;$C$3+6,Programação!$J$4:$J$1003,"&lt;"&amp;TODAY(),Programação!$N$4:$N$1003,"&lt;&gt;Concluída",Programação!$N$4:$N$1003,"&lt;&gt;Cancelada"))</f>
        <v>1</v>
      </c>
    </row>
    <row r="7" customFormat="false" ht="16.5" hidden="false" customHeight="true" outlineLevel="0" collapsed="false">
      <c r="A7" s="22" t="str">
        <f aca="false">IF(Listas!A6="","",Listas!A6)</f>
        <v>Marcos Vinícius</v>
      </c>
      <c r="B7" s="40" t="n">
        <f aca="false">IF($A7="","",COUNTIFS(Programação!$G$4:$G$1003,$A7,Programação!$J$4:$J$1003,B$5,Programação!$N$4:$N$1003,"&lt;&gt;Cancelada"))</f>
        <v>1</v>
      </c>
      <c r="C7" s="40" t="n">
        <f aca="false">IF($A7="","",COUNTIFS(Programação!$G$4:$G$1003,$A7,Programação!$J$4:$J$1003,C$5,Programação!$N$4:$N$1003,"&lt;&gt;Cancelada"))</f>
        <v>1</v>
      </c>
      <c r="D7" s="40" t="n">
        <f aca="false">IF($A7="","",COUNTIFS(Programação!$G$4:$G$1003,$A7,Programação!$J$4:$J$1003,D$5,Programação!$N$4:$N$1003,"&lt;&gt;Cancelada"))</f>
        <v>0</v>
      </c>
      <c r="E7" s="40" t="n">
        <f aca="false">IF($A7="","",COUNTIFS(Programação!$G$4:$G$1003,$A7,Programação!$J$4:$J$1003,E$5,Programação!$N$4:$N$1003,"&lt;&gt;Cancelada"))</f>
        <v>0</v>
      </c>
      <c r="F7" s="40" t="n">
        <f aca="false">IF($A7="","",COUNTIFS(Programação!$G$4:$G$1003,$A7,Programação!$J$4:$J$1003,F$5,Programação!$N$4:$N$1003,"&lt;&gt;Cancelada"))</f>
        <v>0</v>
      </c>
      <c r="G7" s="40" t="n">
        <f aca="false">IF($A7="","",COUNTIFS(Programação!$G$4:$G$1003,$A7,Programação!$J$4:$J$1003,G$5,Programação!$N$4:$N$1003,"&lt;&gt;Cancelada"))</f>
        <v>0</v>
      </c>
      <c r="H7" s="40" t="n">
        <f aca="false">IF($A7="","",COUNTIFS(Programação!$G$4:$G$1003,$A7,Programação!$J$4:$J$1003,H$5,Programação!$N$4:$N$1003,"&lt;&gt;Cancelada"))</f>
        <v>0</v>
      </c>
      <c r="I7" s="41" t="n">
        <f aca="false">IF($A7="","",SUM($B7:$H7))</f>
        <v>2</v>
      </c>
      <c r="J7" s="41" t="n">
        <f aca="false">IF($A7="","",COUNTIFS(Programação!$G$4:$G$1003,$A7,Programação!$J$4:$J$1003,"&gt;="&amp;$C$3,Programação!$J$4:$J$1003,"&lt;="&amp;$C$3+6,Programação!$N$4:$N$1003,"Concluída"))</f>
        <v>2</v>
      </c>
      <c r="K7" s="42" t="n">
        <f aca="false">IF(OR($A7="",$I7=0),"",$J7/$I7)</f>
        <v>1</v>
      </c>
      <c r="L7" s="41" t="n">
        <f aca="true">IF($A7="","",COUNTIFS(Programação!$G$4:$G$1003,$A7,Programação!$J$4:$J$1003,"&gt;="&amp;$C$3,Programação!$J$4:$J$1003,"&lt;="&amp;$C$3+6,Programação!$J$4:$J$1003,"&lt;"&amp;TODAY(),Programação!$N$4:$N$1003,"&lt;&gt;Concluída",Programação!$N$4:$N$1003,"&lt;&gt;Cancelada"))</f>
        <v>0</v>
      </c>
    </row>
    <row r="8" customFormat="false" ht="16.5" hidden="false" customHeight="true" outlineLevel="0" collapsed="false">
      <c r="A8" s="22" t="str">
        <f aca="false">IF(Listas!A7="","",Listas!A7)</f>
        <v>Pedro Alves</v>
      </c>
      <c r="B8" s="40" t="n">
        <f aca="false">IF($A8="","",COUNTIFS(Programação!$G$4:$G$1003,$A8,Programação!$J$4:$J$1003,B$5,Programação!$N$4:$N$1003,"&lt;&gt;Cancelada"))</f>
        <v>0</v>
      </c>
      <c r="C8" s="40" t="n">
        <f aca="false">IF($A8="","",COUNTIFS(Programação!$G$4:$G$1003,$A8,Programação!$J$4:$J$1003,C$5,Programação!$N$4:$N$1003,"&lt;&gt;Cancelada"))</f>
        <v>1</v>
      </c>
      <c r="D8" s="40" t="n">
        <f aca="false">IF($A8="","",COUNTIFS(Programação!$G$4:$G$1003,$A8,Programação!$J$4:$J$1003,D$5,Programação!$N$4:$N$1003,"&lt;&gt;Cancelada"))</f>
        <v>1</v>
      </c>
      <c r="E8" s="40" t="n">
        <f aca="false">IF($A8="","",COUNTIFS(Programação!$G$4:$G$1003,$A8,Programação!$J$4:$J$1003,E$5,Programação!$N$4:$N$1003,"&lt;&gt;Cancelada"))</f>
        <v>0</v>
      </c>
      <c r="F8" s="40" t="n">
        <f aca="false">IF($A8="","",COUNTIFS(Programação!$G$4:$G$1003,$A8,Programação!$J$4:$J$1003,F$5,Programação!$N$4:$N$1003,"&lt;&gt;Cancelada"))</f>
        <v>0</v>
      </c>
      <c r="G8" s="40" t="n">
        <f aca="false">IF($A8="","",COUNTIFS(Programação!$G$4:$G$1003,$A8,Programação!$J$4:$J$1003,G$5,Programação!$N$4:$N$1003,"&lt;&gt;Cancelada"))</f>
        <v>0</v>
      </c>
      <c r="H8" s="40" t="n">
        <f aca="false">IF($A8="","",COUNTIFS(Programação!$G$4:$G$1003,$A8,Programação!$J$4:$J$1003,H$5,Programação!$N$4:$N$1003,"&lt;&gt;Cancelada"))</f>
        <v>0</v>
      </c>
      <c r="I8" s="41" t="n">
        <f aca="false">IF($A8="","",SUM($B8:$H8))</f>
        <v>2</v>
      </c>
      <c r="J8" s="41" t="n">
        <f aca="false">IF($A8="","",COUNTIFS(Programação!$G$4:$G$1003,$A8,Programação!$J$4:$J$1003,"&gt;="&amp;$C$3,Programação!$J$4:$J$1003,"&lt;="&amp;$C$3+6,Programação!$N$4:$N$1003,"Concluída"))</f>
        <v>0</v>
      </c>
      <c r="K8" s="42" t="n">
        <f aca="false">IF(OR($A8="",$I8=0),"",$J8/$I8)</f>
        <v>0</v>
      </c>
      <c r="L8" s="41" t="n">
        <f aca="true">IF($A8="","",COUNTIFS(Programação!$G$4:$G$1003,$A8,Programação!$J$4:$J$1003,"&gt;="&amp;$C$3,Programação!$J$4:$J$1003,"&lt;="&amp;$C$3+6,Programação!$J$4:$J$1003,"&lt;"&amp;TODAY(),Programação!$N$4:$N$1003,"&lt;&gt;Concluída",Programação!$N$4:$N$1003,"&lt;&gt;Cancelada"))</f>
        <v>1</v>
      </c>
    </row>
    <row r="9" customFormat="false" ht="16.5" hidden="false" customHeight="true" outlineLevel="0" collapsed="false">
      <c r="A9" s="22" t="str">
        <f aca="false">IF(Listas!A8="","",Listas!A8)</f>
        <v>Carlos Lima</v>
      </c>
      <c r="B9" s="40" t="n">
        <f aca="false">IF($A9="","",COUNTIFS(Programação!$G$4:$G$1003,$A9,Programação!$J$4:$J$1003,B$5,Programação!$N$4:$N$1003,"&lt;&gt;Cancelada"))</f>
        <v>0</v>
      </c>
      <c r="C9" s="40" t="n">
        <f aca="false">IF($A9="","",COUNTIFS(Programação!$G$4:$G$1003,$A9,Programação!$J$4:$J$1003,C$5,Programação!$N$4:$N$1003,"&lt;&gt;Cancelada"))</f>
        <v>1</v>
      </c>
      <c r="D9" s="40" t="n">
        <f aca="false">IF($A9="","",COUNTIFS(Programação!$G$4:$G$1003,$A9,Programação!$J$4:$J$1003,D$5,Programação!$N$4:$N$1003,"&lt;&gt;Cancelada"))</f>
        <v>1</v>
      </c>
      <c r="E9" s="40" t="n">
        <f aca="false">IF($A9="","",COUNTIFS(Programação!$G$4:$G$1003,$A9,Programação!$J$4:$J$1003,E$5,Programação!$N$4:$N$1003,"&lt;&gt;Cancelada"))</f>
        <v>0</v>
      </c>
      <c r="F9" s="40" t="n">
        <f aca="false">IF($A9="","",COUNTIFS(Programação!$G$4:$G$1003,$A9,Programação!$J$4:$J$1003,F$5,Programação!$N$4:$N$1003,"&lt;&gt;Cancelada"))</f>
        <v>0</v>
      </c>
      <c r="G9" s="40" t="n">
        <f aca="false">IF($A9="","",COUNTIFS(Programação!$G$4:$G$1003,$A9,Programação!$J$4:$J$1003,G$5,Programação!$N$4:$N$1003,"&lt;&gt;Cancelada"))</f>
        <v>0</v>
      </c>
      <c r="H9" s="40" t="n">
        <f aca="false">IF($A9="","",COUNTIFS(Programação!$G$4:$G$1003,$A9,Programação!$J$4:$J$1003,H$5,Programação!$N$4:$N$1003,"&lt;&gt;Cancelada"))</f>
        <v>0</v>
      </c>
      <c r="I9" s="41" t="n">
        <f aca="false">IF($A9="","",SUM($B9:$H9))</f>
        <v>2</v>
      </c>
      <c r="J9" s="41" t="n">
        <f aca="false">IF($A9="","",COUNTIFS(Programação!$G$4:$G$1003,$A9,Programação!$J$4:$J$1003,"&gt;="&amp;$C$3,Programação!$J$4:$J$1003,"&lt;="&amp;$C$3+6,Programação!$N$4:$N$1003,"Concluída"))</f>
        <v>1</v>
      </c>
      <c r="K9" s="42" t="n">
        <f aca="false">IF(OR($A9="",$I9=0),"",$J9/$I9)</f>
        <v>0.5</v>
      </c>
      <c r="L9" s="41" t="n">
        <f aca="true">IF($A9="","",COUNTIFS(Programação!$G$4:$G$1003,$A9,Programação!$J$4:$J$1003,"&gt;="&amp;$C$3,Programação!$J$4:$J$1003,"&lt;="&amp;$C$3+6,Programação!$J$4:$J$1003,"&lt;"&amp;TODAY(),Programação!$N$4:$N$1003,"&lt;&gt;Concluída",Programação!$N$4:$N$1003,"&lt;&gt;Cancelada"))</f>
        <v>0</v>
      </c>
    </row>
    <row r="10" customFormat="false" ht="16.5" hidden="false" customHeight="true" outlineLevel="0" collapsed="false">
      <c r="A10" s="22" t="str">
        <f aca="false">IF(Listas!A9="","",Listas!A9)</f>
        <v>Washington Souza</v>
      </c>
      <c r="B10" s="40" t="n">
        <f aca="false">IF($A10="","",COUNTIFS(Programação!$G$4:$G$1003,$A10,Programação!$J$4:$J$1003,B$5,Programação!$N$4:$N$1003,"&lt;&gt;Cancelada"))</f>
        <v>0</v>
      </c>
      <c r="C10" s="40" t="n">
        <f aca="false">IF($A10="","",COUNTIFS(Programação!$G$4:$G$1003,$A10,Programação!$J$4:$J$1003,C$5,Programação!$N$4:$N$1003,"&lt;&gt;Cancelada"))</f>
        <v>0</v>
      </c>
      <c r="D10" s="40" t="n">
        <f aca="false">IF($A10="","",COUNTIFS(Programação!$G$4:$G$1003,$A10,Programação!$J$4:$J$1003,D$5,Programação!$N$4:$N$1003,"&lt;&gt;Cancelada"))</f>
        <v>2</v>
      </c>
      <c r="E10" s="40" t="n">
        <f aca="false">IF($A10="","",COUNTIFS(Programação!$G$4:$G$1003,$A10,Programação!$J$4:$J$1003,E$5,Programação!$N$4:$N$1003,"&lt;&gt;Cancelada"))</f>
        <v>0</v>
      </c>
      <c r="F10" s="40" t="n">
        <f aca="false">IF($A10="","",COUNTIFS(Programação!$G$4:$G$1003,$A10,Programação!$J$4:$J$1003,F$5,Programação!$N$4:$N$1003,"&lt;&gt;Cancelada"))</f>
        <v>0</v>
      </c>
      <c r="G10" s="40" t="n">
        <f aca="false">IF($A10="","",COUNTIFS(Programação!$G$4:$G$1003,$A10,Programação!$J$4:$J$1003,G$5,Programação!$N$4:$N$1003,"&lt;&gt;Cancelada"))</f>
        <v>0</v>
      </c>
      <c r="H10" s="40" t="n">
        <f aca="false">IF($A10="","",COUNTIFS(Programação!$G$4:$G$1003,$A10,Programação!$J$4:$J$1003,H$5,Programação!$N$4:$N$1003,"&lt;&gt;Cancelada"))</f>
        <v>0</v>
      </c>
      <c r="I10" s="41" t="n">
        <f aca="false">IF($A10="","",SUM($B10:$H10))</f>
        <v>2</v>
      </c>
      <c r="J10" s="41" t="n">
        <f aca="false">IF($A10="","",COUNTIFS(Programação!$G$4:$G$1003,$A10,Programação!$J$4:$J$1003,"&gt;="&amp;$C$3,Programação!$J$4:$J$1003,"&lt;="&amp;$C$3+6,Programação!$N$4:$N$1003,"Concluída"))</f>
        <v>0</v>
      </c>
      <c r="K10" s="42" t="n">
        <f aca="false">IF(OR($A10="",$I10=0),"",$J10/$I10)</f>
        <v>0</v>
      </c>
      <c r="L10" s="41" t="n">
        <f aca="true">IF($A10="","",COUNTIFS(Programação!$G$4:$G$1003,$A10,Programação!$J$4:$J$1003,"&gt;="&amp;$C$3,Programação!$J$4:$J$1003,"&lt;="&amp;$C$3+6,Programação!$J$4:$J$1003,"&lt;"&amp;TODAY(),Programação!$N$4:$N$1003,"&lt;&gt;Concluída",Programação!$N$4:$N$1003,"&lt;&gt;Cancelada"))</f>
        <v>0</v>
      </c>
    </row>
    <row r="11" customFormat="false" ht="16.5" hidden="false" customHeight="true" outlineLevel="0" collapsed="false">
      <c r="A11" s="22" t="str">
        <f aca="false">IF(Listas!A10="","",Listas!A10)</f>
        <v>Anderson Reis</v>
      </c>
      <c r="B11" s="40" t="n">
        <f aca="false">IF($A11="","",COUNTIFS(Programação!$G$4:$G$1003,$A11,Programação!$J$4:$J$1003,B$5,Programação!$N$4:$N$1003,"&lt;&gt;Cancelada"))</f>
        <v>0</v>
      </c>
      <c r="C11" s="40" t="n">
        <f aca="false">IF($A11="","",COUNTIFS(Programação!$G$4:$G$1003,$A11,Programação!$J$4:$J$1003,C$5,Programação!$N$4:$N$1003,"&lt;&gt;Cancelada"))</f>
        <v>0</v>
      </c>
      <c r="D11" s="40" t="n">
        <f aca="false">IF($A11="","",COUNTIFS(Programação!$G$4:$G$1003,$A11,Programação!$J$4:$J$1003,D$5,Programação!$N$4:$N$1003,"&lt;&gt;Cancelada"))</f>
        <v>0</v>
      </c>
      <c r="E11" s="40" t="n">
        <f aca="false">IF($A11="","",COUNTIFS(Programação!$G$4:$G$1003,$A11,Programação!$J$4:$J$1003,E$5,Programação!$N$4:$N$1003,"&lt;&gt;Cancelada"))</f>
        <v>1</v>
      </c>
      <c r="F11" s="40" t="n">
        <f aca="false">IF($A11="","",COUNTIFS(Programação!$G$4:$G$1003,$A11,Programação!$J$4:$J$1003,F$5,Programação!$N$4:$N$1003,"&lt;&gt;Cancelada"))</f>
        <v>0</v>
      </c>
      <c r="G11" s="40" t="n">
        <f aca="false">IF($A11="","",COUNTIFS(Programação!$G$4:$G$1003,$A11,Programação!$J$4:$J$1003,G$5,Programação!$N$4:$N$1003,"&lt;&gt;Cancelada"))</f>
        <v>0</v>
      </c>
      <c r="H11" s="40" t="n">
        <f aca="false">IF($A11="","",COUNTIFS(Programação!$G$4:$G$1003,$A11,Programação!$J$4:$J$1003,H$5,Programação!$N$4:$N$1003,"&lt;&gt;Cancelada"))</f>
        <v>0</v>
      </c>
      <c r="I11" s="41" t="n">
        <f aca="false">IF($A11="","",SUM($B11:$H11))</f>
        <v>1</v>
      </c>
      <c r="J11" s="41" t="n">
        <f aca="false">IF($A11="","",COUNTIFS(Programação!$G$4:$G$1003,$A11,Programação!$J$4:$J$1003,"&gt;="&amp;$C$3,Programação!$J$4:$J$1003,"&lt;="&amp;$C$3+6,Programação!$N$4:$N$1003,"Concluída"))</f>
        <v>0</v>
      </c>
      <c r="K11" s="42" t="n">
        <f aca="false">IF(OR($A11="",$I11=0),"",$J11/$I11)</f>
        <v>0</v>
      </c>
      <c r="L11" s="41" t="n">
        <f aca="true">IF($A11="","",COUNTIFS(Programação!$G$4:$G$1003,$A11,Programação!$J$4:$J$1003,"&gt;="&amp;$C$3,Programação!$J$4:$J$1003,"&lt;="&amp;$C$3+6,Programação!$J$4:$J$1003,"&lt;"&amp;TODAY(),Programação!$N$4:$N$1003,"&lt;&gt;Concluída",Programação!$N$4:$N$1003,"&lt;&gt;Cancelada"))</f>
        <v>0</v>
      </c>
    </row>
    <row r="12" customFormat="false" ht="16.5" hidden="false" customHeight="true" outlineLevel="0" collapsed="false">
      <c r="A12" s="22" t="str">
        <f aca="false">IF(Listas!A11="","",Listas!A11)</f>
        <v>Fábio Nunes</v>
      </c>
      <c r="B12" s="40" t="n">
        <f aca="false">IF($A12="","",COUNTIFS(Programação!$G$4:$G$1003,$A12,Programação!$J$4:$J$1003,B$5,Programação!$N$4:$N$1003,"&lt;&gt;Cancelada"))</f>
        <v>0</v>
      </c>
      <c r="C12" s="40" t="n">
        <f aca="false">IF($A12="","",COUNTIFS(Programação!$G$4:$G$1003,$A12,Programação!$J$4:$J$1003,C$5,Programação!$N$4:$N$1003,"&lt;&gt;Cancelada"))</f>
        <v>0</v>
      </c>
      <c r="D12" s="40" t="n">
        <f aca="false">IF($A12="","",COUNTIFS(Programação!$G$4:$G$1003,$A12,Programação!$J$4:$J$1003,D$5,Programação!$N$4:$N$1003,"&lt;&gt;Cancelada"))</f>
        <v>0</v>
      </c>
      <c r="E12" s="40" t="n">
        <f aca="false">IF($A12="","",COUNTIFS(Programação!$G$4:$G$1003,$A12,Programação!$J$4:$J$1003,E$5,Programação!$N$4:$N$1003,"&lt;&gt;Cancelada"))</f>
        <v>0</v>
      </c>
      <c r="F12" s="40" t="n">
        <f aca="false">IF($A12="","",COUNTIFS(Programação!$G$4:$G$1003,$A12,Programação!$J$4:$J$1003,F$5,Programação!$N$4:$N$1003,"&lt;&gt;Cancelada"))</f>
        <v>1</v>
      </c>
      <c r="G12" s="40" t="n">
        <f aca="false">IF($A12="","",COUNTIFS(Programação!$G$4:$G$1003,$A12,Programação!$J$4:$J$1003,G$5,Programação!$N$4:$N$1003,"&lt;&gt;Cancelada"))</f>
        <v>0</v>
      </c>
      <c r="H12" s="40" t="n">
        <f aca="false">IF($A12="","",COUNTIFS(Programação!$G$4:$G$1003,$A12,Programação!$J$4:$J$1003,H$5,Programação!$N$4:$N$1003,"&lt;&gt;Cancelada"))</f>
        <v>0</v>
      </c>
      <c r="I12" s="41" t="n">
        <f aca="false">IF($A12="","",SUM($B12:$H12))</f>
        <v>1</v>
      </c>
      <c r="J12" s="41" t="n">
        <f aca="false">IF($A12="","",COUNTIFS(Programação!$G$4:$G$1003,$A12,Programação!$J$4:$J$1003,"&gt;="&amp;$C$3,Programação!$J$4:$J$1003,"&lt;="&amp;$C$3+6,Programação!$N$4:$N$1003,"Concluída"))</f>
        <v>0</v>
      </c>
      <c r="K12" s="42" t="n">
        <f aca="false">IF(OR($A12="",$I12=0),"",$J12/$I12)</f>
        <v>0</v>
      </c>
      <c r="L12" s="41" t="n">
        <f aca="true">IF($A12="","",COUNTIFS(Programação!$G$4:$G$1003,$A12,Programação!$J$4:$J$1003,"&gt;="&amp;$C$3,Programação!$J$4:$J$1003,"&lt;="&amp;$C$3+6,Programação!$J$4:$J$1003,"&lt;"&amp;TODAY(),Programação!$N$4:$N$1003,"&lt;&gt;Concluída",Programação!$N$4:$N$1003,"&lt;&gt;Cancelada"))</f>
        <v>0</v>
      </c>
    </row>
    <row r="13" customFormat="false" ht="16.5" hidden="false" customHeight="true" outlineLevel="0" collapsed="false">
      <c r="A13" s="22" t="str">
        <f aca="false">IF(Listas!A12="","",Listas!A12)</f>
        <v>Rogério Dias</v>
      </c>
      <c r="B13" s="40" t="n">
        <f aca="false">IF($A13="","",COUNTIFS(Programação!$G$4:$G$1003,$A13,Programação!$J$4:$J$1003,B$5,Programação!$N$4:$N$1003,"&lt;&gt;Cancelada"))</f>
        <v>0</v>
      </c>
      <c r="C13" s="40" t="n">
        <f aca="false">IF($A13="","",COUNTIFS(Programação!$G$4:$G$1003,$A13,Programação!$J$4:$J$1003,C$5,Programação!$N$4:$N$1003,"&lt;&gt;Cancelada"))</f>
        <v>0</v>
      </c>
      <c r="D13" s="40" t="n">
        <f aca="false">IF($A13="","",COUNTIFS(Programação!$G$4:$G$1003,$A13,Programação!$J$4:$J$1003,D$5,Programação!$N$4:$N$1003,"&lt;&gt;Cancelada"))</f>
        <v>0</v>
      </c>
      <c r="E13" s="40" t="n">
        <f aca="false">IF($A13="","",COUNTIFS(Programação!$G$4:$G$1003,$A13,Programação!$J$4:$J$1003,E$5,Programação!$N$4:$N$1003,"&lt;&gt;Cancelada"))</f>
        <v>0</v>
      </c>
      <c r="F13" s="40" t="n">
        <f aca="false">IF($A13="","",COUNTIFS(Programação!$G$4:$G$1003,$A13,Programação!$J$4:$J$1003,F$5,Programação!$N$4:$N$1003,"&lt;&gt;Cancelada"))</f>
        <v>0</v>
      </c>
      <c r="G13" s="40" t="n">
        <f aca="false">IF($A13="","",COUNTIFS(Programação!$G$4:$G$1003,$A13,Programação!$J$4:$J$1003,G$5,Programação!$N$4:$N$1003,"&lt;&gt;Cancelada"))</f>
        <v>0</v>
      </c>
      <c r="H13" s="40" t="n">
        <f aca="false">IF($A13="","",COUNTIFS(Programação!$G$4:$G$1003,$A13,Programação!$J$4:$J$1003,H$5,Programação!$N$4:$N$1003,"&lt;&gt;Cancelada"))</f>
        <v>0</v>
      </c>
      <c r="I13" s="41" t="n">
        <f aca="false">IF($A13="","",SUM($B13:$H13))</f>
        <v>0</v>
      </c>
      <c r="J13" s="41" t="n">
        <f aca="false">IF($A13="","",COUNTIFS(Programação!$G$4:$G$1003,$A13,Programação!$J$4:$J$1003,"&gt;="&amp;$C$3,Programação!$J$4:$J$1003,"&lt;="&amp;$C$3+6,Programação!$N$4:$N$1003,"Concluída"))</f>
        <v>0</v>
      </c>
      <c r="K13" s="42" t="str">
        <f aca="false">IF(OR($A13="",$I13=0),"",$J13/$I13)</f>
        <v/>
      </c>
      <c r="L13" s="41" t="n">
        <f aca="true">IF($A13="","",COUNTIFS(Programação!$G$4:$G$1003,$A13,Programação!$J$4:$J$1003,"&gt;="&amp;$C$3,Programação!$J$4:$J$1003,"&lt;="&amp;$C$3+6,Programação!$J$4:$J$1003,"&lt;"&amp;TODAY(),Programação!$N$4:$N$1003,"&lt;&gt;Concluída",Programação!$N$4:$N$1003,"&lt;&gt;Cancelada"))</f>
        <v>0</v>
      </c>
    </row>
    <row r="14" customFormat="false" ht="16.5" hidden="false" customHeight="true" outlineLevel="0" collapsed="false">
      <c r="A14" s="22" t="str">
        <f aca="false">IF(Listas!A13="","",Listas!A13)</f>
        <v/>
      </c>
      <c r="B14" s="40" t="str">
        <f aca="false">IF($A14="","",COUNTIFS(Programação!$G$4:$G$1003,$A14,Programação!$J$4:$J$1003,B$5,Programação!$N$4:$N$1003,"&lt;&gt;Cancelada"))</f>
        <v/>
      </c>
      <c r="C14" s="40" t="str">
        <f aca="false">IF($A14="","",COUNTIFS(Programação!$G$4:$G$1003,$A14,Programação!$J$4:$J$1003,C$5,Programação!$N$4:$N$1003,"&lt;&gt;Cancelada"))</f>
        <v/>
      </c>
      <c r="D14" s="40" t="str">
        <f aca="false">IF($A14="","",COUNTIFS(Programação!$G$4:$G$1003,$A14,Programação!$J$4:$J$1003,D$5,Programação!$N$4:$N$1003,"&lt;&gt;Cancelada"))</f>
        <v/>
      </c>
      <c r="E14" s="40" t="str">
        <f aca="false">IF($A14="","",COUNTIFS(Programação!$G$4:$G$1003,$A14,Programação!$J$4:$J$1003,E$5,Programação!$N$4:$N$1003,"&lt;&gt;Cancelada"))</f>
        <v/>
      </c>
      <c r="F14" s="40" t="str">
        <f aca="false">IF($A14="","",COUNTIFS(Programação!$G$4:$G$1003,$A14,Programação!$J$4:$J$1003,F$5,Programação!$N$4:$N$1003,"&lt;&gt;Cancelada"))</f>
        <v/>
      </c>
      <c r="G14" s="40" t="str">
        <f aca="false">IF($A14="","",COUNTIFS(Programação!$G$4:$G$1003,$A14,Programação!$J$4:$J$1003,G$5,Programação!$N$4:$N$1003,"&lt;&gt;Cancelada"))</f>
        <v/>
      </c>
      <c r="H14" s="40" t="str">
        <f aca="false">IF($A14="","",COUNTIFS(Programação!$G$4:$G$1003,$A14,Programação!$J$4:$J$1003,H$5,Programação!$N$4:$N$1003,"&lt;&gt;Cancelada"))</f>
        <v/>
      </c>
      <c r="I14" s="41" t="str">
        <f aca="false">IF($A14="","",SUM($B14:$H14))</f>
        <v/>
      </c>
      <c r="J14" s="41" t="str">
        <f aca="false">IF($A14="","",COUNTIFS(Programação!$G$4:$G$1003,$A14,Programação!$J$4:$J$1003,"&gt;="&amp;$C$3,Programação!$J$4:$J$1003,"&lt;="&amp;$C$3+6,Programação!$N$4:$N$1003,"Concluída"))</f>
        <v/>
      </c>
      <c r="K14" s="42" t="str">
        <f aca="false">IF(OR($A14="",$I14=0),"",$J14/$I14)</f>
        <v/>
      </c>
      <c r="L14" s="41" t="str">
        <f aca="true">IF($A14="","",COUNTIFS(Programação!$G$4:$G$1003,$A14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15" customFormat="false" ht="16.5" hidden="false" customHeight="true" outlineLevel="0" collapsed="false">
      <c r="A15" s="22" t="str">
        <f aca="false">IF(Listas!A14="","",Listas!A14)</f>
        <v/>
      </c>
      <c r="B15" s="40" t="str">
        <f aca="false">IF($A15="","",COUNTIFS(Programação!$G$4:$G$1003,$A15,Programação!$J$4:$J$1003,B$5,Programação!$N$4:$N$1003,"&lt;&gt;Cancelada"))</f>
        <v/>
      </c>
      <c r="C15" s="40" t="str">
        <f aca="false">IF($A15="","",COUNTIFS(Programação!$G$4:$G$1003,$A15,Programação!$J$4:$J$1003,C$5,Programação!$N$4:$N$1003,"&lt;&gt;Cancelada"))</f>
        <v/>
      </c>
      <c r="D15" s="40" t="str">
        <f aca="false">IF($A15="","",COUNTIFS(Programação!$G$4:$G$1003,$A15,Programação!$J$4:$J$1003,D$5,Programação!$N$4:$N$1003,"&lt;&gt;Cancelada"))</f>
        <v/>
      </c>
      <c r="E15" s="40" t="str">
        <f aca="false">IF($A15="","",COUNTIFS(Programação!$G$4:$G$1003,$A15,Programação!$J$4:$J$1003,E$5,Programação!$N$4:$N$1003,"&lt;&gt;Cancelada"))</f>
        <v/>
      </c>
      <c r="F15" s="40" t="str">
        <f aca="false">IF($A15="","",COUNTIFS(Programação!$G$4:$G$1003,$A15,Programação!$J$4:$J$1003,F$5,Programação!$N$4:$N$1003,"&lt;&gt;Cancelada"))</f>
        <v/>
      </c>
      <c r="G15" s="40" t="str">
        <f aca="false">IF($A15="","",COUNTIFS(Programação!$G$4:$G$1003,$A15,Programação!$J$4:$J$1003,G$5,Programação!$N$4:$N$1003,"&lt;&gt;Cancelada"))</f>
        <v/>
      </c>
      <c r="H15" s="40" t="str">
        <f aca="false">IF($A15="","",COUNTIFS(Programação!$G$4:$G$1003,$A15,Programação!$J$4:$J$1003,H$5,Programação!$N$4:$N$1003,"&lt;&gt;Cancelada"))</f>
        <v/>
      </c>
      <c r="I15" s="41" t="str">
        <f aca="false">IF($A15="","",SUM($B15:$H15))</f>
        <v/>
      </c>
      <c r="J15" s="41" t="str">
        <f aca="false">IF($A15="","",COUNTIFS(Programação!$G$4:$G$1003,$A15,Programação!$J$4:$J$1003,"&gt;="&amp;$C$3,Programação!$J$4:$J$1003,"&lt;="&amp;$C$3+6,Programação!$N$4:$N$1003,"Concluída"))</f>
        <v/>
      </c>
      <c r="K15" s="42" t="str">
        <f aca="false">IF(OR($A15="",$I15=0),"",$J15/$I15)</f>
        <v/>
      </c>
      <c r="L15" s="41" t="str">
        <f aca="true">IF($A15="","",COUNTIFS(Programação!$G$4:$G$1003,$A15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16" customFormat="false" ht="16.5" hidden="false" customHeight="true" outlineLevel="0" collapsed="false">
      <c r="A16" s="22" t="str">
        <f aca="false">IF(Listas!A15="","",Listas!A15)</f>
        <v/>
      </c>
      <c r="B16" s="40" t="str">
        <f aca="false">IF($A16="","",COUNTIFS(Programação!$G$4:$G$1003,$A16,Programação!$J$4:$J$1003,B$5,Programação!$N$4:$N$1003,"&lt;&gt;Cancelada"))</f>
        <v/>
      </c>
      <c r="C16" s="40" t="str">
        <f aca="false">IF($A16="","",COUNTIFS(Programação!$G$4:$G$1003,$A16,Programação!$J$4:$J$1003,C$5,Programação!$N$4:$N$1003,"&lt;&gt;Cancelada"))</f>
        <v/>
      </c>
      <c r="D16" s="40" t="str">
        <f aca="false">IF($A16="","",COUNTIFS(Programação!$G$4:$G$1003,$A16,Programação!$J$4:$J$1003,D$5,Programação!$N$4:$N$1003,"&lt;&gt;Cancelada"))</f>
        <v/>
      </c>
      <c r="E16" s="40" t="str">
        <f aca="false">IF($A16="","",COUNTIFS(Programação!$G$4:$G$1003,$A16,Programação!$J$4:$J$1003,E$5,Programação!$N$4:$N$1003,"&lt;&gt;Cancelada"))</f>
        <v/>
      </c>
      <c r="F16" s="40" t="str">
        <f aca="false">IF($A16="","",COUNTIFS(Programação!$G$4:$G$1003,$A16,Programação!$J$4:$J$1003,F$5,Programação!$N$4:$N$1003,"&lt;&gt;Cancelada"))</f>
        <v/>
      </c>
      <c r="G16" s="40" t="str">
        <f aca="false">IF($A16="","",COUNTIFS(Programação!$G$4:$G$1003,$A16,Programação!$J$4:$J$1003,G$5,Programação!$N$4:$N$1003,"&lt;&gt;Cancelada"))</f>
        <v/>
      </c>
      <c r="H16" s="40" t="str">
        <f aca="false">IF($A16="","",COUNTIFS(Programação!$G$4:$G$1003,$A16,Programação!$J$4:$J$1003,H$5,Programação!$N$4:$N$1003,"&lt;&gt;Cancelada"))</f>
        <v/>
      </c>
      <c r="I16" s="41" t="str">
        <f aca="false">IF($A16="","",SUM($B16:$H16))</f>
        <v/>
      </c>
      <c r="J16" s="41" t="str">
        <f aca="false">IF($A16="","",COUNTIFS(Programação!$G$4:$G$1003,$A16,Programação!$J$4:$J$1003,"&gt;="&amp;$C$3,Programação!$J$4:$J$1003,"&lt;="&amp;$C$3+6,Programação!$N$4:$N$1003,"Concluída"))</f>
        <v/>
      </c>
      <c r="K16" s="42" t="str">
        <f aca="false">IF(OR($A16="",$I16=0),"",$J16/$I16)</f>
        <v/>
      </c>
      <c r="L16" s="41" t="str">
        <f aca="true">IF($A16="","",COUNTIFS(Programação!$G$4:$G$1003,$A16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17" customFormat="false" ht="16.5" hidden="false" customHeight="true" outlineLevel="0" collapsed="false">
      <c r="A17" s="22" t="str">
        <f aca="false">IF(Listas!A16="","",Listas!A16)</f>
        <v/>
      </c>
      <c r="B17" s="40" t="str">
        <f aca="false">IF($A17="","",COUNTIFS(Programação!$G$4:$G$1003,$A17,Programação!$J$4:$J$1003,B$5,Programação!$N$4:$N$1003,"&lt;&gt;Cancelada"))</f>
        <v/>
      </c>
      <c r="C17" s="40" t="str">
        <f aca="false">IF($A17="","",COUNTIFS(Programação!$G$4:$G$1003,$A17,Programação!$J$4:$J$1003,C$5,Programação!$N$4:$N$1003,"&lt;&gt;Cancelada"))</f>
        <v/>
      </c>
      <c r="D17" s="40" t="str">
        <f aca="false">IF($A17="","",COUNTIFS(Programação!$G$4:$G$1003,$A17,Programação!$J$4:$J$1003,D$5,Programação!$N$4:$N$1003,"&lt;&gt;Cancelada"))</f>
        <v/>
      </c>
      <c r="E17" s="40" t="str">
        <f aca="false">IF($A17="","",COUNTIFS(Programação!$G$4:$G$1003,$A17,Programação!$J$4:$J$1003,E$5,Programação!$N$4:$N$1003,"&lt;&gt;Cancelada"))</f>
        <v/>
      </c>
      <c r="F17" s="40" t="str">
        <f aca="false">IF($A17="","",COUNTIFS(Programação!$G$4:$G$1003,$A17,Programação!$J$4:$J$1003,F$5,Programação!$N$4:$N$1003,"&lt;&gt;Cancelada"))</f>
        <v/>
      </c>
      <c r="G17" s="40" t="str">
        <f aca="false">IF($A17="","",COUNTIFS(Programação!$G$4:$G$1003,$A17,Programação!$J$4:$J$1003,G$5,Programação!$N$4:$N$1003,"&lt;&gt;Cancelada"))</f>
        <v/>
      </c>
      <c r="H17" s="40" t="str">
        <f aca="false">IF($A17="","",COUNTIFS(Programação!$G$4:$G$1003,$A17,Programação!$J$4:$J$1003,H$5,Programação!$N$4:$N$1003,"&lt;&gt;Cancelada"))</f>
        <v/>
      </c>
      <c r="I17" s="41" t="str">
        <f aca="false">IF($A17="","",SUM($B17:$H17))</f>
        <v/>
      </c>
      <c r="J17" s="41" t="str">
        <f aca="false">IF($A17="","",COUNTIFS(Programação!$G$4:$G$1003,$A17,Programação!$J$4:$J$1003,"&gt;="&amp;$C$3,Programação!$J$4:$J$1003,"&lt;="&amp;$C$3+6,Programação!$N$4:$N$1003,"Concluída"))</f>
        <v/>
      </c>
      <c r="K17" s="42" t="str">
        <f aca="false">IF(OR($A17="",$I17=0),"",$J17/$I17)</f>
        <v/>
      </c>
      <c r="L17" s="41" t="str">
        <f aca="true">IF($A17="","",COUNTIFS(Programação!$G$4:$G$1003,$A17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18" customFormat="false" ht="16.5" hidden="false" customHeight="true" outlineLevel="0" collapsed="false">
      <c r="A18" s="22" t="str">
        <f aca="false">IF(Listas!A17="","",Listas!A17)</f>
        <v/>
      </c>
      <c r="B18" s="40" t="str">
        <f aca="false">IF($A18="","",COUNTIFS(Programação!$G$4:$G$1003,$A18,Programação!$J$4:$J$1003,B$5,Programação!$N$4:$N$1003,"&lt;&gt;Cancelada"))</f>
        <v/>
      </c>
      <c r="C18" s="40" t="str">
        <f aca="false">IF($A18="","",COUNTIFS(Programação!$G$4:$G$1003,$A18,Programação!$J$4:$J$1003,C$5,Programação!$N$4:$N$1003,"&lt;&gt;Cancelada"))</f>
        <v/>
      </c>
      <c r="D18" s="40" t="str">
        <f aca="false">IF($A18="","",COUNTIFS(Programação!$G$4:$G$1003,$A18,Programação!$J$4:$J$1003,D$5,Programação!$N$4:$N$1003,"&lt;&gt;Cancelada"))</f>
        <v/>
      </c>
      <c r="E18" s="40" t="str">
        <f aca="false">IF($A18="","",COUNTIFS(Programação!$G$4:$G$1003,$A18,Programação!$J$4:$J$1003,E$5,Programação!$N$4:$N$1003,"&lt;&gt;Cancelada"))</f>
        <v/>
      </c>
      <c r="F18" s="40" t="str">
        <f aca="false">IF($A18="","",COUNTIFS(Programação!$G$4:$G$1003,$A18,Programação!$J$4:$J$1003,F$5,Programação!$N$4:$N$1003,"&lt;&gt;Cancelada"))</f>
        <v/>
      </c>
      <c r="G18" s="40" t="str">
        <f aca="false">IF($A18="","",COUNTIFS(Programação!$G$4:$G$1003,$A18,Programação!$J$4:$J$1003,G$5,Programação!$N$4:$N$1003,"&lt;&gt;Cancelada"))</f>
        <v/>
      </c>
      <c r="H18" s="40" t="str">
        <f aca="false">IF($A18="","",COUNTIFS(Programação!$G$4:$G$1003,$A18,Programação!$J$4:$J$1003,H$5,Programação!$N$4:$N$1003,"&lt;&gt;Cancelada"))</f>
        <v/>
      </c>
      <c r="I18" s="41" t="str">
        <f aca="false">IF($A18="","",SUM($B18:$H18))</f>
        <v/>
      </c>
      <c r="J18" s="41" t="str">
        <f aca="false">IF($A18="","",COUNTIFS(Programação!$G$4:$G$1003,$A18,Programação!$J$4:$J$1003,"&gt;="&amp;$C$3,Programação!$J$4:$J$1003,"&lt;="&amp;$C$3+6,Programação!$N$4:$N$1003,"Concluída"))</f>
        <v/>
      </c>
      <c r="K18" s="42" t="str">
        <f aca="false">IF(OR($A18="",$I18=0),"",$J18/$I18)</f>
        <v/>
      </c>
      <c r="L18" s="41" t="str">
        <f aca="true">IF($A18="","",COUNTIFS(Programação!$G$4:$G$1003,$A18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19" customFormat="false" ht="16.5" hidden="false" customHeight="true" outlineLevel="0" collapsed="false">
      <c r="A19" s="22" t="str">
        <f aca="false">IF(Listas!A18="","",Listas!A18)</f>
        <v/>
      </c>
      <c r="B19" s="40" t="str">
        <f aca="false">IF($A19="","",COUNTIFS(Programação!$G$4:$G$1003,$A19,Programação!$J$4:$J$1003,B$5,Programação!$N$4:$N$1003,"&lt;&gt;Cancelada"))</f>
        <v/>
      </c>
      <c r="C19" s="40" t="str">
        <f aca="false">IF($A19="","",COUNTIFS(Programação!$G$4:$G$1003,$A19,Programação!$J$4:$J$1003,C$5,Programação!$N$4:$N$1003,"&lt;&gt;Cancelada"))</f>
        <v/>
      </c>
      <c r="D19" s="40" t="str">
        <f aca="false">IF($A19="","",COUNTIFS(Programação!$G$4:$G$1003,$A19,Programação!$J$4:$J$1003,D$5,Programação!$N$4:$N$1003,"&lt;&gt;Cancelada"))</f>
        <v/>
      </c>
      <c r="E19" s="40" t="str">
        <f aca="false">IF($A19="","",COUNTIFS(Programação!$G$4:$G$1003,$A19,Programação!$J$4:$J$1003,E$5,Programação!$N$4:$N$1003,"&lt;&gt;Cancelada"))</f>
        <v/>
      </c>
      <c r="F19" s="40" t="str">
        <f aca="false">IF($A19="","",COUNTIFS(Programação!$G$4:$G$1003,$A19,Programação!$J$4:$J$1003,F$5,Programação!$N$4:$N$1003,"&lt;&gt;Cancelada"))</f>
        <v/>
      </c>
      <c r="G19" s="40" t="str">
        <f aca="false">IF($A19="","",COUNTIFS(Programação!$G$4:$G$1003,$A19,Programação!$J$4:$J$1003,G$5,Programação!$N$4:$N$1003,"&lt;&gt;Cancelada"))</f>
        <v/>
      </c>
      <c r="H19" s="40" t="str">
        <f aca="false">IF($A19="","",COUNTIFS(Programação!$G$4:$G$1003,$A19,Programação!$J$4:$J$1003,H$5,Programação!$N$4:$N$1003,"&lt;&gt;Cancelada"))</f>
        <v/>
      </c>
      <c r="I19" s="41" t="str">
        <f aca="false">IF($A19="","",SUM($B19:$H19))</f>
        <v/>
      </c>
      <c r="J19" s="41" t="str">
        <f aca="false">IF($A19="","",COUNTIFS(Programação!$G$4:$G$1003,$A19,Programação!$J$4:$J$1003,"&gt;="&amp;$C$3,Programação!$J$4:$J$1003,"&lt;="&amp;$C$3+6,Programação!$N$4:$N$1003,"Concluída"))</f>
        <v/>
      </c>
      <c r="K19" s="42" t="str">
        <f aca="false">IF(OR($A19="",$I19=0),"",$J19/$I19)</f>
        <v/>
      </c>
      <c r="L19" s="41" t="str">
        <f aca="true">IF($A19="","",COUNTIFS(Programação!$G$4:$G$1003,$A19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0" customFormat="false" ht="16.5" hidden="false" customHeight="true" outlineLevel="0" collapsed="false">
      <c r="A20" s="22" t="str">
        <f aca="false">IF(Listas!A19="","",Listas!A19)</f>
        <v/>
      </c>
      <c r="B20" s="40" t="str">
        <f aca="false">IF($A20="","",COUNTIFS(Programação!$G$4:$G$1003,$A20,Programação!$J$4:$J$1003,B$5,Programação!$N$4:$N$1003,"&lt;&gt;Cancelada"))</f>
        <v/>
      </c>
      <c r="C20" s="40" t="str">
        <f aca="false">IF($A20="","",COUNTIFS(Programação!$G$4:$G$1003,$A20,Programação!$J$4:$J$1003,C$5,Programação!$N$4:$N$1003,"&lt;&gt;Cancelada"))</f>
        <v/>
      </c>
      <c r="D20" s="40" t="str">
        <f aca="false">IF($A20="","",COUNTIFS(Programação!$G$4:$G$1003,$A20,Programação!$J$4:$J$1003,D$5,Programação!$N$4:$N$1003,"&lt;&gt;Cancelada"))</f>
        <v/>
      </c>
      <c r="E20" s="40" t="str">
        <f aca="false">IF($A20="","",COUNTIFS(Programação!$G$4:$G$1003,$A20,Programação!$J$4:$J$1003,E$5,Programação!$N$4:$N$1003,"&lt;&gt;Cancelada"))</f>
        <v/>
      </c>
      <c r="F20" s="40" t="str">
        <f aca="false">IF($A20="","",COUNTIFS(Programação!$G$4:$G$1003,$A20,Programação!$J$4:$J$1003,F$5,Programação!$N$4:$N$1003,"&lt;&gt;Cancelada"))</f>
        <v/>
      </c>
      <c r="G20" s="40" t="str">
        <f aca="false">IF($A20="","",COUNTIFS(Programação!$G$4:$G$1003,$A20,Programação!$J$4:$J$1003,G$5,Programação!$N$4:$N$1003,"&lt;&gt;Cancelada"))</f>
        <v/>
      </c>
      <c r="H20" s="40" t="str">
        <f aca="false">IF($A20="","",COUNTIFS(Programação!$G$4:$G$1003,$A20,Programação!$J$4:$J$1003,H$5,Programação!$N$4:$N$1003,"&lt;&gt;Cancelada"))</f>
        <v/>
      </c>
      <c r="I20" s="41" t="str">
        <f aca="false">IF($A20="","",SUM($B20:$H20))</f>
        <v/>
      </c>
      <c r="J20" s="41" t="str">
        <f aca="false">IF($A20="","",COUNTIFS(Programação!$G$4:$G$1003,$A20,Programação!$J$4:$J$1003,"&gt;="&amp;$C$3,Programação!$J$4:$J$1003,"&lt;="&amp;$C$3+6,Programação!$N$4:$N$1003,"Concluída"))</f>
        <v/>
      </c>
      <c r="K20" s="42" t="str">
        <f aca="false">IF(OR($A20="",$I20=0),"",$J20/$I20)</f>
        <v/>
      </c>
      <c r="L20" s="41" t="str">
        <f aca="true">IF($A20="","",COUNTIFS(Programação!$G$4:$G$1003,$A20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1" customFormat="false" ht="16.5" hidden="false" customHeight="true" outlineLevel="0" collapsed="false">
      <c r="A21" s="22" t="str">
        <f aca="false">IF(Listas!A20="","",Listas!A20)</f>
        <v/>
      </c>
      <c r="B21" s="40" t="str">
        <f aca="false">IF($A21="","",COUNTIFS(Programação!$G$4:$G$1003,$A21,Programação!$J$4:$J$1003,B$5,Programação!$N$4:$N$1003,"&lt;&gt;Cancelada"))</f>
        <v/>
      </c>
      <c r="C21" s="40" t="str">
        <f aca="false">IF($A21="","",COUNTIFS(Programação!$G$4:$G$1003,$A21,Programação!$J$4:$J$1003,C$5,Programação!$N$4:$N$1003,"&lt;&gt;Cancelada"))</f>
        <v/>
      </c>
      <c r="D21" s="40" t="str">
        <f aca="false">IF($A21="","",COUNTIFS(Programação!$G$4:$G$1003,$A21,Programação!$J$4:$J$1003,D$5,Programação!$N$4:$N$1003,"&lt;&gt;Cancelada"))</f>
        <v/>
      </c>
      <c r="E21" s="40" t="str">
        <f aca="false">IF($A21="","",COUNTIFS(Programação!$G$4:$G$1003,$A21,Programação!$J$4:$J$1003,E$5,Programação!$N$4:$N$1003,"&lt;&gt;Cancelada"))</f>
        <v/>
      </c>
      <c r="F21" s="40" t="str">
        <f aca="false">IF($A21="","",COUNTIFS(Programação!$G$4:$G$1003,$A21,Programação!$J$4:$J$1003,F$5,Programação!$N$4:$N$1003,"&lt;&gt;Cancelada"))</f>
        <v/>
      </c>
      <c r="G21" s="40" t="str">
        <f aca="false">IF($A21="","",COUNTIFS(Programação!$G$4:$G$1003,$A21,Programação!$J$4:$J$1003,G$5,Programação!$N$4:$N$1003,"&lt;&gt;Cancelada"))</f>
        <v/>
      </c>
      <c r="H21" s="40" t="str">
        <f aca="false">IF($A21="","",COUNTIFS(Programação!$G$4:$G$1003,$A21,Programação!$J$4:$J$1003,H$5,Programação!$N$4:$N$1003,"&lt;&gt;Cancelada"))</f>
        <v/>
      </c>
      <c r="I21" s="41" t="str">
        <f aca="false">IF($A21="","",SUM($B21:$H21))</f>
        <v/>
      </c>
      <c r="J21" s="41" t="str">
        <f aca="false">IF($A21="","",COUNTIFS(Programação!$G$4:$G$1003,$A21,Programação!$J$4:$J$1003,"&gt;="&amp;$C$3,Programação!$J$4:$J$1003,"&lt;="&amp;$C$3+6,Programação!$N$4:$N$1003,"Concluída"))</f>
        <v/>
      </c>
      <c r="K21" s="42" t="str">
        <f aca="false">IF(OR($A21="",$I21=0),"",$J21/$I21)</f>
        <v/>
      </c>
      <c r="L21" s="41" t="str">
        <f aca="true">IF($A21="","",COUNTIFS(Programação!$G$4:$G$1003,$A21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2" customFormat="false" ht="16.5" hidden="false" customHeight="true" outlineLevel="0" collapsed="false">
      <c r="A22" s="22" t="str">
        <f aca="false">IF(Listas!A21="","",Listas!A21)</f>
        <v/>
      </c>
      <c r="B22" s="40" t="str">
        <f aca="false">IF($A22="","",COUNTIFS(Programação!$G$4:$G$1003,$A22,Programação!$J$4:$J$1003,B$5,Programação!$N$4:$N$1003,"&lt;&gt;Cancelada"))</f>
        <v/>
      </c>
      <c r="C22" s="40" t="str">
        <f aca="false">IF($A22="","",COUNTIFS(Programação!$G$4:$G$1003,$A22,Programação!$J$4:$J$1003,C$5,Programação!$N$4:$N$1003,"&lt;&gt;Cancelada"))</f>
        <v/>
      </c>
      <c r="D22" s="40" t="str">
        <f aca="false">IF($A22="","",COUNTIFS(Programação!$G$4:$G$1003,$A22,Programação!$J$4:$J$1003,D$5,Programação!$N$4:$N$1003,"&lt;&gt;Cancelada"))</f>
        <v/>
      </c>
      <c r="E22" s="40" t="str">
        <f aca="false">IF($A22="","",COUNTIFS(Programação!$G$4:$G$1003,$A22,Programação!$J$4:$J$1003,E$5,Programação!$N$4:$N$1003,"&lt;&gt;Cancelada"))</f>
        <v/>
      </c>
      <c r="F22" s="40" t="str">
        <f aca="false">IF($A22="","",COUNTIFS(Programação!$G$4:$G$1003,$A22,Programação!$J$4:$J$1003,F$5,Programação!$N$4:$N$1003,"&lt;&gt;Cancelada"))</f>
        <v/>
      </c>
      <c r="G22" s="40" t="str">
        <f aca="false">IF($A22="","",COUNTIFS(Programação!$G$4:$G$1003,$A22,Programação!$J$4:$J$1003,G$5,Programação!$N$4:$N$1003,"&lt;&gt;Cancelada"))</f>
        <v/>
      </c>
      <c r="H22" s="40" t="str">
        <f aca="false">IF($A22="","",COUNTIFS(Programação!$G$4:$G$1003,$A22,Programação!$J$4:$J$1003,H$5,Programação!$N$4:$N$1003,"&lt;&gt;Cancelada"))</f>
        <v/>
      </c>
      <c r="I22" s="41" t="str">
        <f aca="false">IF($A22="","",SUM($B22:$H22))</f>
        <v/>
      </c>
      <c r="J22" s="41" t="str">
        <f aca="false">IF($A22="","",COUNTIFS(Programação!$G$4:$G$1003,$A22,Programação!$J$4:$J$1003,"&gt;="&amp;$C$3,Programação!$J$4:$J$1003,"&lt;="&amp;$C$3+6,Programação!$N$4:$N$1003,"Concluída"))</f>
        <v/>
      </c>
      <c r="K22" s="42" t="str">
        <f aca="false">IF(OR($A22="",$I22=0),"",$J22/$I22)</f>
        <v/>
      </c>
      <c r="L22" s="41" t="str">
        <f aca="true">IF($A22="","",COUNTIFS(Programação!$G$4:$G$1003,$A22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3" customFormat="false" ht="16.5" hidden="false" customHeight="true" outlineLevel="0" collapsed="false">
      <c r="A23" s="22" t="str">
        <f aca="false">IF(Listas!A22="","",Listas!A22)</f>
        <v/>
      </c>
      <c r="B23" s="40" t="str">
        <f aca="false">IF($A23="","",COUNTIFS(Programação!$G$4:$G$1003,$A23,Programação!$J$4:$J$1003,B$5,Programação!$N$4:$N$1003,"&lt;&gt;Cancelada"))</f>
        <v/>
      </c>
      <c r="C23" s="40" t="str">
        <f aca="false">IF($A23="","",COUNTIFS(Programação!$G$4:$G$1003,$A23,Programação!$J$4:$J$1003,C$5,Programação!$N$4:$N$1003,"&lt;&gt;Cancelada"))</f>
        <v/>
      </c>
      <c r="D23" s="40" t="str">
        <f aca="false">IF($A23="","",COUNTIFS(Programação!$G$4:$G$1003,$A23,Programação!$J$4:$J$1003,D$5,Programação!$N$4:$N$1003,"&lt;&gt;Cancelada"))</f>
        <v/>
      </c>
      <c r="E23" s="40" t="str">
        <f aca="false">IF($A23="","",COUNTIFS(Programação!$G$4:$G$1003,$A23,Programação!$J$4:$J$1003,E$5,Programação!$N$4:$N$1003,"&lt;&gt;Cancelada"))</f>
        <v/>
      </c>
      <c r="F23" s="40" t="str">
        <f aca="false">IF($A23="","",COUNTIFS(Programação!$G$4:$G$1003,$A23,Programação!$J$4:$J$1003,F$5,Programação!$N$4:$N$1003,"&lt;&gt;Cancelada"))</f>
        <v/>
      </c>
      <c r="G23" s="40" t="str">
        <f aca="false">IF($A23="","",COUNTIFS(Programação!$G$4:$G$1003,$A23,Programação!$J$4:$J$1003,G$5,Programação!$N$4:$N$1003,"&lt;&gt;Cancelada"))</f>
        <v/>
      </c>
      <c r="H23" s="40" t="str">
        <f aca="false">IF($A23="","",COUNTIFS(Programação!$G$4:$G$1003,$A23,Programação!$J$4:$J$1003,H$5,Programação!$N$4:$N$1003,"&lt;&gt;Cancelada"))</f>
        <v/>
      </c>
      <c r="I23" s="41" t="str">
        <f aca="false">IF($A23="","",SUM($B23:$H23))</f>
        <v/>
      </c>
      <c r="J23" s="41" t="str">
        <f aca="false">IF($A23="","",COUNTIFS(Programação!$G$4:$G$1003,$A23,Programação!$J$4:$J$1003,"&gt;="&amp;$C$3,Programação!$J$4:$J$1003,"&lt;="&amp;$C$3+6,Programação!$N$4:$N$1003,"Concluída"))</f>
        <v/>
      </c>
      <c r="K23" s="42" t="str">
        <f aca="false">IF(OR($A23="",$I23=0),"",$J23/$I23)</f>
        <v/>
      </c>
      <c r="L23" s="41" t="str">
        <f aca="true">IF($A23="","",COUNTIFS(Programação!$G$4:$G$1003,$A23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4" customFormat="false" ht="16.5" hidden="false" customHeight="true" outlineLevel="0" collapsed="false">
      <c r="A24" s="22" t="str">
        <f aca="false">IF(Listas!A23="","",Listas!A23)</f>
        <v/>
      </c>
      <c r="B24" s="40" t="str">
        <f aca="false">IF($A24="","",COUNTIFS(Programação!$G$4:$G$1003,$A24,Programação!$J$4:$J$1003,B$5,Programação!$N$4:$N$1003,"&lt;&gt;Cancelada"))</f>
        <v/>
      </c>
      <c r="C24" s="40" t="str">
        <f aca="false">IF($A24="","",COUNTIFS(Programação!$G$4:$G$1003,$A24,Programação!$J$4:$J$1003,C$5,Programação!$N$4:$N$1003,"&lt;&gt;Cancelada"))</f>
        <v/>
      </c>
      <c r="D24" s="40" t="str">
        <f aca="false">IF($A24="","",COUNTIFS(Programação!$G$4:$G$1003,$A24,Programação!$J$4:$J$1003,D$5,Programação!$N$4:$N$1003,"&lt;&gt;Cancelada"))</f>
        <v/>
      </c>
      <c r="E24" s="40" t="str">
        <f aca="false">IF($A24="","",COUNTIFS(Programação!$G$4:$G$1003,$A24,Programação!$J$4:$J$1003,E$5,Programação!$N$4:$N$1003,"&lt;&gt;Cancelada"))</f>
        <v/>
      </c>
      <c r="F24" s="40" t="str">
        <f aca="false">IF($A24="","",COUNTIFS(Programação!$G$4:$G$1003,$A24,Programação!$J$4:$J$1003,F$5,Programação!$N$4:$N$1003,"&lt;&gt;Cancelada"))</f>
        <v/>
      </c>
      <c r="G24" s="40" t="str">
        <f aca="false">IF($A24="","",COUNTIFS(Programação!$G$4:$G$1003,$A24,Programação!$J$4:$J$1003,G$5,Programação!$N$4:$N$1003,"&lt;&gt;Cancelada"))</f>
        <v/>
      </c>
      <c r="H24" s="40" t="str">
        <f aca="false">IF($A24="","",COUNTIFS(Programação!$G$4:$G$1003,$A24,Programação!$J$4:$J$1003,H$5,Programação!$N$4:$N$1003,"&lt;&gt;Cancelada"))</f>
        <v/>
      </c>
      <c r="I24" s="41" t="str">
        <f aca="false">IF($A24="","",SUM($B24:$H24))</f>
        <v/>
      </c>
      <c r="J24" s="41" t="str">
        <f aca="false">IF($A24="","",COUNTIFS(Programação!$G$4:$G$1003,$A24,Programação!$J$4:$J$1003,"&gt;="&amp;$C$3,Programação!$J$4:$J$1003,"&lt;="&amp;$C$3+6,Programação!$N$4:$N$1003,"Concluída"))</f>
        <v/>
      </c>
      <c r="K24" s="42" t="str">
        <f aca="false">IF(OR($A24="",$I24=0),"",$J24/$I24)</f>
        <v/>
      </c>
      <c r="L24" s="41" t="str">
        <f aca="true">IF($A24="","",COUNTIFS(Programação!$G$4:$G$1003,$A24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5" customFormat="false" ht="16.5" hidden="false" customHeight="true" outlineLevel="0" collapsed="false">
      <c r="A25" s="22" t="str">
        <f aca="false">IF(Listas!A24="","",Listas!A24)</f>
        <v/>
      </c>
      <c r="B25" s="40" t="str">
        <f aca="false">IF($A25="","",COUNTIFS(Programação!$G$4:$G$1003,$A25,Programação!$J$4:$J$1003,B$5,Programação!$N$4:$N$1003,"&lt;&gt;Cancelada"))</f>
        <v/>
      </c>
      <c r="C25" s="40" t="str">
        <f aca="false">IF($A25="","",COUNTIFS(Programação!$G$4:$G$1003,$A25,Programação!$J$4:$J$1003,C$5,Programação!$N$4:$N$1003,"&lt;&gt;Cancelada"))</f>
        <v/>
      </c>
      <c r="D25" s="40" t="str">
        <f aca="false">IF($A25="","",COUNTIFS(Programação!$G$4:$G$1003,$A25,Programação!$J$4:$J$1003,D$5,Programação!$N$4:$N$1003,"&lt;&gt;Cancelada"))</f>
        <v/>
      </c>
      <c r="E25" s="40" t="str">
        <f aca="false">IF($A25="","",COUNTIFS(Programação!$G$4:$G$1003,$A25,Programação!$J$4:$J$1003,E$5,Programação!$N$4:$N$1003,"&lt;&gt;Cancelada"))</f>
        <v/>
      </c>
      <c r="F25" s="40" t="str">
        <f aca="false">IF($A25="","",COUNTIFS(Programação!$G$4:$G$1003,$A25,Programação!$J$4:$J$1003,F$5,Programação!$N$4:$N$1003,"&lt;&gt;Cancelada"))</f>
        <v/>
      </c>
      <c r="G25" s="40" t="str">
        <f aca="false">IF($A25="","",COUNTIFS(Programação!$G$4:$G$1003,$A25,Programação!$J$4:$J$1003,G$5,Programação!$N$4:$N$1003,"&lt;&gt;Cancelada"))</f>
        <v/>
      </c>
      <c r="H25" s="40" t="str">
        <f aca="false">IF($A25="","",COUNTIFS(Programação!$G$4:$G$1003,$A25,Programação!$J$4:$J$1003,H$5,Programação!$N$4:$N$1003,"&lt;&gt;Cancelada"))</f>
        <v/>
      </c>
      <c r="I25" s="41" t="str">
        <f aca="false">IF($A25="","",SUM($B25:$H25))</f>
        <v/>
      </c>
      <c r="J25" s="41" t="str">
        <f aca="false">IF($A25="","",COUNTIFS(Programação!$G$4:$G$1003,$A25,Programação!$J$4:$J$1003,"&gt;="&amp;$C$3,Programação!$J$4:$J$1003,"&lt;="&amp;$C$3+6,Programação!$N$4:$N$1003,"Concluída"))</f>
        <v/>
      </c>
      <c r="K25" s="42" t="str">
        <f aca="false">IF(OR($A25="",$I25=0),"",$J25/$I25)</f>
        <v/>
      </c>
      <c r="L25" s="41" t="str">
        <f aca="true">IF($A25="","",COUNTIFS(Programação!$G$4:$G$1003,$A25,Programação!$J$4:$J$1003,"&gt;="&amp;$C$3,Programação!$J$4:$J$1003,"&lt;="&amp;$C$3+6,Programação!$J$4:$J$1003,"&lt;"&amp;TODAY(),Programação!$N$4:$N$1003,"&lt;&gt;Concluída",Programação!$N$4:$N$1003,"&lt;&gt;Cancelada"))</f>
        <v/>
      </c>
    </row>
    <row r="26" customFormat="false" ht="16.5" hidden="false" customHeight="true" outlineLevel="0" collapsed="false">
      <c r="A26" s="43" t="s">
        <v>143</v>
      </c>
      <c r="B26" s="41" t="n">
        <f aca="false">COUNTIFS(Programação!$G$4:$G$1003,"",Programação!$J$4:$J$1003,B$5,Programação!$N$4:$N$1003,"&lt;&gt;Cancelada")</f>
        <v>0</v>
      </c>
      <c r="C26" s="41" t="n">
        <f aca="false">COUNTIFS(Programação!$G$4:$G$1003,"",Programação!$J$4:$J$1003,C$5,Programação!$N$4:$N$1003,"&lt;&gt;Cancelada")</f>
        <v>0</v>
      </c>
      <c r="D26" s="41" t="n">
        <f aca="false">COUNTIFS(Programação!$G$4:$G$1003,"",Programação!$J$4:$J$1003,D$5,Programação!$N$4:$N$1003,"&lt;&gt;Cancelada")</f>
        <v>0</v>
      </c>
      <c r="E26" s="41" t="n">
        <f aca="false">COUNTIFS(Programação!$G$4:$G$1003,"",Programação!$J$4:$J$1003,E$5,Programação!$N$4:$N$1003,"&lt;&gt;Cancelada")</f>
        <v>0</v>
      </c>
      <c r="F26" s="41" t="n">
        <f aca="false">COUNTIFS(Programação!$G$4:$G$1003,"",Programação!$J$4:$J$1003,F$5,Programação!$N$4:$N$1003,"&lt;&gt;Cancelada")</f>
        <v>0</v>
      </c>
      <c r="G26" s="41" t="n">
        <f aca="false">COUNTIFS(Programação!$G$4:$G$1003,"",Programação!$J$4:$J$1003,G$5,Programação!$N$4:$N$1003,"&lt;&gt;Cancelada")</f>
        <v>0</v>
      </c>
      <c r="H26" s="41" t="n">
        <f aca="false">COUNTIFS(Programação!$G$4:$G$1003,"",Programação!$J$4:$J$1003,H$5,Programação!$N$4:$N$1003,"&lt;&gt;Cancelada")</f>
        <v>0</v>
      </c>
      <c r="I26" s="41" t="n">
        <f aca="false">SUM($B26:$H26)</f>
        <v>0</v>
      </c>
      <c r="J26" s="41" t="n">
        <f aca="false">COUNTIFS(Programação!$G$4:$G$1003,"",Programação!$J$4:$J$1003,"&gt;="&amp;$C$3,Programação!$J$4:$J$1003,"&lt;="&amp;$C$3+6,Programação!$N$4:$N$1003,"Concluída")</f>
        <v>0</v>
      </c>
      <c r="K26" s="42" t="str">
        <f aca="false">IF($I26=0,"",$J26/$I26)</f>
        <v/>
      </c>
      <c r="L26" s="41" t="n">
        <f aca="true">COUNTIFS(Programação!$G$4:$G$1003,"",Programação!$J$4:$J$1003,"&gt;="&amp;$C$3,Programação!$J$4:$J$1003,"&lt;="&amp;$C$3+6,Programação!$J$4:$J$1003,"&lt;"&amp;TODAY(),Programação!$N$4:$N$1003,"&lt;&gt;Concluída",Programação!$N$4:$N$1003,"&lt;&gt;Cancelada")</f>
        <v>0</v>
      </c>
    </row>
    <row r="27" customFormat="false" ht="16.5" hidden="false" customHeight="true" outlineLevel="0" collapsed="false">
      <c r="A27" s="44" t="s">
        <v>144</v>
      </c>
      <c r="B27" s="45" t="n">
        <f aca="false">SUM(B6:B26)</f>
        <v>4</v>
      </c>
      <c r="C27" s="45" t="n">
        <f aca="false">SUM(C6:C26)</f>
        <v>3</v>
      </c>
      <c r="D27" s="45" t="n">
        <f aca="false">SUM(D6:D26)</f>
        <v>4</v>
      </c>
      <c r="E27" s="45" t="n">
        <f aca="false">SUM(E6:E26)</f>
        <v>1</v>
      </c>
      <c r="F27" s="45" t="n">
        <f aca="false">SUM(F6:F26)</f>
        <v>1</v>
      </c>
      <c r="G27" s="45" t="n">
        <f aca="false">SUM(G6:G26)</f>
        <v>0</v>
      </c>
      <c r="H27" s="45" t="n">
        <f aca="false">SUM(H6:H26)</f>
        <v>0</v>
      </c>
      <c r="I27" s="45" t="n">
        <f aca="false">SUM(I6:I26)</f>
        <v>13</v>
      </c>
      <c r="J27" s="45" t="n">
        <f aca="false">SUM(J6:J26)</f>
        <v>5</v>
      </c>
      <c r="K27" s="46" t="n">
        <f aca="false">IF($I27=0,"",$J27/$I27)</f>
        <v>0.384615384615385</v>
      </c>
      <c r="L27" s="45" t="n">
        <f aca="false">SUM(L6:L26)</f>
        <v>2</v>
      </c>
    </row>
    <row r="29" customFormat="false" ht="15" hidden="false" customHeight="false" outlineLevel="0" collapsed="false">
      <c r="A29" s="37" t="s">
        <v>145</v>
      </c>
      <c r="B29" s="37"/>
      <c r="C29" s="37"/>
      <c r="D29" s="47" t="n">
        <f aca="false">COUNTIFS(Programação!$J$4:$J$1003,"",Programação!$E$4:$E$1003,"&lt;&gt;",Programação!$N$4:$N$1003,"&lt;&gt;Cancelada")</f>
        <v>1</v>
      </c>
      <c r="E29" s="20" t="s">
        <v>146</v>
      </c>
      <c r="F29" s="20"/>
      <c r="G29" s="20"/>
      <c r="H29" s="20"/>
      <c r="I29" s="20"/>
      <c r="J29" s="20"/>
      <c r="K29" s="20"/>
      <c r="L29" s="20"/>
    </row>
  </sheetData>
  <mergeCells count="5">
    <mergeCell ref="A1:L1"/>
    <mergeCell ref="A3:B3"/>
    <mergeCell ref="D3:H3"/>
    <mergeCell ref="A29:C29"/>
    <mergeCell ref="E29:L29"/>
  </mergeCells>
  <conditionalFormatting sqref="B6:H26">
    <cfRule type="dataBar" priority="2">
      <dataBar showValue="1" minLength="10" maxLength="90">
        <cfvo type="num" val="0"/>
        <cfvo type="num" val="6"/>
        <color rgb="FF9DB4DE"/>
      </dataBar>
      <extLst>
        <ext xmlns:x14="http://schemas.microsoft.com/office/spreadsheetml/2009/9/main" uri="{B025F937-C7B1-47D3-B67F-A62EFF666E3E}">
          <x14:id>{CFFC8CAE-E64F-4EAF-AE26-96BBFCEF3164}</x14:id>
        </ext>
      </extLst>
    </cfRule>
  </conditionalFormatting>
  <conditionalFormatting sqref="K6:K25">
    <cfRule type="cellIs" priority="3" operator="greaterThanOrEqual" aboveAverage="0" equalAverage="0" bottom="0" percent="0" rank="0" text="" dxfId="17">
      <formula>0.85</formula>
    </cfRule>
    <cfRule type="cellIs" priority="4" operator="lessThan" aboveAverage="0" equalAverage="0" bottom="0" percent="0" rank="0" text="" dxfId="16">
      <formula>0.6</formula>
    </cfRule>
  </conditionalFormatting>
  <conditionalFormatting sqref="L6:L26">
    <cfRule type="cellIs" priority="5" operator="greaterThan" aboveAverage="0" equalAverage="0" bottom="0" percent="0" rank="0" text="" dxfId="16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FC8CAE-E64F-4EAF-AE26-96BBFCEF3164}">
            <x14:dataBar minLength="10" maxLength="90" axisPosition="none" gradient="true">
              <x14:cfvo type="num">
                <xm:f>0</xm:f>
              </x14:cfvo>
              <x14:cfvo type="num">
                <xm:f>6</xm:f>
              </x14:cfvo>
              <x14:negativeFillColor rgb="FF9DB4DE"/>
              <x14:axisColor rgb="FF000000"/>
            </x14:dataBar>
          </x14:cfRule>
          <xm:sqref>B6:H26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K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23" t="s">
        <v>147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3" customFormat="false" ht="15" hidden="false" customHeight="false" outlineLevel="0" collapsed="false">
      <c r="A3" s="48" t="s">
        <v>148</v>
      </c>
      <c r="B3" s="38" t="n">
        <f aca="true">TODAY()-WEEKDAY(TODAY(),3)</f>
        <v>46258</v>
      </c>
      <c r="C3" s="20" t="s">
        <v>149</v>
      </c>
      <c r="D3" s="20"/>
      <c r="E3" s="20"/>
      <c r="F3" s="20"/>
      <c r="G3" s="20"/>
      <c r="H3" s="20"/>
    </row>
    <row r="4" customFormat="false" ht="15" hidden="false" customHeight="false" outlineLevel="0" collapsed="false">
      <c r="A4" s="48" t="s">
        <v>150</v>
      </c>
      <c r="B4" s="38" t="n">
        <f aca="false">B3+6</f>
        <v>46264</v>
      </c>
      <c r="C4" s="20" t="s">
        <v>151</v>
      </c>
      <c r="D4" s="20"/>
      <c r="E4" s="20"/>
      <c r="F4" s="20"/>
      <c r="G4" s="20"/>
      <c r="H4" s="20"/>
    </row>
    <row r="6" customFormat="false" ht="21.75" hidden="false" customHeight="true" outlineLevel="0" collapsed="false">
      <c r="A6" s="49" t="n">
        <f aca="false">IFERROR(B14,"—")</f>
        <v>0.384615384615385</v>
      </c>
      <c r="B6" s="49"/>
      <c r="C6" s="50" t="str">
        <f aca="false">"ADERÊNCIA POR ATIVIDADE"&amp;CHAR(10)&amp;B13&amp;" de "&amp;B12&amp;" atividades programadas no período foram concluídas."&amp;CHAR(10)&amp;"Cada linha da aba Programação é uma atividade — é ela que conta, não o serviço inteiro."</f>
        <v>ADERÊNCIA POR ATIVIDADE
5 de 13 atividades programadas no período foram concluídas.
Cada linha da aba Programação é uma atividade — é ela que conta, não o serviço inteiro.</v>
      </c>
      <c r="D6" s="50"/>
      <c r="E6" s="50"/>
      <c r="F6" s="50"/>
      <c r="G6" s="50"/>
      <c r="H6" s="50"/>
      <c r="I6" s="50"/>
      <c r="J6" s="50"/>
      <c r="K6" s="50"/>
    </row>
    <row r="7" customFormat="false" ht="21.75" hidden="false" customHeight="true" outlineLevel="0" collapsed="false">
      <c r="A7" s="49"/>
      <c r="B7" s="49"/>
      <c r="C7" s="50"/>
      <c r="D7" s="50"/>
      <c r="E7" s="50"/>
      <c r="F7" s="50"/>
      <c r="G7" s="50"/>
      <c r="H7" s="50"/>
      <c r="I7" s="50"/>
      <c r="J7" s="50"/>
      <c r="K7" s="50"/>
    </row>
    <row r="8" customFormat="false" ht="21.75" hidden="false" customHeight="true" outlineLevel="0" collapsed="false">
      <c r="A8" s="49"/>
      <c r="B8" s="49"/>
      <c r="C8" s="50"/>
      <c r="D8" s="50"/>
      <c r="E8" s="50"/>
      <c r="F8" s="50"/>
      <c r="G8" s="50"/>
      <c r="H8" s="50"/>
      <c r="I8" s="50"/>
      <c r="J8" s="50"/>
      <c r="K8" s="50"/>
    </row>
    <row r="9" customFormat="false" ht="21.75" hidden="false" customHeight="true" outlineLevel="0" collapsed="false">
      <c r="A9" s="49"/>
      <c r="B9" s="49"/>
      <c r="C9" s="50"/>
      <c r="D9" s="50"/>
      <c r="E9" s="50"/>
      <c r="F9" s="50"/>
      <c r="G9" s="50"/>
      <c r="H9" s="50"/>
      <c r="I9" s="50"/>
      <c r="J9" s="50"/>
      <c r="K9" s="50"/>
    </row>
    <row r="11" customFormat="false" ht="15" hidden="false" customHeight="false" outlineLevel="0" collapsed="false">
      <c r="A11" s="27" t="s">
        <v>152</v>
      </c>
      <c r="B11" s="27" t="s">
        <v>153</v>
      </c>
      <c r="C11" s="51" t="s">
        <v>154</v>
      </c>
      <c r="D11" s="51"/>
      <c r="E11" s="51"/>
      <c r="F11" s="51"/>
      <c r="G11" s="51"/>
      <c r="H11" s="51"/>
      <c r="I11" s="51"/>
      <c r="J11" s="51"/>
      <c r="K11" s="51"/>
    </row>
    <row r="12" customFormat="false" ht="16.5" hidden="false" customHeight="true" outlineLevel="0" collapsed="false">
      <c r="A12" s="22" t="s">
        <v>155</v>
      </c>
      <c r="B12" s="52" t="n">
        <f aca="false">COUNTIFS(Programação!$J$4:$J$1003,"&gt;="&amp;$B$3,Programação!$J$4:$J$1003,"&lt;="&amp;$B$4,Programação!$N$4:$N$1003,"&lt;&gt;Cancelada")</f>
        <v>13</v>
      </c>
      <c r="C12" s="53" t="s">
        <v>156</v>
      </c>
      <c r="D12" s="53"/>
      <c r="E12" s="53"/>
      <c r="F12" s="53"/>
      <c r="G12" s="53"/>
      <c r="H12" s="53"/>
      <c r="I12" s="53"/>
      <c r="J12" s="53"/>
      <c r="K12" s="53"/>
    </row>
    <row r="13" customFormat="false" ht="16.5" hidden="false" customHeight="true" outlineLevel="0" collapsed="false">
      <c r="A13" s="22" t="s">
        <v>141</v>
      </c>
      <c r="B13" s="52" t="n">
        <f aca="false">COUNTIFS(Programação!$J$4:$J$1003,"&gt;="&amp;$B$3,Programação!$J$4:$J$1003,"&lt;="&amp;$B$4,Programação!$N$4:$N$1003,"Concluída")</f>
        <v>5</v>
      </c>
      <c r="C13" s="53" t="s">
        <v>157</v>
      </c>
      <c r="D13" s="53"/>
      <c r="E13" s="53"/>
      <c r="F13" s="53"/>
      <c r="G13" s="53"/>
      <c r="H13" s="53"/>
      <c r="I13" s="53"/>
      <c r="J13" s="53"/>
      <c r="K13" s="53"/>
    </row>
    <row r="14" customFormat="false" ht="16.5" hidden="false" customHeight="true" outlineLevel="0" collapsed="false">
      <c r="A14" s="54" t="s">
        <v>158</v>
      </c>
      <c r="B14" s="55" t="n">
        <f aca="false">IFERROR(B13/B12,"")</f>
        <v>0.384615384615385</v>
      </c>
      <c r="C14" s="56" t="s">
        <v>159</v>
      </c>
      <c r="D14" s="56"/>
      <c r="E14" s="56"/>
      <c r="F14" s="56"/>
      <c r="G14" s="56"/>
      <c r="H14" s="56"/>
      <c r="I14" s="56"/>
      <c r="J14" s="56"/>
      <c r="K14" s="56"/>
    </row>
    <row r="15" customFormat="false" ht="16.5" hidden="false" customHeight="true" outlineLevel="0" collapsed="false">
      <c r="A15" s="22" t="s">
        <v>160</v>
      </c>
      <c r="B15" s="52" t="n">
        <f aca="false">SUMIFS(Programação!$R$4:$R$1003,Programação!$J$4:$J$1003,"&gt;="&amp;$B$3,Programação!$J$4:$J$1003,"&lt;="&amp;$B$4)</f>
        <v>3</v>
      </c>
      <c r="C15" s="53" t="s">
        <v>161</v>
      </c>
      <c r="D15" s="53"/>
      <c r="E15" s="53"/>
      <c r="F15" s="53"/>
      <c r="G15" s="53"/>
      <c r="H15" s="53"/>
      <c r="I15" s="53"/>
      <c r="J15" s="53"/>
      <c r="K15" s="53"/>
    </row>
    <row r="16" customFormat="false" ht="16.5" hidden="false" customHeight="true" outlineLevel="0" collapsed="false">
      <c r="A16" s="22" t="s">
        <v>162</v>
      </c>
      <c r="B16" s="57" t="n">
        <f aca="false">IFERROR(B15/B13,"")</f>
        <v>0.6</v>
      </c>
      <c r="C16" s="53" t="s">
        <v>163</v>
      </c>
      <c r="D16" s="53"/>
      <c r="E16" s="53"/>
      <c r="F16" s="53"/>
      <c r="G16" s="53"/>
      <c r="H16" s="53"/>
      <c r="I16" s="53"/>
      <c r="J16" s="53"/>
      <c r="K16" s="53"/>
    </row>
    <row r="17" customFormat="false" ht="16.5" hidden="false" customHeight="true" outlineLevel="0" collapsed="false">
      <c r="A17" s="22" t="s">
        <v>164</v>
      </c>
      <c r="B17" s="52" t="n">
        <f aca="false">COUNTIFS(Programação!$Q$4:$Q$1003,"&gt;="&amp;$B$3,Programação!$Q$4:$Q$1003,"&lt;="&amp;$B$4,Programação!$N$4:$N$1003,"&lt;&gt;Cancelada")</f>
        <v>12</v>
      </c>
      <c r="C17" s="53" t="s">
        <v>165</v>
      </c>
      <c r="D17" s="53"/>
      <c r="E17" s="53"/>
      <c r="F17" s="53"/>
      <c r="G17" s="53"/>
      <c r="H17" s="53"/>
      <c r="I17" s="53"/>
      <c r="J17" s="53"/>
      <c r="K17" s="53"/>
    </row>
    <row r="18" customFormat="false" ht="16.5" hidden="false" customHeight="true" outlineLevel="0" collapsed="false">
      <c r="A18" s="22" t="s">
        <v>166</v>
      </c>
      <c r="B18" s="52" t="n">
        <f aca="false">SUMIFS(Programação!$S$4:$S$1003,Programação!$Q$4:$Q$1003,"&gt;="&amp;$B$3,Programação!$Q$4:$Q$1003,"&lt;="&amp;$B$4)</f>
        <v>3</v>
      </c>
      <c r="C18" s="53" t="s">
        <v>167</v>
      </c>
      <c r="D18" s="53"/>
      <c r="E18" s="53"/>
      <c r="F18" s="53"/>
      <c r="G18" s="53"/>
      <c r="H18" s="53"/>
      <c r="I18" s="53"/>
      <c r="J18" s="53"/>
      <c r="K18" s="53"/>
    </row>
    <row r="19" customFormat="false" ht="16.5" hidden="false" customHeight="true" outlineLevel="0" collapsed="false">
      <c r="A19" s="54" t="s">
        <v>168</v>
      </c>
      <c r="B19" s="55" t="n">
        <f aca="false">IFERROR(B18/B17,"")</f>
        <v>0.25</v>
      </c>
      <c r="C19" s="56" t="s">
        <v>169</v>
      </c>
      <c r="D19" s="56"/>
      <c r="E19" s="56"/>
      <c r="F19" s="56"/>
      <c r="G19" s="56"/>
      <c r="H19" s="56"/>
      <c r="I19" s="56"/>
      <c r="J19" s="56"/>
      <c r="K19" s="56"/>
    </row>
    <row r="20" customFormat="false" ht="16.5" hidden="false" customHeight="true" outlineLevel="0" collapsed="false">
      <c r="A20" s="22" t="s">
        <v>142</v>
      </c>
      <c r="B20" s="52" t="n">
        <f aca="true">COUNTIFS(Programação!$J$4:$J$1003,"&gt;="&amp;$B$3,Programação!$J$4:$J$1003,"&lt;="&amp;$B$4,Programação!$J$4:$J$1003,"&lt;"&amp;TODAY(),Programação!$N$4:$N$1003,"&lt;&gt;Concluída",Programação!$N$4:$N$1003,"&lt;&gt;Cancelada")</f>
        <v>2</v>
      </c>
      <c r="C20" s="53" t="s">
        <v>170</v>
      </c>
      <c r="D20" s="53"/>
      <c r="E20" s="53"/>
      <c r="F20" s="53"/>
      <c r="G20" s="53"/>
      <c r="H20" s="53"/>
      <c r="I20" s="53"/>
      <c r="J20" s="53"/>
      <c r="K20" s="53"/>
    </row>
    <row r="21" customFormat="false" ht="16.5" hidden="false" customHeight="true" outlineLevel="0" collapsed="false">
      <c r="A21" s="22" t="s">
        <v>171</v>
      </c>
      <c r="B21" s="52" t="n">
        <f aca="false">COUNTIFS(Programação!$J$4:$J$1003,"&gt;="&amp;$B$3,Programação!$J$4:$J$1003,"&lt;="&amp;$B$4,Programação!$N$4:$N$1003,"Cancelada")</f>
        <v>0</v>
      </c>
      <c r="C21" s="53" t="s">
        <v>172</v>
      </c>
      <c r="D21" s="53"/>
      <c r="E21" s="53"/>
      <c r="F21" s="53"/>
      <c r="G21" s="53"/>
      <c r="H21" s="53"/>
      <c r="I21" s="53"/>
      <c r="J21" s="53"/>
      <c r="K21" s="53"/>
    </row>
    <row r="22" customFormat="false" ht="16.5" hidden="false" customHeight="true" outlineLevel="0" collapsed="false">
      <c r="A22" s="22" t="s">
        <v>173</v>
      </c>
      <c r="B22" s="52" t="n">
        <f aca="false">COUNTIFS(Programação!$J$4:$J$1003,"&gt;="&amp;$B$3,Programação!$J$4:$J$1003,"&lt;="&amp;$B$4,Programação!$L$4:$L$1003,"&gt;0")</f>
        <v>1</v>
      </c>
      <c r="C22" s="53" t="s">
        <v>174</v>
      </c>
      <c r="D22" s="53"/>
      <c r="E22" s="53"/>
      <c r="F22" s="53"/>
      <c r="G22" s="53"/>
      <c r="H22" s="53"/>
      <c r="I22" s="53"/>
      <c r="J22" s="53"/>
      <c r="K22" s="53"/>
    </row>
    <row r="23" customFormat="false" ht="16.5" hidden="false" customHeight="true" outlineLevel="0" collapsed="false">
      <c r="A23" s="22" t="s">
        <v>175</v>
      </c>
      <c r="B23" s="52" t="n">
        <f aca="false">SUMIFS(Programação!$L$4:$L$1003,Programação!$J$4:$J$1003,"&gt;="&amp;$B$3,Programação!$J$4:$J$1003,"&lt;="&amp;$B$4)</f>
        <v>1</v>
      </c>
      <c r="C23" s="53" t="s">
        <v>176</v>
      </c>
      <c r="D23" s="53"/>
      <c r="E23" s="53"/>
      <c r="F23" s="53"/>
      <c r="G23" s="53"/>
      <c r="H23" s="53"/>
      <c r="I23" s="53"/>
      <c r="J23" s="53"/>
      <c r="K23" s="53"/>
    </row>
    <row r="24" customFormat="false" ht="16.5" hidden="false" customHeight="true" outlineLevel="0" collapsed="false">
      <c r="A24" s="22" t="s">
        <v>177</v>
      </c>
      <c r="B24" s="58" t="n">
        <f aca="false">IFERROR(SUMIFS(Programação!$T$4:$T$1003,Programação!$J$4:$J$1003,"&gt;="&amp;$B$3,Programação!$J$4:$J$1003,"&lt;="&amp;$B$4)/COUNTIFS(Programação!$J$4:$J$1003,"&gt;="&amp;$B$3,Programação!$J$4:$J$1003,"&lt;="&amp;$B$4,Programação!$T$4:$T$1003,"&gt;0"),0)</f>
        <v>1.5</v>
      </c>
      <c r="C24" s="53" t="s">
        <v>178</v>
      </c>
      <c r="D24" s="53"/>
      <c r="E24" s="53"/>
      <c r="F24" s="53"/>
      <c r="G24" s="53"/>
      <c r="H24" s="53"/>
      <c r="I24" s="53"/>
      <c r="J24" s="53"/>
      <c r="K24" s="53"/>
    </row>
    <row r="25" customFormat="false" ht="16.5" hidden="false" customHeight="true" outlineLevel="0" collapsed="false">
      <c r="A25" s="22" t="s">
        <v>179</v>
      </c>
      <c r="B25" s="52" t="n">
        <f aca="false">COUNTIFS(Programação!$J$4:$J$1003,"",Programação!$E$4:$E$1003,"&lt;&gt;",Programação!$N$4:$N$1003,"&lt;&gt;Cancelada")</f>
        <v>1</v>
      </c>
      <c r="C25" s="53" t="s">
        <v>180</v>
      </c>
      <c r="D25" s="53"/>
      <c r="E25" s="53"/>
      <c r="F25" s="53"/>
      <c r="G25" s="53"/>
      <c r="H25" s="53"/>
      <c r="I25" s="53"/>
      <c r="J25" s="53"/>
      <c r="K25" s="53"/>
    </row>
    <row r="28" customFormat="false" ht="15" hidden="false" customHeight="false" outlineLevel="0" collapsed="false">
      <c r="A28" s="3" t="s">
        <v>181</v>
      </c>
      <c r="B28" s="3"/>
      <c r="C28" s="3"/>
      <c r="D28" s="3"/>
      <c r="E28" s="3"/>
      <c r="G28" s="3" t="s">
        <v>182</v>
      </c>
      <c r="H28" s="3"/>
      <c r="I28" s="3"/>
      <c r="J28" s="3"/>
      <c r="K28" s="3"/>
    </row>
    <row r="29" customFormat="false" ht="15" hidden="false" customHeight="false" outlineLevel="0" collapsed="false">
      <c r="A29" s="6" t="s">
        <v>183</v>
      </c>
      <c r="B29" s="6" t="s">
        <v>184</v>
      </c>
      <c r="C29" s="6" t="s">
        <v>185</v>
      </c>
      <c r="D29" s="6" t="s">
        <v>18</v>
      </c>
      <c r="E29" s="6" t="s">
        <v>142</v>
      </c>
      <c r="G29" s="6" t="s">
        <v>183</v>
      </c>
      <c r="H29" s="6" t="s">
        <v>184</v>
      </c>
      <c r="I29" s="6" t="s">
        <v>185</v>
      </c>
      <c r="J29" s="6" t="s">
        <v>18</v>
      </c>
      <c r="K29" s="6" t="s">
        <v>142</v>
      </c>
    </row>
    <row r="30" customFormat="false" ht="15.75" hidden="false" customHeight="true" outlineLevel="0" collapsed="false">
      <c r="A30" s="22" t="str">
        <f aca="false">IF(Listas!A5="","",Listas!A5)</f>
        <v>João Batista</v>
      </c>
      <c r="B30" s="41" t="n">
        <f aca="false">IF($A30="","",COUNTIFS(Programação!$G$4:$G$1003,$A30,Programação!$J$4:$J$1003,"&gt;="&amp;$B$3,Programação!$J$4:$J$1003,"&lt;="&amp;$B$4,Programação!$N$4:$N$1003,"&lt;&gt;Cancelada"))</f>
        <v>3</v>
      </c>
      <c r="C30" s="41" t="n">
        <f aca="false">IF($A30="","",COUNTIFS(Programação!$G$4:$G$1003,$A30,Programação!$J$4:$J$1003,"&gt;="&amp;$B$3,Programação!$J$4:$J$1003,"&lt;="&amp;$B$4,Programação!$N$4:$N$1003,"Concluída"))</f>
        <v>2</v>
      </c>
      <c r="D30" s="42" t="n">
        <f aca="false">IF(OR($A30="",$B30=0),"",$C30/$B30)</f>
        <v>0.666666666666667</v>
      </c>
      <c r="E30" s="41" t="n">
        <f aca="true">IF($A30="","",COUNTIFS(Programação!$G$4:$G$1003,$A30,Programação!$J$4:$J$1003,"&gt;="&amp;$B$3,Programação!$J$4:$J$1003,"&lt;="&amp;$B$4,Programação!$J$4:$J$1003,"&lt;"&amp;TODAY(),Programação!$N$4:$N$1003,"&lt;&gt;Concluída",Programação!$N$4:$N$1003,"&lt;&gt;Cancelada"))</f>
        <v>1</v>
      </c>
      <c r="G30" s="22" t="str">
        <f aca="false">IF(Listas!B5="","",Listas!B5)</f>
        <v>C-100</v>
      </c>
      <c r="H30" s="41" t="n">
        <f aca="false">IF($G30="","",COUNTIFS(Programação!$C$4:$C$1003,$G30,Programação!$J$4:$J$1003,"&gt;="&amp;$B$3,Programação!$J$4:$J$1003,"&lt;="&amp;$B$4,Programação!$N$4:$N$1003,"&lt;&gt;Cancelada"))</f>
        <v>2</v>
      </c>
      <c r="I30" s="41" t="n">
        <f aca="false">IF($G30="","",COUNTIFS(Programação!$C$4:$C$1003,$G30,Programação!$J$4:$J$1003,"&gt;="&amp;$B$3,Programação!$J$4:$J$1003,"&lt;="&amp;$B$4,Programação!$N$4:$N$1003,"Concluída"))</f>
        <v>2</v>
      </c>
      <c r="J30" s="42" t="n">
        <f aca="false">IF(OR($G30="",$H30=0),"",$I30/$H30)</f>
        <v>1</v>
      </c>
      <c r="K30" s="41" t="n">
        <f aca="true">IF($G30="","",COUNTIFS(Programação!$C$4:$C$1003,$G30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1" customFormat="false" ht="15.75" hidden="false" customHeight="true" outlineLevel="0" collapsed="false">
      <c r="A31" s="22" t="str">
        <f aca="false">IF(Listas!A6="","",Listas!A6)</f>
        <v>Marcos Vinícius</v>
      </c>
      <c r="B31" s="41" t="n">
        <f aca="false">IF($A31="","",COUNTIFS(Programação!$G$4:$G$1003,$A31,Programação!$J$4:$J$1003,"&gt;="&amp;$B$3,Programação!$J$4:$J$1003,"&lt;="&amp;$B$4,Programação!$N$4:$N$1003,"&lt;&gt;Cancelada"))</f>
        <v>2</v>
      </c>
      <c r="C31" s="41" t="n">
        <f aca="false">IF($A31="","",COUNTIFS(Programação!$G$4:$G$1003,$A31,Programação!$J$4:$J$1003,"&gt;="&amp;$B$3,Programação!$J$4:$J$1003,"&lt;="&amp;$B$4,Programação!$N$4:$N$1003,"Concluída"))</f>
        <v>2</v>
      </c>
      <c r="D31" s="42" t="n">
        <f aca="false">IF(OR($A31="",$B31=0),"",$C31/$B31)</f>
        <v>1</v>
      </c>
      <c r="E31" s="41" t="n">
        <f aca="true">IF($A31="","",COUNTIFS(Programação!$G$4:$G$1003,$A31,Programação!$J$4:$J$1003,"&gt;="&amp;$B$3,Programação!$J$4:$J$1003,"&lt;="&amp;$B$4,Programação!$J$4:$J$1003,"&lt;"&amp;TODAY(),Programação!$N$4:$N$1003,"&lt;&gt;Concluída",Programação!$N$4:$N$1003,"&lt;&gt;Cancelada"))</f>
        <v>0</v>
      </c>
      <c r="G31" s="22" t="str">
        <f aca="false">IF(Listas!B6="","",Listas!B6)</f>
        <v>C-101</v>
      </c>
      <c r="H31" s="41" t="n">
        <f aca="false">IF($G31="","",COUNTIFS(Programação!$C$4:$C$1003,$G31,Programação!$J$4:$J$1003,"&gt;="&amp;$B$3,Programação!$J$4:$J$1003,"&lt;="&amp;$B$4,Programação!$N$4:$N$1003,"&lt;&gt;Cancelada"))</f>
        <v>2</v>
      </c>
      <c r="I31" s="41" t="n">
        <f aca="false">IF($G31="","",COUNTIFS(Programação!$C$4:$C$1003,$G31,Programação!$J$4:$J$1003,"&gt;="&amp;$B$3,Programação!$J$4:$J$1003,"&lt;="&amp;$B$4,Programação!$N$4:$N$1003,"Concluída"))</f>
        <v>0</v>
      </c>
      <c r="J31" s="42" t="n">
        <f aca="false">IF(OR($G31="",$H31=0),"",$I31/$H31)</f>
        <v>0</v>
      </c>
      <c r="K31" s="41" t="n">
        <f aca="true">IF($G31="","",COUNTIFS(Programação!$C$4:$C$1003,$G31,Programação!$J$4:$J$1003,"&gt;="&amp;$B$3,Programação!$J$4:$J$1003,"&lt;="&amp;$B$4,Programação!$J$4:$J$1003,"&lt;"&amp;TODAY(),Programação!$N$4:$N$1003,"&lt;&gt;Concluída",Programação!$N$4:$N$1003,"&lt;&gt;Cancelada"))</f>
        <v>1</v>
      </c>
    </row>
    <row r="32" customFormat="false" ht="15.75" hidden="false" customHeight="true" outlineLevel="0" collapsed="false">
      <c r="A32" s="22" t="str">
        <f aca="false">IF(Listas!A7="","",Listas!A7)</f>
        <v>Pedro Alves</v>
      </c>
      <c r="B32" s="41" t="n">
        <f aca="false">IF($A32="","",COUNTIFS(Programação!$G$4:$G$1003,$A32,Programação!$J$4:$J$1003,"&gt;="&amp;$B$3,Programação!$J$4:$J$1003,"&lt;="&amp;$B$4,Programação!$N$4:$N$1003,"&lt;&gt;Cancelada"))</f>
        <v>2</v>
      </c>
      <c r="C32" s="41" t="n">
        <f aca="false">IF($A32="","",COUNTIFS(Programação!$G$4:$G$1003,$A32,Programação!$J$4:$J$1003,"&gt;="&amp;$B$3,Programação!$J$4:$J$1003,"&lt;="&amp;$B$4,Programação!$N$4:$N$1003,"Concluída"))</f>
        <v>0</v>
      </c>
      <c r="D32" s="42" t="n">
        <f aca="false">IF(OR($A32="",$B32=0),"",$C32/$B32)</f>
        <v>0</v>
      </c>
      <c r="E32" s="41" t="n">
        <f aca="true">IF($A32="","",COUNTIFS(Programação!$G$4:$G$1003,$A32,Programação!$J$4:$J$1003,"&gt;="&amp;$B$3,Programação!$J$4:$J$1003,"&lt;="&amp;$B$4,Programação!$J$4:$J$1003,"&lt;"&amp;TODAY(),Programação!$N$4:$N$1003,"&lt;&gt;Concluída",Programação!$N$4:$N$1003,"&lt;&gt;Cancelada"))</f>
        <v>1</v>
      </c>
      <c r="G32" s="22" t="str">
        <f aca="false">IF(Listas!B7="","",Listas!B7)</f>
        <v>C-102</v>
      </c>
      <c r="H32" s="41" t="n">
        <f aca="false">IF($G32="","",COUNTIFS(Programação!$C$4:$C$1003,$G32,Programação!$J$4:$J$1003,"&gt;="&amp;$B$3,Programação!$J$4:$J$1003,"&lt;="&amp;$B$4,Programação!$N$4:$N$1003,"&lt;&gt;Cancelada"))</f>
        <v>2</v>
      </c>
      <c r="I32" s="41" t="n">
        <f aca="false">IF($G32="","",COUNTIFS(Programação!$C$4:$C$1003,$G32,Programação!$J$4:$J$1003,"&gt;="&amp;$B$3,Programação!$J$4:$J$1003,"&lt;="&amp;$B$4,Programação!$N$4:$N$1003,"Concluída"))</f>
        <v>0</v>
      </c>
      <c r="J32" s="42" t="n">
        <f aca="false">IF(OR($G32="",$H32=0),"",$I32/$H32)</f>
        <v>0</v>
      </c>
      <c r="K32" s="41" t="n">
        <f aca="true">IF($G32="","",COUNTIFS(Programação!$C$4:$C$1003,$G32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3" customFormat="false" ht="15.75" hidden="false" customHeight="true" outlineLevel="0" collapsed="false">
      <c r="A33" s="22" t="str">
        <f aca="false">IF(Listas!A8="","",Listas!A8)</f>
        <v>Carlos Lima</v>
      </c>
      <c r="B33" s="41" t="n">
        <f aca="false">IF($A33="","",COUNTIFS(Programação!$G$4:$G$1003,$A33,Programação!$J$4:$J$1003,"&gt;="&amp;$B$3,Programação!$J$4:$J$1003,"&lt;="&amp;$B$4,Programação!$N$4:$N$1003,"&lt;&gt;Cancelada"))</f>
        <v>2</v>
      </c>
      <c r="C33" s="41" t="n">
        <f aca="false">IF($A33="","",COUNTIFS(Programação!$G$4:$G$1003,$A33,Programação!$J$4:$J$1003,"&gt;="&amp;$B$3,Programação!$J$4:$J$1003,"&lt;="&amp;$B$4,Programação!$N$4:$N$1003,"Concluída"))</f>
        <v>1</v>
      </c>
      <c r="D33" s="42" t="n">
        <f aca="false">IF(OR($A33="",$B33=0),"",$C33/$B33)</f>
        <v>0.5</v>
      </c>
      <c r="E33" s="41" t="n">
        <f aca="true">IF($A33="","",COUNTIFS(Programação!$G$4:$G$1003,$A33,Programação!$J$4:$J$1003,"&gt;="&amp;$B$3,Programação!$J$4:$J$1003,"&lt;="&amp;$B$4,Programação!$J$4:$J$1003,"&lt;"&amp;TODAY(),Programação!$N$4:$N$1003,"&lt;&gt;Concluída",Programação!$N$4:$N$1003,"&lt;&gt;Cancelada"))</f>
        <v>0</v>
      </c>
      <c r="G33" s="22" t="str">
        <f aca="false">IF(Listas!B8="","",Listas!B8)</f>
        <v>C-103</v>
      </c>
      <c r="H33" s="41" t="n">
        <f aca="false">IF($G33="","",COUNTIFS(Programação!$C$4:$C$1003,$G33,Programação!$J$4:$J$1003,"&gt;="&amp;$B$3,Programação!$J$4:$J$1003,"&lt;="&amp;$B$4,Programação!$N$4:$N$1003,"&lt;&gt;Cancelada"))</f>
        <v>1</v>
      </c>
      <c r="I33" s="41" t="n">
        <f aca="false">IF($G33="","",COUNTIFS(Programação!$C$4:$C$1003,$G33,Programação!$J$4:$J$1003,"&gt;="&amp;$B$3,Programação!$J$4:$J$1003,"&lt;="&amp;$B$4,Programação!$N$4:$N$1003,"Concluída"))</f>
        <v>0</v>
      </c>
      <c r="J33" s="42" t="n">
        <f aca="false">IF(OR($G33="",$H33=0),"",$I33/$H33)</f>
        <v>0</v>
      </c>
      <c r="K33" s="41" t="n">
        <f aca="true">IF($G33="","",COUNTIFS(Programação!$C$4:$C$1003,$G33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4" customFormat="false" ht="15.75" hidden="false" customHeight="true" outlineLevel="0" collapsed="false">
      <c r="A34" s="22" t="str">
        <f aca="false">IF(Listas!A9="","",Listas!A9)</f>
        <v>Washington Souza</v>
      </c>
      <c r="B34" s="41" t="n">
        <f aca="false">IF($A34="","",COUNTIFS(Programação!$G$4:$G$1003,$A34,Programação!$J$4:$J$1003,"&gt;="&amp;$B$3,Programação!$J$4:$J$1003,"&lt;="&amp;$B$4,Programação!$N$4:$N$1003,"&lt;&gt;Cancelada"))</f>
        <v>2</v>
      </c>
      <c r="C34" s="41" t="n">
        <f aca="false">IF($A34="","",COUNTIFS(Programação!$G$4:$G$1003,$A34,Programação!$J$4:$J$1003,"&gt;="&amp;$B$3,Programação!$J$4:$J$1003,"&lt;="&amp;$B$4,Programação!$N$4:$N$1003,"Concluída"))</f>
        <v>0</v>
      </c>
      <c r="D34" s="42" t="n">
        <f aca="false">IF(OR($A34="",$B34=0),"",$C34/$B34)</f>
        <v>0</v>
      </c>
      <c r="E34" s="41" t="n">
        <f aca="true">IF($A34="","",COUNTIFS(Programação!$G$4:$G$1003,$A34,Programação!$J$4:$J$1003,"&gt;="&amp;$B$3,Programação!$J$4:$J$1003,"&lt;="&amp;$B$4,Programação!$J$4:$J$1003,"&lt;"&amp;TODAY(),Programação!$N$4:$N$1003,"&lt;&gt;Concluída",Programação!$N$4:$N$1003,"&lt;&gt;Cancelada"))</f>
        <v>0</v>
      </c>
      <c r="G34" s="22" t="str">
        <f aca="false">IF(Listas!B9="","",Listas!B9)</f>
        <v>C-104</v>
      </c>
      <c r="H34" s="41" t="n">
        <f aca="false">IF($G34="","",COUNTIFS(Programação!$C$4:$C$1003,$G34,Programação!$J$4:$J$1003,"&gt;="&amp;$B$3,Programação!$J$4:$J$1003,"&lt;="&amp;$B$4,Programação!$N$4:$N$1003,"&lt;&gt;Cancelada"))</f>
        <v>0</v>
      </c>
      <c r="I34" s="41" t="n">
        <f aca="false">IF($G34="","",COUNTIFS(Programação!$C$4:$C$1003,$G34,Programação!$J$4:$J$1003,"&gt;="&amp;$B$3,Programação!$J$4:$J$1003,"&lt;="&amp;$B$4,Programação!$N$4:$N$1003,"Concluída"))</f>
        <v>0</v>
      </c>
      <c r="J34" s="42" t="str">
        <f aca="false">IF(OR($G34="",$H34=0),"",$I34/$H34)</f>
        <v/>
      </c>
      <c r="K34" s="41" t="n">
        <f aca="true">IF($G34="","",COUNTIFS(Programação!$C$4:$C$1003,$G34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5" customFormat="false" ht="15.75" hidden="false" customHeight="true" outlineLevel="0" collapsed="false">
      <c r="A35" s="22" t="str">
        <f aca="false">IF(Listas!A10="","",Listas!A10)</f>
        <v>Anderson Reis</v>
      </c>
      <c r="B35" s="41" t="n">
        <f aca="false">IF($A35="","",COUNTIFS(Programação!$G$4:$G$1003,$A35,Programação!$J$4:$J$1003,"&gt;="&amp;$B$3,Programação!$J$4:$J$1003,"&lt;="&amp;$B$4,Programação!$N$4:$N$1003,"&lt;&gt;Cancelada"))</f>
        <v>1</v>
      </c>
      <c r="C35" s="41" t="n">
        <f aca="false">IF($A35="","",COUNTIFS(Programação!$G$4:$G$1003,$A35,Programação!$J$4:$J$1003,"&gt;="&amp;$B$3,Programação!$J$4:$J$1003,"&lt;="&amp;$B$4,Programação!$N$4:$N$1003,"Concluída"))</f>
        <v>0</v>
      </c>
      <c r="D35" s="42" t="n">
        <f aca="false">IF(OR($A35="",$B35=0),"",$C35/$B35)</f>
        <v>0</v>
      </c>
      <c r="E35" s="41" t="n">
        <f aca="true">IF($A35="","",COUNTIFS(Programação!$G$4:$G$1003,$A35,Programação!$J$4:$J$1003,"&gt;="&amp;$B$3,Programação!$J$4:$J$1003,"&lt;="&amp;$B$4,Programação!$J$4:$J$1003,"&lt;"&amp;TODAY(),Programação!$N$4:$N$1003,"&lt;&gt;Concluída",Programação!$N$4:$N$1003,"&lt;&gt;Cancelada"))</f>
        <v>0</v>
      </c>
      <c r="G35" s="22" t="str">
        <f aca="false">IF(Listas!B10="","",Listas!B10)</f>
        <v>F-400</v>
      </c>
      <c r="H35" s="41" t="n">
        <f aca="false">IF($G35="","",COUNTIFS(Programação!$C$4:$C$1003,$G35,Programação!$J$4:$J$1003,"&gt;="&amp;$B$3,Programação!$J$4:$J$1003,"&lt;="&amp;$B$4,Programação!$N$4:$N$1003,"&lt;&gt;Cancelada"))</f>
        <v>3</v>
      </c>
      <c r="I35" s="41" t="n">
        <f aca="false">IF($G35="","",COUNTIFS(Programação!$C$4:$C$1003,$G35,Programação!$J$4:$J$1003,"&gt;="&amp;$B$3,Programação!$J$4:$J$1003,"&lt;="&amp;$B$4,Programação!$N$4:$N$1003,"Concluída"))</f>
        <v>2</v>
      </c>
      <c r="J35" s="42" t="n">
        <f aca="false">IF(OR($G35="",$H35=0),"",$I35/$H35)</f>
        <v>0.666666666666667</v>
      </c>
      <c r="K35" s="41" t="n">
        <f aca="true">IF($G35="","",COUNTIFS(Programação!$C$4:$C$1003,$G35,Programação!$J$4:$J$1003,"&gt;="&amp;$B$3,Programação!$J$4:$J$1003,"&lt;="&amp;$B$4,Programação!$J$4:$J$1003,"&lt;"&amp;TODAY(),Programação!$N$4:$N$1003,"&lt;&gt;Concluída",Programação!$N$4:$N$1003,"&lt;&gt;Cancelada"))</f>
        <v>1</v>
      </c>
    </row>
    <row r="36" customFormat="false" ht="15.75" hidden="false" customHeight="true" outlineLevel="0" collapsed="false">
      <c r="A36" s="22" t="str">
        <f aca="false">IF(Listas!A11="","",Listas!A11)</f>
        <v>Fábio Nunes</v>
      </c>
      <c r="B36" s="41" t="n">
        <f aca="false">IF($A36="","",COUNTIFS(Programação!$G$4:$G$1003,$A36,Programação!$J$4:$J$1003,"&gt;="&amp;$B$3,Programação!$J$4:$J$1003,"&lt;="&amp;$B$4,Programação!$N$4:$N$1003,"&lt;&gt;Cancelada"))</f>
        <v>1</v>
      </c>
      <c r="C36" s="41" t="n">
        <f aca="false">IF($A36="","",COUNTIFS(Programação!$G$4:$G$1003,$A36,Programação!$J$4:$J$1003,"&gt;="&amp;$B$3,Programação!$J$4:$J$1003,"&lt;="&amp;$B$4,Programação!$N$4:$N$1003,"Concluída"))</f>
        <v>0</v>
      </c>
      <c r="D36" s="42" t="n">
        <f aca="false">IF(OR($A36="",$B36=0),"",$C36/$B36)</f>
        <v>0</v>
      </c>
      <c r="E36" s="41" t="n">
        <f aca="true">IF($A36="","",COUNTIFS(Programação!$G$4:$G$1003,$A36,Programação!$J$4:$J$1003,"&gt;="&amp;$B$3,Programação!$J$4:$J$1003,"&lt;="&amp;$B$4,Programação!$J$4:$J$1003,"&lt;"&amp;TODAY(),Programação!$N$4:$N$1003,"&lt;&gt;Concluída",Programação!$N$4:$N$1003,"&lt;&gt;Cancelada"))</f>
        <v>0</v>
      </c>
      <c r="G36" s="22" t="str">
        <f aca="false">IF(Listas!B11="","",Listas!B11)</f>
        <v>F-403</v>
      </c>
      <c r="H36" s="41" t="n">
        <f aca="false">IF($G36="","",COUNTIFS(Programação!$C$4:$C$1003,$G36,Programação!$J$4:$J$1003,"&gt;="&amp;$B$3,Programação!$J$4:$J$1003,"&lt;="&amp;$B$4,Programação!$N$4:$N$1003,"&lt;&gt;Cancelada"))</f>
        <v>2</v>
      </c>
      <c r="I36" s="41" t="n">
        <f aca="false">IF($G36="","",COUNTIFS(Programação!$C$4:$C$1003,$G36,Programação!$J$4:$J$1003,"&gt;="&amp;$B$3,Programação!$J$4:$J$1003,"&lt;="&amp;$B$4,Programação!$N$4:$N$1003,"Concluída"))</f>
        <v>1</v>
      </c>
      <c r="J36" s="42" t="n">
        <f aca="false">IF(OR($G36="",$H36=0),"",$I36/$H36)</f>
        <v>0.5</v>
      </c>
      <c r="K36" s="41" t="n">
        <f aca="true">IF($G36="","",COUNTIFS(Programação!$C$4:$C$1003,$G36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7" customFormat="false" ht="15.75" hidden="false" customHeight="true" outlineLevel="0" collapsed="false">
      <c r="A37" s="22" t="str">
        <f aca="false">IF(Listas!A12="","",Listas!A12)</f>
        <v>Rogério Dias</v>
      </c>
      <c r="B37" s="41" t="n">
        <f aca="false">IF($A37="","",COUNTIFS(Programação!$G$4:$G$1003,$A37,Programação!$J$4:$J$1003,"&gt;="&amp;$B$3,Programação!$J$4:$J$1003,"&lt;="&amp;$B$4,Programação!$N$4:$N$1003,"&lt;&gt;Cancelada"))</f>
        <v>0</v>
      </c>
      <c r="C37" s="41" t="n">
        <f aca="false">IF($A37="","",COUNTIFS(Programação!$G$4:$G$1003,$A37,Programação!$J$4:$J$1003,"&gt;="&amp;$B$3,Programação!$J$4:$J$1003,"&lt;="&amp;$B$4,Programação!$N$4:$N$1003,"Concluída"))</f>
        <v>0</v>
      </c>
      <c r="D37" s="42" t="str">
        <f aca="false">IF(OR($A37="",$B37=0),"",$C37/$B37)</f>
        <v/>
      </c>
      <c r="E37" s="41" t="n">
        <f aca="true">IF($A37="","",COUNTIFS(Programação!$G$4:$G$1003,$A37,Programação!$J$4:$J$1003,"&gt;="&amp;$B$3,Programação!$J$4:$J$1003,"&lt;="&amp;$B$4,Programação!$J$4:$J$1003,"&lt;"&amp;TODAY(),Programação!$N$4:$N$1003,"&lt;&gt;Concluída",Programação!$N$4:$N$1003,"&lt;&gt;Cancelada"))</f>
        <v>0</v>
      </c>
      <c r="G37" s="22" t="str">
        <f aca="false">IF(Listas!B12="","",Listas!B12)</f>
        <v>F-406</v>
      </c>
      <c r="H37" s="41" t="n">
        <f aca="false">IF($G37="","",COUNTIFS(Programação!$C$4:$C$1003,$G37,Programação!$J$4:$J$1003,"&gt;="&amp;$B$3,Programação!$J$4:$J$1003,"&lt;="&amp;$B$4,Programação!$N$4:$N$1003,"&lt;&gt;Cancelada"))</f>
        <v>1</v>
      </c>
      <c r="I37" s="41" t="n">
        <f aca="false">IF($G37="","",COUNTIFS(Programação!$C$4:$C$1003,$G37,Programação!$J$4:$J$1003,"&gt;="&amp;$B$3,Programação!$J$4:$J$1003,"&lt;="&amp;$B$4,Programação!$N$4:$N$1003,"Concluída"))</f>
        <v>0</v>
      </c>
      <c r="J37" s="42" t="n">
        <f aca="false">IF(OR($G37="",$H37=0),"",$I37/$H37)</f>
        <v>0</v>
      </c>
      <c r="K37" s="41" t="n">
        <f aca="true">IF($G37="","",COUNTIFS(Programação!$C$4:$C$1003,$G37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8" customFormat="false" ht="15.75" hidden="false" customHeight="true" outlineLevel="0" collapsed="false">
      <c r="A38" s="22" t="str">
        <f aca="false">IF(Listas!A13="","",Listas!A13)</f>
        <v/>
      </c>
      <c r="B38" s="41" t="str">
        <f aca="false">IF($A38="","",COUNTIFS(Programação!$G$4:$G$1003,$A38,Programação!$J$4:$J$1003,"&gt;="&amp;$B$3,Programação!$J$4:$J$1003,"&lt;="&amp;$B$4,Programação!$N$4:$N$1003,"&lt;&gt;Cancelada"))</f>
        <v/>
      </c>
      <c r="C38" s="41" t="str">
        <f aca="false">IF($A38="","",COUNTIFS(Programação!$G$4:$G$1003,$A38,Programação!$J$4:$J$1003,"&gt;="&amp;$B$3,Programação!$J$4:$J$1003,"&lt;="&amp;$B$4,Programação!$N$4:$N$1003,"Concluída"))</f>
        <v/>
      </c>
      <c r="D38" s="42" t="str">
        <f aca="false">IF(OR($A38="",$B38=0),"",$C38/$B38)</f>
        <v/>
      </c>
      <c r="E38" s="41" t="str">
        <f aca="true">IF($A38="","",COUNTIFS(Programação!$G$4:$G$1003,$A38,Programação!$J$4:$J$1003,"&gt;="&amp;$B$3,Programação!$J$4:$J$1003,"&lt;="&amp;$B$4,Programação!$J$4:$J$1003,"&lt;"&amp;TODAY(),Programação!$N$4:$N$1003,"&lt;&gt;Concluída",Programação!$N$4:$N$1003,"&lt;&gt;Cancelada"))</f>
        <v/>
      </c>
      <c r="G38" s="22" t="str">
        <f aca="false">IF(Listas!B13="","",Listas!B13)</f>
        <v>F-409</v>
      </c>
      <c r="H38" s="41" t="n">
        <f aca="false">IF($G38="","",COUNTIFS(Programação!$C$4:$C$1003,$G38,Programação!$J$4:$J$1003,"&gt;="&amp;$B$3,Programação!$J$4:$J$1003,"&lt;="&amp;$B$4,Programação!$N$4:$N$1003,"&lt;&gt;Cancelada"))</f>
        <v>0</v>
      </c>
      <c r="I38" s="41" t="n">
        <f aca="false">IF($G38="","",COUNTIFS(Programação!$C$4:$C$1003,$G38,Programação!$J$4:$J$1003,"&gt;="&amp;$B$3,Programação!$J$4:$J$1003,"&lt;="&amp;$B$4,Programação!$N$4:$N$1003,"Concluída"))</f>
        <v>0</v>
      </c>
      <c r="J38" s="42" t="str">
        <f aca="false">IF(OR($G38="",$H38=0),"",$I38/$H38)</f>
        <v/>
      </c>
      <c r="K38" s="41" t="n">
        <f aca="true">IF($G38="","",COUNTIFS(Programação!$C$4:$C$1003,$G38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39" customFormat="false" ht="15.75" hidden="false" customHeight="true" outlineLevel="0" collapsed="false">
      <c r="A39" s="22" t="str">
        <f aca="false">IF(Listas!A14="","",Listas!A14)</f>
        <v/>
      </c>
      <c r="B39" s="41" t="str">
        <f aca="false">IF($A39="","",COUNTIFS(Programação!$G$4:$G$1003,$A39,Programação!$J$4:$J$1003,"&gt;="&amp;$B$3,Programação!$J$4:$J$1003,"&lt;="&amp;$B$4,Programação!$N$4:$N$1003,"&lt;&gt;Cancelada"))</f>
        <v/>
      </c>
      <c r="C39" s="41" t="str">
        <f aca="false">IF($A39="","",COUNTIFS(Programação!$G$4:$G$1003,$A39,Programação!$J$4:$J$1003,"&gt;="&amp;$B$3,Programação!$J$4:$J$1003,"&lt;="&amp;$B$4,Programação!$N$4:$N$1003,"Concluída"))</f>
        <v/>
      </c>
      <c r="D39" s="42" t="str">
        <f aca="false">IF(OR($A39="",$B39=0),"",$C39/$B39)</f>
        <v/>
      </c>
      <c r="E39" s="41" t="str">
        <f aca="true">IF($A39="","",COUNTIFS(Programação!$G$4:$G$1003,$A39,Programação!$J$4:$J$1003,"&gt;="&amp;$B$3,Programação!$J$4:$J$1003,"&lt;="&amp;$B$4,Programação!$J$4:$J$1003,"&lt;"&amp;TODAY(),Programação!$N$4:$N$1003,"&lt;&gt;Concluída",Programação!$N$4:$N$1003,"&lt;&gt;Cancelada"))</f>
        <v/>
      </c>
      <c r="G39" s="22" t="str">
        <f aca="false">IF(Listas!B14="","",Listas!B14)</f>
        <v/>
      </c>
      <c r="H39" s="41" t="str">
        <f aca="false">IF($G39="","",COUNTIFS(Programação!$C$4:$C$1003,$G39,Programação!$J$4:$J$1003,"&gt;="&amp;$B$3,Programação!$J$4:$J$1003,"&lt;="&amp;$B$4,Programação!$N$4:$N$1003,"&lt;&gt;Cancelada"))</f>
        <v/>
      </c>
      <c r="I39" s="41" t="str">
        <f aca="false">IF($G39="","",COUNTIFS(Programação!$C$4:$C$1003,$G39,Programação!$J$4:$J$1003,"&gt;="&amp;$B$3,Programação!$J$4:$J$1003,"&lt;="&amp;$B$4,Programação!$N$4:$N$1003,"Concluída"))</f>
        <v/>
      </c>
      <c r="J39" s="42" t="str">
        <f aca="false">IF(OR($G39="",$H39=0),"",$I39/$H39)</f>
        <v/>
      </c>
      <c r="K39" s="41" t="str">
        <f aca="true">IF($G39="","",COUNTIFS(Programação!$C$4:$C$1003,$G39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0" customFormat="false" ht="15.75" hidden="false" customHeight="true" outlineLevel="0" collapsed="false">
      <c r="A40" s="22" t="str">
        <f aca="false">IF(Listas!A15="","",Listas!A15)</f>
        <v/>
      </c>
      <c r="B40" s="41" t="str">
        <f aca="false">IF($A40="","",COUNTIFS(Programação!$G$4:$G$1003,$A40,Programação!$J$4:$J$1003,"&gt;="&amp;$B$3,Programação!$J$4:$J$1003,"&lt;="&amp;$B$4,Programação!$N$4:$N$1003,"&lt;&gt;Cancelada"))</f>
        <v/>
      </c>
      <c r="C40" s="41" t="str">
        <f aca="false">IF($A40="","",COUNTIFS(Programação!$G$4:$G$1003,$A40,Programação!$J$4:$J$1003,"&gt;="&amp;$B$3,Programação!$J$4:$J$1003,"&lt;="&amp;$B$4,Programação!$N$4:$N$1003,"Concluída"))</f>
        <v/>
      </c>
      <c r="D40" s="42" t="str">
        <f aca="false">IF(OR($A40="",$B40=0),"",$C40/$B40)</f>
        <v/>
      </c>
      <c r="E40" s="41" t="str">
        <f aca="true">IF($A40="","",COUNTIFS(Programação!$G$4:$G$1003,$A40,Programação!$J$4:$J$1003,"&gt;="&amp;$B$3,Programação!$J$4:$J$1003,"&lt;="&amp;$B$4,Programação!$J$4:$J$1003,"&lt;"&amp;TODAY(),Programação!$N$4:$N$1003,"&lt;&gt;Concluída",Programação!$N$4:$N$1003,"&lt;&gt;Cancelada"))</f>
        <v/>
      </c>
      <c r="G40" s="22" t="str">
        <f aca="false">IF(Listas!B15="","",Listas!B15)</f>
        <v/>
      </c>
      <c r="H40" s="41" t="str">
        <f aca="false">IF($G40="","",COUNTIFS(Programação!$C$4:$C$1003,$G40,Programação!$J$4:$J$1003,"&gt;="&amp;$B$3,Programação!$J$4:$J$1003,"&lt;="&amp;$B$4,Programação!$N$4:$N$1003,"&lt;&gt;Cancelada"))</f>
        <v/>
      </c>
      <c r="I40" s="41" t="str">
        <f aca="false">IF($G40="","",COUNTIFS(Programação!$C$4:$C$1003,$G40,Programação!$J$4:$J$1003,"&gt;="&amp;$B$3,Programação!$J$4:$J$1003,"&lt;="&amp;$B$4,Programação!$N$4:$N$1003,"Concluída"))</f>
        <v/>
      </c>
      <c r="J40" s="42" t="str">
        <f aca="false">IF(OR($G40="",$H40=0),"",$I40/$H40)</f>
        <v/>
      </c>
      <c r="K40" s="41" t="str">
        <f aca="true">IF($G40="","",COUNTIFS(Programação!$C$4:$C$1003,$G40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1" customFormat="false" ht="15.75" hidden="false" customHeight="true" outlineLevel="0" collapsed="false">
      <c r="A41" s="22" t="str">
        <f aca="false">IF(Listas!A16="","",Listas!A16)</f>
        <v/>
      </c>
      <c r="B41" s="41" t="str">
        <f aca="false">IF($A41="","",COUNTIFS(Programação!$G$4:$G$1003,$A41,Programação!$J$4:$J$1003,"&gt;="&amp;$B$3,Programação!$J$4:$J$1003,"&lt;="&amp;$B$4,Programação!$N$4:$N$1003,"&lt;&gt;Cancelada"))</f>
        <v/>
      </c>
      <c r="C41" s="41" t="str">
        <f aca="false">IF($A41="","",COUNTIFS(Programação!$G$4:$G$1003,$A41,Programação!$J$4:$J$1003,"&gt;="&amp;$B$3,Programação!$J$4:$J$1003,"&lt;="&amp;$B$4,Programação!$N$4:$N$1003,"Concluída"))</f>
        <v/>
      </c>
      <c r="D41" s="42" t="str">
        <f aca="false">IF(OR($A41="",$B41=0),"",$C41/$B41)</f>
        <v/>
      </c>
      <c r="E41" s="41" t="str">
        <f aca="true">IF($A41="","",COUNTIFS(Programação!$G$4:$G$1003,$A41,Programação!$J$4:$J$1003,"&gt;="&amp;$B$3,Programação!$J$4:$J$1003,"&lt;="&amp;$B$4,Programação!$J$4:$J$1003,"&lt;"&amp;TODAY(),Programação!$N$4:$N$1003,"&lt;&gt;Concluída",Programação!$N$4:$N$1003,"&lt;&gt;Cancelada"))</f>
        <v/>
      </c>
      <c r="G41" s="22" t="str">
        <f aca="false">IF(Listas!B16="","",Listas!B16)</f>
        <v/>
      </c>
      <c r="H41" s="41" t="str">
        <f aca="false">IF($G41="","",COUNTIFS(Programação!$C$4:$C$1003,$G41,Programação!$J$4:$J$1003,"&gt;="&amp;$B$3,Programação!$J$4:$J$1003,"&lt;="&amp;$B$4,Programação!$N$4:$N$1003,"&lt;&gt;Cancelada"))</f>
        <v/>
      </c>
      <c r="I41" s="41" t="str">
        <f aca="false">IF($G41="","",COUNTIFS(Programação!$C$4:$C$1003,$G41,Programação!$J$4:$J$1003,"&gt;="&amp;$B$3,Programação!$J$4:$J$1003,"&lt;="&amp;$B$4,Programação!$N$4:$N$1003,"Concluída"))</f>
        <v/>
      </c>
      <c r="J41" s="42" t="str">
        <f aca="false">IF(OR($G41="",$H41=0),"",$I41/$H41)</f>
        <v/>
      </c>
      <c r="K41" s="41" t="str">
        <f aca="true">IF($G41="","",COUNTIFS(Programação!$C$4:$C$1003,$G41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2" customFormat="false" ht="15.75" hidden="false" customHeight="true" outlineLevel="0" collapsed="false">
      <c r="A42" s="22" t="str">
        <f aca="false">IF(Listas!A17="","",Listas!A17)</f>
        <v/>
      </c>
      <c r="B42" s="41" t="str">
        <f aca="false">IF($A42="","",COUNTIFS(Programação!$G$4:$G$1003,$A42,Programação!$J$4:$J$1003,"&gt;="&amp;$B$3,Programação!$J$4:$J$1003,"&lt;="&amp;$B$4,Programação!$N$4:$N$1003,"&lt;&gt;Cancelada"))</f>
        <v/>
      </c>
      <c r="C42" s="41" t="str">
        <f aca="false">IF($A42="","",COUNTIFS(Programação!$G$4:$G$1003,$A42,Programação!$J$4:$J$1003,"&gt;="&amp;$B$3,Programação!$J$4:$J$1003,"&lt;="&amp;$B$4,Programação!$N$4:$N$1003,"Concluída"))</f>
        <v/>
      </c>
      <c r="D42" s="42" t="str">
        <f aca="false">IF(OR($A42="",$B42=0),"",$C42/$B42)</f>
        <v/>
      </c>
      <c r="E42" s="41" t="str">
        <f aca="true">IF($A42="","",COUNTIFS(Programação!$G$4:$G$1003,$A42,Programação!$J$4:$J$1003,"&gt;="&amp;$B$3,Programação!$J$4:$J$1003,"&lt;="&amp;$B$4,Programação!$J$4:$J$1003,"&lt;"&amp;TODAY(),Programação!$N$4:$N$1003,"&lt;&gt;Concluída",Programação!$N$4:$N$1003,"&lt;&gt;Cancelada"))</f>
        <v/>
      </c>
      <c r="G42" s="22" t="str">
        <f aca="false">IF(Listas!B17="","",Listas!B17)</f>
        <v/>
      </c>
      <c r="H42" s="41" t="str">
        <f aca="false">IF($G42="","",COUNTIFS(Programação!$C$4:$C$1003,$G42,Programação!$J$4:$J$1003,"&gt;="&amp;$B$3,Programação!$J$4:$J$1003,"&lt;="&amp;$B$4,Programação!$N$4:$N$1003,"&lt;&gt;Cancelada"))</f>
        <v/>
      </c>
      <c r="I42" s="41" t="str">
        <f aca="false">IF($G42="","",COUNTIFS(Programação!$C$4:$C$1003,$G42,Programação!$J$4:$J$1003,"&gt;="&amp;$B$3,Programação!$J$4:$J$1003,"&lt;="&amp;$B$4,Programação!$N$4:$N$1003,"Concluída"))</f>
        <v/>
      </c>
      <c r="J42" s="42" t="str">
        <f aca="false">IF(OR($G42="",$H42=0),"",$I42/$H42)</f>
        <v/>
      </c>
      <c r="K42" s="41" t="str">
        <f aca="true">IF($G42="","",COUNTIFS(Programação!$C$4:$C$1003,$G42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3" customFormat="false" ht="15.75" hidden="false" customHeight="true" outlineLevel="0" collapsed="false">
      <c r="A43" s="22" t="str">
        <f aca="false">IF(Listas!A18="","",Listas!A18)</f>
        <v/>
      </c>
      <c r="B43" s="41" t="str">
        <f aca="false">IF($A43="","",COUNTIFS(Programação!$G$4:$G$1003,$A43,Programação!$J$4:$J$1003,"&gt;="&amp;$B$3,Programação!$J$4:$J$1003,"&lt;="&amp;$B$4,Programação!$N$4:$N$1003,"&lt;&gt;Cancelada"))</f>
        <v/>
      </c>
      <c r="C43" s="41" t="str">
        <f aca="false">IF($A43="","",COUNTIFS(Programação!$G$4:$G$1003,$A43,Programação!$J$4:$J$1003,"&gt;="&amp;$B$3,Programação!$J$4:$J$1003,"&lt;="&amp;$B$4,Programação!$N$4:$N$1003,"Concluída"))</f>
        <v/>
      </c>
      <c r="D43" s="42" t="str">
        <f aca="false">IF(OR($A43="",$B43=0),"",$C43/$B43)</f>
        <v/>
      </c>
      <c r="E43" s="41" t="str">
        <f aca="true">IF($A43="","",COUNTIFS(Programação!$G$4:$G$1003,$A43,Programação!$J$4:$J$1003,"&gt;="&amp;$B$3,Programação!$J$4:$J$1003,"&lt;="&amp;$B$4,Programação!$J$4:$J$1003,"&lt;"&amp;TODAY(),Programação!$N$4:$N$1003,"&lt;&gt;Concluída",Programação!$N$4:$N$1003,"&lt;&gt;Cancelada"))</f>
        <v/>
      </c>
      <c r="G43" s="22" t="str">
        <f aca="false">IF(Listas!B18="","",Listas!B18)</f>
        <v/>
      </c>
      <c r="H43" s="41" t="str">
        <f aca="false">IF($G43="","",COUNTIFS(Programação!$C$4:$C$1003,$G43,Programação!$J$4:$J$1003,"&gt;="&amp;$B$3,Programação!$J$4:$J$1003,"&lt;="&amp;$B$4,Programação!$N$4:$N$1003,"&lt;&gt;Cancelada"))</f>
        <v/>
      </c>
      <c r="I43" s="41" t="str">
        <f aca="false">IF($G43="","",COUNTIFS(Programação!$C$4:$C$1003,$G43,Programação!$J$4:$J$1003,"&gt;="&amp;$B$3,Programação!$J$4:$J$1003,"&lt;="&amp;$B$4,Programação!$N$4:$N$1003,"Concluída"))</f>
        <v/>
      </c>
      <c r="J43" s="42" t="str">
        <f aca="false">IF(OR($G43="",$H43=0),"",$I43/$H43)</f>
        <v/>
      </c>
      <c r="K43" s="41" t="str">
        <f aca="true">IF($G43="","",COUNTIFS(Programação!$C$4:$C$1003,$G43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4" customFormat="false" ht="15.75" hidden="false" customHeight="true" outlineLevel="0" collapsed="false">
      <c r="A44" s="22" t="str">
        <f aca="false">IF(Listas!A19="","",Listas!A19)</f>
        <v/>
      </c>
      <c r="B44" s="41" t="str">
        <f aca="false">IF($A44="","",COUNTIFS(Programação!$G$4:$G$1003,$A44,Programação!$J$4:$J$1003,"&gt;="&amp;$B$3,Programação!$J$4:$J$1003,"&lt;="&amp;$B$4,Programação!$N$4:$N$1003,"&lt;&gt;Cancelada"))</f>
        <v/>
      </c>
      <c r="C44" s="41" t="str">
        <f aca="false">IF($A44="","",COUNTIFS(Programação!$G$4:$G$1003,$A44,Programação!$J$4:$J$1003,"&gt;="&amp;$B$3,Programação!$J$4:$J$1003,"&lt;="&amp;$B$4,Programação!$N$4:$N$1003,"Concluída"))</f>
        <v/>
      </c>
      <c r="D44" s="42" t="str">
        <f aca="false">IF(OR($A44="",$B44=0),"",$C44/$B44)</f>
        <v/>
      </c>
      <c r="E44" s="41" t="str">
        <f aca="true">IF($A44="","",COUNTIFS(Programação!$G$4:$G$1003,$A44,Programação!$J$4:$J$1003,"&gt;="&amp;$B$3,Programação!$J$4:$J$1003,"&lt;="&amp;$B$4,Programação!$J$4:$J$1003,"&lt;"&amp;TODAY(),Programação!$N$4:$N$1003,"&lt;&gt;Concluída",Programação!$N$4:$N$1003,"&lt;&gt;Cancelada"))</f>
        <v/>
      </c>
      <c r="G44" s="22" t="str">
        <f aca="false">IF(Listas!B19="","",Listas!B19)</f>
        <v/>
      </c>
      <c r="H44" s="41" t="str">
        <f aca="false">IF($G44="","",COUNTIFS(Programação!$C$4:$C$1003,$G44,Programação!$J$4:$J$1003,"&gt;="&amp;$B$3,Programação!$J$4:$J$1003,"&lt;="&amp;$B$4,Programação!$N$4:$N$1003,"&lt;&gt;Cancelada"))</f>
        <v/>
      </c>
      <c r="I44" s="41" t="str">
        <f aca="false">IF($G44="","",COUNTIFS(Programação!$C$4:$C$1003,$G44,Programação!$J$4:$J$1003,"&gt;="&amp;$B$3,Programação!$J$4:$J$1003,"&lt;="&amp;$B$4,Programação!$N$4:$N$1003,"Concluída"))</f>
        <v/>
      </c>
      <c r="J44" s="42" t="str">
        <f aca="false">IF(OR($G44="",$H44=0),"",$I44/$H44)</f>
        <v/>
      </c>
      <c r="K44" s="41" t="str">
        <f aca="true">IF($G44="","",COUNTIFS(Programação!$C$4:$C$1003,$G44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5" customFormat="false" ht="15.75" hidden="false" customHeight="true" outlineLevel="0" collapsed="false">
      <c r="A45" s="22" t="str">
        <f aca="false">IF(Listas!A20="","",Listas!A20)</f>
        <v/>
      </c>
      <c r="B45" s="41" t="str">
        <f aca="false">IF($A45="","",COUNTIFS(Programação!$G$4:$G$1003,$A45,Programação!$J$4:$J$1003,"&gt;="&amp;$B$3,Programação!$J$4:$J$1003,"&lt;="&amp;$B$4,Programação!$N$4:$N$1003,"&lt;&gt;Cancelada"))</f>
        <v/>
      </c>
      <c r="C45" s="41" t="str">
        <f aca="false">IF($A45="","",COUNTIFS(Programação!$G$4:$G$1003,$A45,Programação!$J$4:$J$1003,"&gt;="&amp;$B$3,Programação!$J$4:$J$1003,"&lt;="&amp;$B$4,Programação!$N$4:$N$1003,"Concluída"))</f>
        <v/>
      </c>
      <c r="D45" s="42" t="str">
        <f aca="false">IF(OR($A45="",$B45=0),"",$C45/$B45)</f>
        <v/>
      </c>
      <c r="E45" s="41" t="str">
        <f aca="true">IF($A45="","",COUNTIFS(Programação!$G$4:$G$1003,$A45,Programação!$J$4:$J$1003,"&gt;="&amp;$B$3,Programação!$J$4:$J$1003,"&lt;="&amp;$B$4,Programação!$J$4:$J$1003,"&lt;"&amp;TODAY(),Programação!$N$4:$N$1003,"&lt;&gt;Concluída",Programação!$N$4:$N$1003,"&lt;&gt;Cancelada"))</f>
        <v/>
      </c>
      <c r="G45" s="22" t="str">
        <f aca="false">IF(Listas!B20="","",Listas!B20)</f>
        <v/>
      </c>
      <c r="H45" s="41" t="str">
        <f aca="false">IF($G45="","",COUNTIFS(Programação!$C$4:$C$1003,$G45,Programação!$J$4:$J$1003,"&gt;="&amp;$B$3,Programação!$J$4:$J$1003,"&lt;="&amp;$B$4,Programação!$N$4:$N$1003,"&lt;&gt;Cancelada"))</f>
        <v/>
      </c>
      <c r="I45" s="41" t="str">
        <f aca="false">IF($G45="","",COUNTIFS(Programação!$C$4:$C$1003,$G45,Programação!$J$4:$J$1003,"&gt;="&amp;$B$3,Programação!$J$4:$J$1003,"&lt;="&amp;$B$4,Programação!$N$4:$N$1003,"Concluída"))</f>
        <v/>
      </c>
      <c r="J45" s="42" t="str">
        <f aca="false">IF(OR($G45="",$H45=0),"",$I45/$H45)</f>
        <v/>
      </c>
      <c r="K45" s="41" t="str">
        <f aca="true">IF($G45="","",COUNTIFS(Programação!$C$4:$C$1003,$G45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6" customFormat="false" ht="15.75" hidden="false" customHeight="true" outlineLevel="0" collapsed="false">
      <c r="A46" s="22" t="str">
        <f aca="false">IF(Listas!A21="","",Listas!A21)</f>
        <v/>
      </c>
      <c r="B46" s="41" t="str">
        <f aca="false">IF($A46="","",COUNTIFS(Programação!$G$4:$G$1003,$A46,Programação!$J$4:$J$1003,"&gt;="&amp;$B$3,Programação!$J$4:$J$1003,"&lt;="&amp;$B$4,Programação!$N$4:$N$1003,"&lt;&gt;Cancelada"))</f>
        <v/>
      </c>
      <c r="C46" s="41" t="str">
        <f aca="false">IF($A46="","",COUNTIFS(Programação!$G$4:$G$1003,$A46,Programação!$J$4:$J$1003,"&gt;="&amp;$B$3,Programação!$J$4:$J$1003,"&lt;="&amp;$B$4,Programação!$N$4:$N$1003,"Concluída"))</f>
        <v/>
      </c>
      <c r="D46" s="42" t="str">
        <f aca="false">IF(OR($A46="",$B46=0),"",$C46/$B46)</f>
        <v/>
      </c>
      <c r="E46" s="41" t="str">
        <f aca="true">IF($A46="","",COUNTIFS(Programação!$G$4:$G$1003,$A46,Programação!$J$4:$J$1003,"&gt;="&amp;$B$3,Programação!$J$4:$J$1003,"&lt;="&amp;$B$4,Programação!$J$4:$J$1003,"&lt;"&amp;TODAY(),Programação!$N$4:$N$1003,"&lt;&gt;Concluída",Programação!$N$4:$N$1003,"&lt;&gt;Cancelada"))</f>
        <v/>
      </c>
      <c r="G46" s="22" t="str">
        <f aca="false">IF(Listas!B21="","",Listas!B21)</f>
        <v/>
      </c>
      <c r="H46" s="41" t="str">
        <f aca="false">IF($G46="","",COUNTIFS(Programação!$C$4:$C$1003,$G46,Programação!$J$4:$J$1003,"&gt;="&amp;$B$3,Programação!$J$4:$J$1003,"&lt;="&amp;$B$4,Programação!$N$4:$N$1003,"&lt;&gt;Cancelada"))</f>
        <v/>
      </c>
      <c r="I46" s="41" t="str">
        <f aca="false">IF($G46="","",COUNTIFS(Programação!$C$4:$C$1003,$G46,Programação!$J$4:$J$1003,"&gt;="&amp;$B$3,Programação!$J$4:$J$1003,"&lt;="&amp;$B$4,Programação!$N$4:$N$1003,"Concluída"))</f>
        <v/>
      </c>
      <c r="J46" s="42" t="str">
        <f aca="false">IF(OR($G46="",$H46=0),"",$I46/$H46)</f>
        <v/>
      </c>
      <c r="K46" s="41" t="str">
        <f aca="true">IF($G46="","",COUNTIFS(Programação!$C$4:$C$1003,$G46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7" customFormat="false" ht="15.75" hidden="false" customHeight="true" outlineLevel="0" collapsed="false">
      <c r="A47" s="22" t="str">
        <f aca="false">IF(Listas!A22="","",Listas!A22)</f>
        <v/>
      </c>
      <c r="B47" s="41" t="str">
        <f aca="false">IF($A47="","",COUNTIFS(Programação!$G$4:$G$1003,$A47,Programação!$J$4:$J$1003,"&gt;="&amp;$B$3,Programação!$J$4:$J$1003,"&lt;="&amp;$B$4,Programação!$N$4:$N$1003,"&lt;&gt;Cancelada"))</f>
        <v/>
      </c>
      <c r="C47" s="41" t="str">
        <f aca="false">IF($A47="","",COUNTIFS(Programação!$G$4:$G$1003,$A47,Programação!$J$4:$J$1003,"&gt;="&amp;$B$3,Programação!$J$4:$J$1003,"&lt;="&amp;$B$4,Programação!$N$4:$N$1003,"Concluída"))</f>
        <v/>
      </c>
      <c r="D47" s="42" t="str">
        <f aca="false">IF(OR($A47="",$B47=0),"",$C47/$B47)</f>
        <v/>
      </c>
      <c r="E47" s="41" t="str">
        <f aca="true">IF($A47="","",COUNTIFS(Programação!$G$4:$G$1003,$A47,Programação!$J$4:$J$1003,"&gt;="&amp;$B$3,Programação!$J$4:$J$1003,"&lt;="&amp;$B$4,Programação!$J$4:$J$1003,"&lt;"&amp;TODAY(),Programação!$N$4:$N$1003,"&lt;&gt;Concluída",Programação!$N$4:$N$1003,"&lt;&gt;Cancelada"))</f>
        <v/>
      </c>
      <c r="G47" s="22" t="str">
        <f aca="false">IF(Listas!B22="","",Listas!B22)</f>
        <v/>
      </c>
      <c r="H47" s="41" t="str">
        <f aca="false">IF($G47="","",COUNTIFS(Programação!$C$4:$C$1003,$G47,Programação!$J$4:$J$1003,"&gt;="&amp;$B$3,Programação!$J$4:$J$1003,"&lt;="&amp;$B$4,Programação!$N$4:$N$1003,"&lt;&gt;Cancelada"))</f>
        <v/>
      </c>
      <c r="I47" s="41" t="str">
        <f aca="false">IF($G47="","",COUNTIFS(Programação!$C$4:$C$1003,$G47,Programação!$J$4:$J$1003,"&gt;="&amp;$B$3,Programação!$J$4:$J$1003,"&lt;="&amp;$B$4,Programação!$N$4:$N$1003,"Concluída"))</f>
        <v/>
      </c>
      <c r="J47" s="42" t="str">
        <f aca="false">IF(OR($G47="",$H47=0),"",$I47/$H47)</f>
        <v/>
      </c>
      <c r="K47" s="41" t="str">
        <f aca="true">IF($G47="","",COUNTIFS(Programação!$C$4:$C$1003,$G47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8" customFormat="false" ht="15.75" hidden="false" customHeight="true" outlineLevel="0" collapsed="false">
      <c r="A48" s="22" t="str">
        <f aca="false">IF(Listas!A23="","",Listas!A23)</f>
        <v/>
      </c>
      <c r="B48" s="41" t="str">
        <f aca="false">IF($A48="","",COUNTIFS(Programação!$G$4:$G$1003,$A48,Programação!$J$4:$J$1003,"&gt;="&amp;$B$3,Programação!$J$4:$J$1003,"&lt;="&amp;$B$4,Programação!$N$4:$N$1003,"&lt;&gt;Cancelada"))</f>
        <v/>
      </c>
      <c r="C48" s="41" t="str">
        <f aca="false">IF($A48="","",COUNTIFS(Programação!$G$4:$G$1003,$A48,Programação!$J$4:$J$1003,"&gt;="&amp;$B$3,Programação!$J$4:$J$1003,"&lt;="&amp;$B$4,Programação!$N$4:$N$1003,"Concluída"))</f>
        <v/>
      </c>
      <c r="D48" s="42" t="str">
        <f aca="false">IF(OR($A48="",$B48=0),"",$C48/$B48)</f>
        <v/>
      </c>
      <c r="E48" s="41" t="str">
        <f aca="true">IF($A48="","",COUNTIFS(Programação!$G$4:$G$1003,$A48,Programação!$J$4:$J$1003,"&gt;="&amp;$B$3,Programação!$J$4:$J$1003,"&lt;="&amp;$B$4,Programação!$J$4:$J$1003,"&lt;"&amp;TODAY(),Programação!$N$4:$N$1003,"&lt;&gt;Concluída",Programação!$N$4:$N$1003,"&lt;&gt;Cancelada"))</f>
        <v/>
      </c>
      <c r="G48" s="22" t="str">
        <f aca="false">IF(Listas!B23="","",Listas!B23)</f>
        <v/>
      </c>
      <c r="H48" s="41" t="str">
        <f aca="false">IF($G48="","",COUNTIFS(Programação!$C$4:$C$1003,$G48,Programação!$J$4:$J$1003,"&gt;="&amp;$B$3,Programação!$J$4:$J$1003,"&lt;="&amp;$B$4,Programação!$N$4:$N$1003,"&lt;&gt;Cancelada"))</f>
        <v/>
      </c>
      <c r="I48" s="41" t="str">
        <f aca="false">IF($G48="","",COUNTIFS(Programação!$C$4:$C$1003,$G48,Programação!$J$4:$J$1003,"&gt;="&amp;$B$3,Programação!$J$4:$J$1003,"&lt;="&amp;$B$4,Programação!$N$4:$N$1003,"Concluída"))</f>
        <v/>
      </c>
      <c r="J48" s="42" t="str">
        <f aca="false">IF(OR($G48="",$H48=0),"",$I48/$H48)</f>
        <v/>
      </c>
      <c r="K48" s="41" t="str">
        <f aca="true">IF($G48="","",COUNTIFS(Programação!$C$4:$C$1003,$G48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49" customFormat="false" ht="15.75" hidden="false" customHeight="true" outlineLevel="0" collapsed="false">
      <c r="A49" s="22" t="str">
        <f aca="false">IF(Listas!A24="","",Listas!A24)</f>
        <v/>
      </c>
      <c r="B49" s="41" t="str">
        <f aca="false">IF($A49="","",COUNTIFS(Programação!$G$4:$G$1003,$A49,Programação!$J$4:$J$1003,"&gt;="&amp;$B$3,Programação!$J$4:$J$1003,"&lt;="&amp;$B$4,Programação!$N$4:$N$1003,"&lt;&gt;Cancelada"))</f>
        <v/>
      </c>
      <c r="C49" s="41" t="str">
        <f aca="false">IF($A49="","",COUNTIFS(Programação!$G$4:$G$1003,$A49,Programação!$J$4:$J$1003,"&gt;="&amp;$B$3,Programação!$J$4:$J$1003,"&lt;="&amp;$B$4,Programação!$N$4:$N$1003,"Concluída"))</f>
        <v/>
      </c>
      <c r="D49" s="42" t="str">
        <f aca="false">IF(OR($A49="",$B49=0),"",$C49/$B49)</f>
        <v/>
      </c>
      <c r="E49" s="41" t="str">
        <f aca="true">IF($A49="","",COUNTIFS(Programação!$G$4:$G$1003,$A49,Programação!$J$4:$J$1003,"&gt;="&amp;$B$3,Programação!$J$4:$J$1003,"&lt;="&amp;$B$4,Programação!$J$4:$J$1003,"&lt;"&amp;TODAY(),Programação!$N$4:$N$1003,"&lt;&gt;Concluída",Programação!$N$4:$N$1003,"&lt;&gt;Cancelada"))</f>
        <v/>
      </c>
      <c r="G49" s="22" t="str">
        <f aca="false">IF(Listas!B24="","",Listas!B24)</f>
        <v/>
      </c>
      <c r="H49" s="41" t="str">
        <f aca="false">IF($G49="","",COUNTIFS(Programação!$C$4:$C$1003,$G49,Programação!$J$4:$J$1003,"&gt;="&amp;$B$3,Programação!$J$4:$J$1003,"&lt;="&amp;$B$4,Programação!$N$4:$N$1003,"&lt;&gt;Cancelada"))</f>
        <v/>
      </c>
      <c r="I49" s="41" t="str">
        <f aca="false">IF($G49="","",COUNTIFS(Programação!$C$4:$C$1003,$G49,Programação!$J$4:$J$1003,"&gt;="&amp;$B$3,Programação!$J$4:$J$1003,"&lt;="&amp;$B$4,Programação!$N$4:$N$1003,"Concluída"))</f>
        <v/>
      </c>
      <c r="J49" s="42" t="str">
        <f aca="false">IF(OR($G49="",$H49=0),"",$I49/$H49)</f>
        <v/>
      </c>
      <c r="K49" s="41" t="str">
        <f aca="true">IF($G49="","",COUNTIFS(Programação!$C$4:$C$1003,$G49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51" customFormat="false" ht="15" hidden="false" customHeight="false" outlineLevel="0" collapsed="false">
      <c r="A51" s="3" t="s">
        <v>186</v>
      </c>
      <c r="B51" s="3"/>
      <c r="C51" s="3"/>
      <c r="D51" s="3"/>
      <c r="E51" s="3"/>
    </row>
    <row r="52" customFormat="false" ht="15" hidden="false" customHeight="false" outlineLevel="0" collapsed="false">
      <c r="A52" s="6" t="s">
        <v>183</v>
      </c>
      <c r="B52" s="6" t="s">
        <v>184</v>
      </c>
      <c r="C52" s="6" t="s">
        <v>185</v>
      </c>
      <c r="D52" s="6" t="s">
        <v>18</v>
      </c>
      <c r="E52" s="6" t="s">
        <v>142</v>
      </c>
    </row>
    <row r="53" customFormat="false" ht="15.75" hidden="false" customHeight="true" outlineLevel="0" collapsed="false">
      <c r="A53" s="22" t="str">
        <f aca="false">IF(Listas!C5="","",Listas!C5)</f>
        <v>Corretiva</v>
      </c>
      <c r="B53" s="41" t="n">
        <f aca="false">IF($A53="","",COUNTIFS(Programação!$F$4:$F$1003,$A53,Programação!$J$4:$J$1003,"&gt;="&amp;$B$3,Programação!$J$4:$J$1003,"&lt;="&amp;$B$4,Programação!$N$4:$N$1003,"&lt;&gt;Cancelada"))</f>
        <v>5</v>
      </c>
      <c r="C53" s="41" t="n">
        <f aca="false">IF($A53="","",COUNTIFS(Programação!$F$4:$F$1003,$A53,Programação!$J$4:$J$1003,"&gt;="&amp;$B$3,Programação!$J$4:$J$1003,"&lt;="&amp;$B$4,Programação!$N$4:$N$1003,"Concluída"))</f>
        <v>2</v>
      </c>
      <c r="D53" s="42" t="n">
        <f aca="false">IF(OR($A53="",$B53=0),"",$C53/$B53)</f>
        <v>0.4</v>
      </c>
      <c r="E53" s="41" t="n">
        <f aca="true">IF($A53="","",COUNTIFS(Programação!$F$4:$F$1003,$A53,Programação!$J$4:$J$1003,"&gt;="&amp;$B$3,Programação!$J$4:$J$1003,"&lt;="&amp;$B$4,Programação!$J$4:$J$1003,"&lt;"&amp;TODAY(),Programação!$N$4:$N$1003,"&lt;&gt;Concluída",Programação!$N$4:$N$1003,"&lt;&gt;Cancelada"))</f>
        <v>1</v>
      </c>
    </row>
    <row r="54" customFormat="false" ht="15.75" hidden="false" customHeight="true" outlineLevel="0" collapsed="false">
      <c r="A54" s="22" t="str">
        <f aca="false">IF(Listas!C6="","",Listas!C6)</f>
        <v>Preventiva</v>
      </c>
      <c r="B54" s="41" t="n">
        <f aca="false">IF($A54="","",COUNTIFS(Programação!$F$4:$F$1003,$A54,Programação!$J$4:$J$1003,"&gt;="&amp;$B$3,Programação!$J$4:$J$1003,"&lt;="&amp;$B$4,Programação!$N$4:$N$1003,"&lt;&gt;Cancelada"))</f>
        <v>6</v>
      </c>
      <c r="C54" s="41" t="n">
        <f aca="false">IF($A54="","",COUNTIFS(Programação!$F$4:$F$1003,$A54,Programação!$J$4:$J$1003,"&gt;="&amp;$B$3,Programação!$J$4:$J$1003,"&lt;="&amp;$B$4,Programação!$N$4:$N$1003,"Concluída"))</f>
        <v>2</v>
      </c>
      <c r="D54" s="42" t="n">
        <f aca="false">IF(OR($A54="",$B54=0),"",$C54/$B54)</f>
        <v>0.333333333333333</v>
      </c>
      <c r="E54" s="41" t="n">
        <f aca="true">IF($A54="","",COUNTIFS(Programação!$F$4:$F$1003,$A54,Programação!$J$4:$J$1003,"&gt;="&amp;$B$3,Programação!$J$4:$J$1003,"&lt;="&amp;$B$4,Programação!$J$4:$J$1003,"&lt;"&amp;TODAY(),Programação!$N$4:$N$1003,"&lt;&gt;Concluída",Programação!$N$4:$N$1003,"&lt;&gt;Cancelada"))</f>
        <v>1</v>
      </c>
    </row>
    <row r="55" customFormat="false" ht="15.75" hidden="false" customHeight="true" outlineLevel="0" collapsed="false">
      <c r="A55" s="22" t="str">
        <f aca="false">IF(Listas!C7="","",Listas!C7)</f>
        <v>Preditiva</v>
      </c>
      <c r="B55" s="41" t="n">
        <f aca="false">IF($A55="","",COUNTIFS(Programação!$F$4:$F$1003,$A55,Programação!$J$4:$J$1003,"&gt;="&amp;$B$3,Programação!$J$4:$J$1003,"&lt;="&amp;$B$4,Programação!$N$4:$N$1003,"&lt;&gt;Cancelada"))</f>
        <v>0</v>
      </c>
      <c r="C55" s="41" t="n">
        <f aca="false">IF($A55="","",COUNTIFS(Programação!$F$4:$F$1003,$A55,Programação!$J$4:$J$1003,"&gt;="&amp;$B$3,Programação!$J$4:$J$1003,"&lt;="&amp;$B$4,Programação!$N$4:$N$1003,"Concluída"))</f>
        <v>0</v>
      </c>
      <c r="D55" s="42" t="str">
        <f aca="false">IF(OR($A55="",$B55=0),"",$C55/$B55)</f>
        <v/>
      </c>
      <c r="E55" s="41" t="n">
        <f aca="true">IF($A55="","",COUNTIFS(Programação!$F$4:$F$1003,$A55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56" customFormat="false" ht="15.75" hidden="false" customHeight="true" outlineLevel="0" collapsed="false">
      <c r="A56" s="22" t="str">
        <f aca="false">IF(Listas!C8="","",Listas!C8)</f>
        <v>Melhoria</v>
      </c>
      <c r="B56" s="41" t="n">
        <f aca="false">IF($A56="","",COUNTIFS(Programação!$F$4:$F$1003,$A56,Programação!$J$4:$J$1003,"&gt;="&amp;$B$3,Programação!$J$4:$J$1003,"&lt;="&amp;$B$4,Programação!$N$4:$N$1003,"&lt;&gt;Cancelada"))</f>
        <v>0</v>
      </c>
      <c r="C56" s="41" t="n">
        <f aca="false">IF($A56="","",COUNTIFS(Programação!$F$4:$F$1003,$A56,Programação!$J$4:$J$1003,"&gt;="&amp;$B$3,Programação!$J$4:$J$1003,"&lt;="&amp;$B$4,Programação!$N$4:$N$1003,"Concluída"))</f>
        <v>0</v>
      </c>
      <c r="D56" s="42" t="str">
        <f aca="false">IF(OR($A56="",$B56=0),"",$C56/$B56)</f>
        <v/>
      </c>
      <c r="E56" s="41" t="n">
        <f aca="true">IF($A56="","",COUNTIFS(Programação!$F$4:$F$1003,$A56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57" customFormat="false" ht="15.75" hidden="false" customHeight="true" outlineLevel="0" collapsed="false">
      <c r="A57" s="22" t="str">
        <f aca="false">IF(Listas!C9="","",Listas!C9)</f>
        <v>Inspeção</v>
      </c>
      <c r="B57" s="41" t="n">
        <f aca="false">IF($A57="","",COUNTIFS(Programação!$F$4:$F$1003,$A57,Programação!$J$4:$J$1003,"&gt;="&amp;$B$3,Programação!$J$4:$J$1003,"&lt;="&amp;$B$4,Programação!$N$4:$N$1003,"&lt;&gt;Cancelada"))</f>
        <v>2</v>
      </c>
      <c r="C57" s="41" t="n">
        <f aca="false">IF($A57="","",COUNTIFS(Programação!$F$4:$F$1003,$A57,Programação!$J$4:$J$1003,"&gt;="&amp;$B$3,Programação!$J$4:$J$1003,"&lt;="&amp;$B$4,Programação!$N$4:$N$1003,"Concluída"))</f>
        <v>1</v>
      </c>
      <c r="D57" s="42" t="n">
        <f aca="false">IF(OR($A57="",$B57=0),"",$C57/$B57)</f>
        <v>0.5</v>
      </c>
      <c r="E57" s="41" t="n">
        <f aca="true">IF($A57="","",COUNTIFS(Programação!$F$4:$F$1003,$A57,Programação!$J$4:$J$1003,"&gt;="&amp;$B$3,Programação!$J$4:$J$1003,"&lt;="&amp;$B$4,Programação!$J$4:$J$1003,"&lt;"&amp;TODAY(),Programação!$N$4:$N$1003,"&lt;&gt;Concluída",Programação!$N$4:$N$1003,"&lt;&gt;Cancelada"))</f>
        <v>0</v>
      </c>
    </row>
    <row r="58" customFormat="false" ht="15.75" hidden="false" customHeight="true" outlineLevel="0" collapsed="false">
      <c r="A58" s="22" t="str">
        <f aca="false">IF(Listas!C10="","",Listas!C10)</f>
        <v/>
      </c>
      <c r="B58" s="41" t="str">
        <f aca="false">IF($A58="","",COUNTIFS(Programação!$F$4:$F$1003,$A58,Programação!$J$4:$J$1003,"&gt;="&amp;$B$3,Programação!$J$4:$J$1003,"&lt;="&amp;$B$4,Programação!$N$4:$N$1003,"&lt;&gt;Cancelada"))</f>
        <v/>
      </c>
      <c r="C58" s="41" t="str">
        <f aca="false">IF($A58="","",COUNTIFS(Programação!$F$4:$F$1003,$A58,Programação!$J$4:$J$1003,"&gt;="&amp;$B$3,Programação!$J$4:$J$1003,"&lt;="&amp;$B$4,Programação!$N$4:$N$1003,"Concluída"))</f>
        <v/>
      </c>
      <c r="D58" s="42" t="str">
        <f aca="false">IF(OR($A58="",$B58=0),"",$C58/$B58)</f>
        <v/>
      </c>
      <c r="E58" s="41" t="str">
        <f aca="true">IF($A58="","",COUNTIFS(Programação!$F$4:$F$1003,$A58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59" customFormat="false" ht="15.75" hidden="false" customHeight="true" outlineLevel="0" collapsed="false">
      <c r="A59" s="22" t="str">
        <f aca="false">IF(Listas!C11="","",Listas!C11)</f>
        <v/>
      </c>
      <c r="B59" s="41" t="str">
        <f aca="false">IF($A59="","",COUNTIFS(Programação!$F$4:$F$1003,$A59,Programação!$J$4:$J$1003,"&gt;="&amp;$B$3,Programação!$J$4:$J$1003,"&lt;="&amp;$B$4,Programação!$N$4:$N$1003,"&lt;&gt;Cancelada"))</f>
        <v/>
      </c>
      <c r="C59" s="41" t="str">
        <f aca="false">IF($A59="","",COUNTIFS(Programação!$F$4:$F$1003,$A59,Programação!$J$4:$J$1003,"&gt;="&amp;$B$3,Programação!$J$4:$J$1003,"&lt;="&amp;$B$4,Programação!$N$4:$N$1003,"Concluída"))</f>
        <v/>
      </c>
      <c r="D59" s="42" t="str">
        <f aca="false">IF(OR($A59="",$B59=0),"",$C59/$B59)</f>
        <v/>
      </c>
      <c r="E59" s="41" t="str">
        <f aca="true">IF($A59="","",COUNTIFS(Programação!$F$4:$F$1003,$A59,Programação!$J$4:$J$1003,"&gt;="&amp;$B$3,Programação!$J$4:$J$1003,"&lt;="&amp;$B$4,Programação!$J$4:$J$1003,"&lt;"&amp;TODAY(),Programação!$N$4:$N$1003,"&lt;&gt;Concluída",Programação!$N$4:$N$1003,"&lt;&gt;Cancelada"))</f>
        <v/>
      </c>
    </row>
    <row r="60" customFormat="false" ht="15.75" hidden="false" customHeight="true" outlineLevel="0" collapsed="false">
      <c r="A60" s="22" t="str">
        <f aca="false">IF(Listas!C12="","",Listas!C12)</f>
        <v/>
      </c>
      <c r="B60" s="41" t="str">
        <f aca="false">IF($A60="","",COUNTIFS(Programação!$F$4:$F$1003,$A60,Programação!$J$4:$J$1003,"&gt;="&amp;$B$3,Programação!$J$4:$J$1003,"&lt;="&amp;$B$4,Programação!$N$4:$N$1003,"&lt;&gt;Cancelada"))</f>
        <v/>
      </c>
      <c r="C60" s="41" t="str">
        <f aca="false">IF($A60="","",COUNTIFS(Programação!$F$4:$F$1003,$A60,Programação!$J$4:$J$1003,"&gt;="&amp;$B$3,Programação!$J$4:$J$1003,"&lt;="&amp;$B$4,Programação!$N$4:$N$1003,"Concluída"))</f>
        <v/>
      </c>
      <c r="D60" s="42" t="str">
        <f aca="false">IF(OR($A60="",$B60=0),"",$C60/$B60)</f>
        <v/>
      </c>
      <c r="E60" s="41" t="str">
        <f aca="true">IF($A60="","",COUNTIFS(Programação!$F$4:$F$1003,$A60,Programação!$J$4:$J$1003,"&gt;="&amp;$B$3,Programação!$J$4:$J$1003,"&lt;="&amp;$B$4,Programação!$J$4:$J$1003,"&lt;"&amp;TODAY(),Programação!$N$4:$N$1003,"&lt;&gt;Concluída",Programação!$N$4:$N$1003,"&lt;&gt;Cancelada"))</f>
        <v/>
      </c>
    </row>
  </sheetData>
  <mergeCells count="23">
    <mergeCell ref="A1:K1"/>
    <mergeCell ref="C3:H3"/>
    <mergeCell ref="C4:H4"/>
    <mergeCell ref="A6:B9"/>
    <mergeCell ref="C6:K9"/>
    <mergeCell ref="C11:K11"/>
    <mergeCell ref="C12:K12"/>
    <mergeCell ref="C13:K13"/>
    <mergeCell ref="C14:K14"/>
    <mergeCell ref="C15:K15"/>
    <mergeCell ref="C16:K16"/>
    <mergeCell ref="C17:K17"/>
    <mergeCell ref="C18:K18"/>
    <mergeCell ref="C19:K19"/>
    <mergeCell ref="C20:K20"/>
    <mergeCell ref="C21:K21"/>
    <mergeCell ref="C22:K22"/>
    <mergeCell ref="C23:K23"/>
    <mergeCell ref="C24:K24"/>
    <mergeCell ref="C25:K25"/>
    <mergeCell ref="A28:E28"/>
    <mergeCell ref="G28:K28"/>
    <mergeCell ref="A51:E51"/>
  </mergeCells>
  <conditionalFormatting sqref="B20">
    <cfRule type="cellIs" priority="2" operator="greaterThan" aboveAverage="0" equalAverage="0" bottom="0" percent="0" rank="0" text="" dxfId="21">
      <formula>0</formula>
    </cfRule>
  </conditionalFormatting>
  <conditionalFormatting sqref="B14">
    <cfRule type="cellIs" priority="3" operator="greaterThanOrEqual" aboveAverage="0" equalAverage="0" bottom="0" percent="0" rank="0" text="" dxfId="22">
      <formula>0.85</formula>
    </cfRule>
    <cfRule type="cellIs" priority="4" operator="lessThan" aboveAverage="0" equalAverage="0" bottom="0" percent="0" rank="0" text="" dxfId="23">
      <formula>0.6</formula>
    </cfRule>
  </conditionalFormatting>
  <conditionalFormatting sqref="B16">
    <cfRule type="cellIs" priority="5" operator="greaterThanOrEqual" aboveAverage="0" equalAverage="0" bottom="0" percent="0" rank="0" text="" dxfId="22">
      <formula>0.85</formula>
    </cfRule>
    <cfRule type="cellIs" priority="6" operator="lessThan" aboveAverage="0" equalAverage="0" bottom="0" percent="0" rank="0" text="" dxfId="23">
      <formula>0.6</formula>
    </cfRule>
  </conditionalFormatting>
  <conditionalFormatting sqref="B19">
    <cfRule type="cellIs" priority="7" operator="greaterThanOrEqual" aboveAverage="0" equalAverage="0" bottom="0" percent="0" rank="0" text="" dxfId="22">
      <formula>0.85</formula>
    </cfRule>
    <cfRule type="cellIs" priority="8" operator="lessThan" aboveAverage="0" equalAverage="0" bottom="0" percent="0" rank="0" text="" dxfId="23">
      <formula>0.6</formula>
    </cfRule>
  </conditionalFormatting>
  <conditionalFormatting sqref="A6">
    <cfRule type="cellIs" priority="9" operator="greaterThanOrEqual" aboveAverage="0" equalAverage="0" bottom="0" percent="0" rank="0" text="" dxfId="24">
      <formula>0.85</formula>
    </cfRule>
    <cfRule type="cellIs" priority="10" operator="lessThan" aboveAverage="0" equalAverage="0" bottom="0" percent="0" rank="0" text="" dxfId="25">
      <formula>0.6</formula>
    </cfRule>
  </conditionalFormatting>
  <conditionalFormatting sqref="D30:D49">
    <cfRule type="cellIs" priority="11" operator="greaterThanOrEqual" aboveAverage="0" equalAverage="0" bottom="0" percent="0" rank="0" text="" dxfId="17">
      <formula>0.85</formula>
    </cfRule>
    <cfRule type="cellIs" priority="12" operator="lessThan" aboveAverage="0" equalAverage="0" bottom="0" percent="0" rank="0" text="" dxfId="16">
      <formula>0.6</formula>
    </cfRule>
  </conditionalFormatting>
  <conditionalFormatting sqref="E30:E49">
    <cfRule type="cellIs" priority="13" operator="greaterThan" aboveAverage="0" equalAverage="0" bottom="0" percent="0" rank="0" text="" dxfId="20">
      <formula>0</formula>
    </cfRule>
  </conditionalFormatting>
  <conditionalFormatting sqref="J30:J49">
    <cfRule type="cellIs" priority="14" operator="greaterThanOrEqual" aboveAverage="0" equalAverage="0" bottom="0" percent="0" rank="0" text="" dxfId="17">
      <formula>0.85</formula>
    </cfRule>
    <cfRule type="cellIs" priority="15" operator="lessThan" aboveAverage="0" equalAverage="0" bottom="0" percent="0" rank="0" text="" dxfId="16">
      <formula>0.6</formula>
    </cfRule>
  </conditionalFormatting>
  <conditionalFormatting sqref="K30:K49">
    <cfRule type="cellIs" priority="16" operator="greaterThan" aboveAverage="0" equalAverage="0" bottom="0" percent="0" rank="0" text="" dxfId="20">
      <formula>0</formula>
    </cfRule>
  </conditionalFormatting>
  <conditionalFormatting sqref="D53:D60">
    <cfRule type="cellIs" priority="17" operator="greaterThanOrEqual" aboveAverage="0" equalAverage="0" bottom="0" percent="0" rank="0" text="" dxfId="17">
      <formula>0.85</formula>
    </cfRule>
    <cfRule type="cellIs" priority="18" operator="lessThan" aboveAverage="0" equalAverage="0" bottom="0" percent="0" rank="0" text="" dxfId="16">
      <formula>0.6</formula>
    </cfRule>
  </conditionalFormatting>
  <conditionalFormatting sqref="E53:E60">
    <cfRule type="cellIs" priority="19" operator="greaterThan" aboveAverage="0" equalAverage="0" bottom="0" percent="0" rank="0" text="" dxfId="20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2026-08-26T22:43:40Z</dcterms:created>
  <dc:creator>openpyxl</dc:creator>
  <dc:description/>
  <dc:language>en-US</dc:language>
  <cp:lastModifiedBy/>
  <dcterms:modified xsi:type="dcterms:W3CDTF">2026-08-26T22:43:42Z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