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 a dia" sheetId="1" state="visible" r:id="rId3"/>
    <sheet name="Listas" sheetId="2" state="visible" r:id="rId4"/>
    <sheet name="Movimentações" sheetId="3" state="visible" r:id="rId5"/>
  </sheets>
  <definedNames>
    <definedName function="false" hidden="false" localSheetId="0" name="_xlnm.Print_Area" vbProcedure="false">'Dia a dia'!$A$1:$H$265</definedName>
    <definedName function="false" hidden="false" localSheetId="0" name="_xlnm.Print_Titles" vbProcedure="false">'Dia a dia'!$6:$6</definedName>
    <definedName function="false" hidden="true" localSheetId="0" name="_xlnm._FilterDatabase" vbProcedure="false">'Dia a dia'!$A$6:$H$706</definedName>
    <definedName function="false" hidden="false" localSheetId="2" name="_xlnm.Print_Area" vbProcedure="false">Movimentações!$A$1:$I$37</definedName>
    <definedName function="false" hidden="false" localSheetId="2" name="_xlnm.Print_Titles" vbProcedure="false">Movimentações!$8:$8</definedName>
    <definedName function="false" hidden="true" localSheetId="2" name="_xlnm._FilterDatabase" vbProcedure="false">Movimentações!$A$8:$I$308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O dia em que a atividade está programada.
Deixe vazio para ela ficar esperando, sem dia — ela some do quadro de cima e fica na conta de “sem data”.</t>
        </r>
      </text>
    </comment>
    <comment ref="B3" authorId="0">
      <text>
        <r>
          <rPr>
            <sz val="10"/>
            <rFont val="Arial"/>
            <family val="2"/>
          </rPr>
          <t xml:space="preserve">Vem no dia de hoje.
Troque a data para ver outro dia — os números do lado acompanham. Para voltar, escreva =HOJE()</t>
        </r>
      </text>
    </comment>
    <comment ref="C6" authorId="0">
      <text>
        <r>
          <rPr>
            <sz val="10"/>
            <rFont val="Arial"/>
            <family val="2"/>
          </rPr>
          <t xml:space="preserve">O que tem de ser feito. Escreva à vontade.</t>
        </r>
      </text>
    </comment>
    <comment ref="D3" authorId="0">
      <text>
        <r>
          <rPr>
            <sz val="10"/>
            <rFont val="Arial"/>
            <family val="2"/>
          </rPr>
          <t xml:space="preserve">atividades com esta data</t>
        </r>
      </text>
    </comment>
    <comment ref="D6" authorId="0">
      <text>
        <r>
          <rPr>
            <sz val="10"/>
            <rFont val="Arial"/>
            <family val="2"/>
          </rPr>
          <t xml:space="preserve">Toque e escolha SIM quando sair. Vazio é pendente.</t>
        </r>
      </text>
    </comment>
    <comment ref="E6" authorId="0">
      <text>
        <r>
          <rPr>
            <sz val="10"/>
            <rFont val="Arial"/>
            <family val="2"/>
          </rPr>
          <t xml:space="preserve">O número da OS aberta no Protheus.
Vazio quer dizer que ainda não foi aberta — é assim que se sabe o que falta lançar lá.</t>
        </r>
      </text>
    </comment>
    <comment ref="F3" authorId="0">
      <text>
        <r>
          <rPr>
            <sz val="10"/>
            <rFont val="Arial"/>
            <family val="2"/>
          </rPr>
          <t xml:space="preserve">dessas, quantas você marcou Sim</t>
        </r>
      </text>
    </comment>
    <comment ref="G3" authorId="0">
      <text>
        <r>
          <rPr>
            <sz val="10"/>
            <rFont val="Arial"/>
            <family val="2"/>
          </rPr>
          <t xml:space="preserve">feitas ÷ programadas do dia</t>
        </r>
      </text>
    </comment>
    <comment ref="H3" authorId="0">
      <text>
        <r>
          <rPr>
            <sz val="10"/>
            <rFont val="Arial"/>
            <family val="2"/>
          </rPr>
          <t xml:space="preserve">atividades de hoje que ainda não têm OS aberta no Protheus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<sst xmlns="http://schemas.openxmlformats.org/spreadsheetml/2006/main" count="1414" uniqueCount="539">
  <si>
    <t xml:space="preserve">PROGRAMAÇÃO DIÁRIA  ·  MAKRO TRANSPORTES</t>
  </si>
  <si>
    <t xml:space="preserve">O controle é o PROTHEUS. Aqui você anota a atividade, o número da OS que abriu lá, e marca se saiu.</t>
  </si>
  <si>
    <t xml:space="preserve">DIA</t>
  </si>
  <si>
    <t xml:space="preserve">PROGRAMADAS</t>
  </si>
  <si>
    <t xml:space="preserve">FEITAS</t>
  </si>
  <si>
    <t xml:space="preserve">ADERÊNCIA DO DIA</t>
  </si>
  <si>
    <t xml:space="preserve">SEM OS</t>
  </si>
  <si>
    <t xml:space="preserve">Data</t>
  </si>
  <si>
    <t xml:space="preserve">Frota</t>
  </si>
  <si>
    <t xml:space="preserve">Atividade</t>
  </si>
  <si>
    <t xml:space="preserve">Feito</t>
  </si>
  <si>
    <t xml:space="preserve">OS Protheus</t>
  </si>
  <si>
    <t xml:space="preserve">Quem faz</t>
  </si>
  <si>
    <t xml:space="preserve">Serviço</t>
  </si>
  <si>
    <t xml:space="preserve">Obs.</t>
  </si>
  <si>
    <t xml:space="preserve">F-327</t>
  </si>
  <si>
    <t xml:space="preserve">Corrigir ligação da chave geral (serviço interno Matriz)</t>
  </si>
  <si>
    <t xml:space="preserve">21437</t>
  </si>
  <si>
    <t xml:space="preserve">Adilton · Gabriel</t>
  </si>
  <si>
    <t xml:space="preserve">baixa de carteira</t>
  </si>
  <si>
    <t xml:space="preserve">Mudou a prioridade</t>
  </si>
  <si>
    <t xml:space="preserve">Verificado intercooler com reparos, ficando apenas em observação de substituição (serviço interno Matriz)</t>
  </si>
  <si>
    <t xml:space="preserve">21441</t>
  </si>
  <si>
    <t xml:space="preserve">Substituir buchas das abraçadeiras do tanque LD gastas e corrigir/substituir tanque amassado (serviço interno Matriz)</t>
  </si>
  <si>
    <t xml:space="preserve">21446</t>
  </si>
  <si>
    <t xml:space="preserve">Peça não chegou</t>
  </si>
  <si>
    <t xml:space="preserve">F-331</t>
  </si>
  <si>
    <t xml:space="preserve">Diagnosticar e corrigir falha no sistema do motor: temperatura dos gases de escape (serviço interno base Mossoró)</t>
  </si>
  <si>
    <t xml:space="preserve">21301</t>
  </si>
  <si>
    <t xml:space="preserve">Preventiva</t>
  </si>
  <si>
    <t xml:space="preserve">Reprogramada por conta de box bloqueado por conta de guindaste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</si>
  <si>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</si>
  <si>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</si>
  <si>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Serviço maior que o previsto · Reprogramada por conta de box bloqueado por conta de guindaste</t>
  </si>
  <si>
    <t xml:space="preserve">F-815</t>
  </si>
  <si>
    <t xml:space="preserve">Completar nível de óleo do motor e corrigir vazamentos no mesmo (OS ABRIR OS · serviço interno Matriz)</t>
  </si>
  <si>
    <t xml:space="preserve">7157</t>
  </si>
  <si>
    <t xml:space="preserve">Heliton</t>
  </si>
  <si>
    <t xml:space="preserve">Baixa de pendências backlog</t>
  </si>
  <si>
    <t xml:space="preserve">Frota não chegou na oficina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</si>
  <si>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</si>
  <si>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</si>
  <si>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7334</t>
  </si>
  <si>
    <t xml:space="preserve">Substituir vedação do tubo de respiro da tampa de válvulas (OS ABRIR OS · verificar item em estoque)</t>
  </si>
  <si>
    <t xml:space="preserve">7339</t>
  </si>
  <si>
    <t xml:space="preserve">Corrigir vazamento nas mangueiras do reservatório de óleo hidráulico: recuperar as mesmas, substituir abraçadeiras e etc (OS ABRIR OS ·</t>
  </si>
  <si>
    <t xml:space="preserve">07302</t>
  </si>
  <si>
    <t xml:space="preserve">Completar nível do líquido de arrefecimento (OS ABRIR OS · serviço interno Matriz)</t>
  </si>
  <si>
    <t xml:space="preserve">07343</t>
  </si>
  <si>
    <t xml:space="preserve">Corrigir vazamento no diferencial do segundo eixo (OS ABRIR OS · serviço interno Matriz)</t>
  </si>
  <si>
    <t xml:space="preserve">07344</t>
  </si>
  <si>
    <t xml:space="preserve">Substituir chave geral avariada (OS 7158 · 21243844)</t>
  </si>
  <si>
    <t xml:space="preserve">7158</t>
  </si>
  <si>
    <t xml:space="preserve">Alexandre</t>
  </si>
  <si>
    <t xml:space="preserve">Repor tampa de proteção das tomadas frontais (erraque) LD (OS 7159 · 20410141)</t>
  </si>
  <si>
    <t xml:space="preserve">7159</t>
  </si>
  <si>
    <t xml:space="preserve">Fixar banco do passageiro LD (serviço interno Matriz)</t>
  </si>
  <si>
    <t xml:space="preserve">21447</t>
  </si>
  <si>
    <t xml:space="preserve">Corrigir empeno do aro segundo eixo LD (serviço interno Matriz)</t>
  </si>
  <si>
    <t xml:space="preserve">21448</t>
  </si>
  <si>
    <t xml:space="preserve">Programar substituição das juntas do escapamento gastas (serviço interno Matriz/20855371, realizar acompanhamento (6 unidades))</t>
  </si>
  <si>
    <t xml:space="preserve">21451</t>
  </si>
  <si>
    <t xml:space="preserve">Substituir estribo da cabine LD (3175928/realizar acompanhamento)</t>
  </si>
  <si>
    <t xml:space="preserve">21456</t>
  </si>
  <si>
    <t xml:space="preserve">Repor acabamento inferior frontal do parachoque (20711859)</t>
  </si>
  <si>
    <t xml:space="preserve">20466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</si>
  <si>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</si>
  <si>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</si>
  <si>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F-617</t>
  </si>
  <si>
    <t xml:space="preserve">Corrigir vazamento na mangueira de arrefecimento do compressor;</t>
  </si>
  <si>
    <t xml:space="preserve">21334</t>
  </si>
  <si>
    <t xml:space="preserve">Júnior</t>
  </si>
  <si>
    <t xml:space="preserve">Baixa de carteira</t>
  </si>
  <si>
    <t xml:space="preserve">Substituir batentes das cabines</t>
  </si>
  <si>
    <t xml:space="preserve">21284</t>
  </si>
  <si>
    <t xml:space="preserve">Substituir mangueira do do tubo de ar quente com vazamento</t>
  </si>
  <si>
    <t xml:space="preserve">Chave de luz</t>
  </si>
  <si>
    <t xml:space="preserve">21359</t>
  </si>
  <si>
    <t xml:space="preserve">Grade inferior azul frontal</t>
  </si>
  <si>
    <t xml:space="preserve">F-624</t>
  </si>
  <si>
    <t xml:space="preserve">Completar liquido de arrefecimento</t>
  </si>
  <si>
    <t xml:space="preserve">021487</t>
  </si>
  <si>
    <t xml:space="preserve">Corrigir iluminação da luz de freio traseira LE e revisar demais luzes (OS ABRIR OS · serviço interno Matriz)</t>
  </si>
  <si>
    <t xml:space="preserve">007348</t>
  </si>
  <si>
    <t xml:space="preserve">Fixar módulo do motor, evitando excesso de vibração no mesmo (OS ABRIR OS · serviço interno Matriz)</t>
  </si>
  <si>
    <t xml:space="preserve">007349</t>
  </si>
  <si>
    <t xml:space="preserve">Fixar grade frontal LD (OS ABRIR OS · serviço interno Matriz)</t>
  </si>
  <si>
    <t xml:space="preserve">007350</t>
  </si>
  <si>
    <t xml:space="preserve">Substituir estepe furado (OS ABRIR OS · serviço interno Matriz)</t>
  </si>
  <si>
    <t xml:space="preserve">007351</t>
  </si>
  <si>
    <t xml:space="preserve">Luiz Paulo</t>
  </si>
  <si>
    <t xml:space="preserve">Substituir amortecedor dianteiro da cabine LD com desgaste nas buchas, apresentando ruído "ferro com ferro" ao movimentar a mesma (OS</t>
  </si>
  <si>
    <t xml:space="preserve">7160</t>
  </si>
  <si>
    <t xml:space="preserve">Substituir reservatório do limpador de parabrisas avariado (OS ABRIR OS · verificar possível correção ou realizar pedido 20360593)</t>
  </si>
  <si>
    <t xml:space="preserve">007352</t>
  </si>
  <si>
    <t xml:space="preserve">Substituir vedação da tampa do cubo de roda dianteiro LD (OS 7161 · 3986189)</t>
  </si>
  <si>
    <t xml:space="preserve">7161</t>
  </si>
  <si>
    <t xml:space="preserve">Substituir vareta de verificação do nível de óleo hidráulico avariada (OS ABRIR OS · 1696362)</t>
  </si>
  <si>
    <t xml:space="preserve">007353</t>
  </si>
  <si>
    <t xml:space="preserve">Substituir flexível do escapamento avariado, evitando danificar mangueiras e chicotes (OS 7162 · 20442244)</t>
  </si>
  <si>
    <t xml:space="preserve">7162</t>
  </si>
  <si>
    <t xml:space="preserve">Programar substituição das lonas de freio segundo eixo LD (OS ABRIR OS · serviço empresa especializada, programar próxima parada)</t>
  </si>
  <si>
    <t xml:space="preserve">007354</t>
  </si>
  <si>
    <t xml:space="preserve">Substituir farol LE avariado (OS ABRIR OS · 21035645 (realizar acompanhamento))</t>
  </si>
  <si>
    <t xml:space="preserve">007355</t>
  </si>
  <si>
    <t xml:space="preserve">F-938</t>
  </si>
  <si>
    <t xml:space="preserve">Trocar bateria</t>
  </si>
  <si>
    <t xml:space="preserve">021496</t>
  </si>
  <si>
    <t xml:space="preserve">Realizar troca de baterias</t>
  </si>
  <si>
    <t xml:space="preserve">Motor esguicho</t>
  </si>
  <si>
    <t xml:space="preserve">21296</t>
  </si>
  <si>
    <t xml:space="preserve">Mola gás</t>
  </si>
  <si>
    <t xml:space="preserve">21297</t>
  </si>
  <si>
    <t xml:space="preserve">Lamina d'agua</t>
  </si>
  <si>
    <t xml:space="preserve">21298</t>
  </si>
  <si>
    <t xml:space="preserve">Mola do pedal</t>
  </si>
  <si>
    <t xml:space="preserve">21299</t>
  </si>
  <si>
    <t xml:space="preserve">Interruptor</t>
  </si>
  <si>
    <t xml:space="preserve">21300</t>
  </si>
  <si>
    <t xml:space="preserve">Trocar tanque de combustivel com vazamento</t>
  </si>
  <si>
    <t xml:space="preserve">021377</t>
  </si>
  <si>
    <t xml:space="preserve">Verificar fechamento das portas LD e LE</t>
  </si>
  <si>
    <t xml:space="preserve">Adilton · Júnior · Gabriel</t>
  </si>
  <si>
    <t xml:space="preserve">Programação 02/09</t>
  </si>
  <si>
    <t xml:space="preserve">Origem: WhatsApp 02/09</t>
  </si>
  <si>
    <t xml:space="preserve">F-424</t>
  </si>
  <si>
    <t xml:space="preserve">Verificar painel queimado</t>
  </si>
  <si>
    <t xml:space="preserve">Extra 02/09</t>
  </si>
  <si>
    <t xml:space="preserve">EXTRA PROGRAMADO · ⚠️ VERIFICAR a frota: a mensagem diz 424 e a lista tem F-425 · Origem: WhatsApp 02/09</t>
  </si>
  <si>
    <t xml:space="preserve">F-580</t>
  </si>
  <si>
    <t xml:space="preserve">Atuação / manutenção na frota F-580</t>
  </si>
  <si>
    <t xml:space="preserve">Rentaf</t>
  </si>
  <si>
    <t xml:space="preserve">Local: Externo / Rentaf · Origem: WhatsApp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</si>
  <si>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</si>
  <si>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</si>
  <si>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</si>
  <si>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F-618</t>
  </si>
  <si>
    <t xml:space="preserve">Trocar pneus dianteiros</t>
  </si>
  <si>
    <t xml:space="preserve">Luiz Paulo · Airton</t>
  </si>
  <si>
    <t xml:space="preserve">Borracharia 02/09</t>
  </si>
  <si>
    <t xml:space="preserve">F-814</t>
  </si>
  <si>
    <t xml:space="preserve">Realizar limpeza dos bornes das baterias e do positivo da chave geral</t>
  </si>
  <si>
    <t xml:space="preserve">7279</t>
  </si>
  <si>
    <t xml:space="preserve">BAIXA DE PENDENCIAS</t>
  </si>
  <si>
    <t xml:space="preserve">Frota em viagem</t>
  </si>
  <si>
    <t xml:space="preserve">Reapertar base dos para-lamas traseiros LD</t>
  </si>
  <si>
    <t xml:space="preserve">7280</t>
  </si>
  <si>
    <t xml:space="preserve">Corrigir iluminação lanterna traseira LD e meia luz do farol LD;</t>
  </si>
  <si>
    <t xml:space="preserve">7281</t>
  </si>
  <si>
    <t xml:space="preserve">Realizar lavagem do motor (cárter em especial) e do reservatório de óleo hidráulico da direção para</t>
  </si>
  <si>
    <t xml:space="preserve">7282</t>
  </si>
  <si>
    <t xml:space="preserve">inspecionar e corrigir vazamentos (deixei basculado na lavagem);</t>
  </si>
  <si>
    <t xml:space="preserve">7283</t>
  </si>
  <si>
    <t xml:space="preserve">Realizar troca de pneus da inspeção</t>
  </si>
  <si>
    <t xml:space="preserve">⚠️ VERIFICAR se é a mesma da linha 'revisar pneus dianteiros' (OS 7288), que já está na semana 36 · Origem: WhatsApp 02/09</t>
  </si>
  <si>
    <t xml:space="preserve">Substituir vedação dos pescadores do tanque LD e LE devido vazamento (20732301 (2 unidades) (acompanhamento))</t>
  </si>
  <si>
    <t xml:space="preserve">007356</t>
  </si>
  <si>
    <t xml:space="preserve">Repor tampa do reservatório do limpador de parabrisas (OS 7164 · 24425399)</t>
  </si>
  <si>
    <t xml:space="preserve">7164</t>
  </si>
  <si>
    <t xml:space="preserve">Fixar farol LD (OS ABRIR OS · serviço interno Matriz)</t>
  </si>
  <si>
    <t xml:space="preserve">007357</t>
  </si>
  <si>
    <t xml:space="preserve">Substituir farol de neblina LE avariado (OS ABRIR OS · 21297918 (acompanhamento))</t>
  </si>
  <si>
    <t xml:space="preserve">007358</t>
  </si>
  <si>
    <t xml:space="preserve">Substituir paralama traseiro LE avariado (OS ABRIR OS · 812975614 (acompanhamento))</t>
  </si>
  <si>
    <t xml:space="preserve">007359</t>
  </si>
  <si>
    <t xml:space="preserve">Retirar mangueiras não utilizadas do rodoar (OS ABRIR OS · serviço interno Matriz)</t>
  </si>
  <si>
    <t xml:space="preserve">007360</t>
  </si>
  <si>
    <t xml:space="preserve">Corrigir fixação do friso do para-sol LE (OS ABRIR OS · serviço interno Matriz)</t>
  </si>
  <si>
    <t xml:space="preserve">007361</t>
  </si>
  <si>
    <t xml:space="preserve">Corrigir e isolar fiação de iluminação do reboque exposta (OS ABRIR OS · serviço interno Matriz)</t>
  </si>
  <si>
    <t xml:space="preserve">007362</t>
  </si>
  <si>
    <t xml:space="preserve">Corrigir iluminação interna das portas LE e LD (OS ABRIR OS · serviço interno Matriz)</t>
  </si>
  <si>
    <t xml:space="preserve">007363</t>
  </si>
  <si>
    <t xml:space="preserve">Repor acabamento do alto-falante da porta LD (OS ABRIR OS · 20732048)</t>
  </si>
  <si>
    <t xml:space="preserve">007364</t>
  </si>
  <si>
    <t xml:space="preserve">Trocar parabrisa</t>
  </si>
  <si>
    <t xml:space="preserve">Calibração e troca de pneus</t>
  </si>
  <si>
    <t xml:space="preserve">Montagem de diferencial</t>
  </si>
  <si>
    <t xml:space="preserve">⚠️ VERIFICAR se conflita com 'Corrigir vazamento no diferencial do segundo eixo' (OS 07344), já lançada · Origem: WhatsApp 02/09</t>
  </si>
  <si>
    <t xml:space="preserve">Realizar troca dos amortecedores da cabine</t>
  </si>
  <si>
    <t xml:space="preserve">⚠️ VERIFICAR se é a mesma de 'Substituir amortecedor dianteiro da cabine LD' (OS 7160), já lançada e vencida · Origem: WhatsApp 02/09</t>
  </si>
  <si>
    <t xml:space="preserve">F-848</t>
  </si>
  <si>
    <t xml:space="preserve">Realizar troca dos pneus</t>
  </si>
  <si>
    <t xml:space="preserve">Airton · Luiz Paulo</t>
  </si>
  <si>
    <t xml:space="preserve">Não informada</t>
  </si>
  <si>
    <t xml:space="preserve">Ferrar pneus do bitrem</t>
  </si>
  <si>
    <t xml:space="preserve">⚠️ VERIFICAR qual bitrem: a mensagem diz só 'Bitrem' · Origem: WhatsApp 02/09</t>
  </si>
  <si>
    <t xml:space="preserve">Reapertar amortecedor segundo eixo LE;</t>
  </si>
  <si>
    <t xml:space="preserve">7284</t>
  </si>
  <si>
    <t xml:space="preserve">Regular freio terceiro eixo LE;</t>
  </si>
  <si>
    <t xml:space="preserve">7285</t>
  </si>
  <si>
    <t xml:space="preserve">porta do passageiro não está abrindo por dentro</t>
  </si>
  <si>
    <t xml:space="preserve">7286</t>
  </si>
  <si>
    <t xml:space="preserve">meia luz traseira com problema ( LD )</t>
  </si>
  <si>
    <t xml:space="preserve">7287</t>
  </si>
  <si>
    <t xml:space="preserve">revisar pneus dianteiros</t>
  </si>
  <si>
    <t xml:space="preserve">7288</t>
  </si>
  <si>
    <t xml:space="preserve">Lubrificar travas da cabine com dificuldade de liberar a mesma para bascular</t>
  </si>
  <si>
    <t xml:space="preserve">7289</t>
  </si>
  <si>
    <t xml:space="preserve">F-1038</t>
  </si>
  <si>
    <t xml:space="preserve">Substituir pneu 1º eixo LE devido desgaste</t>
  </si>
  <si>
    <t xml:space="preserve">007305</t>
  </si>
  <si>
    <t xml:space="preserve">Pendências de inspeção</t>
  </si>
  <si>
    <t xml:space="preserve">Apenas HH</t>
  </si>
  <si>
    <t xml:space="preserve">Lubrificar graxeiros da quinta roda entre os bitrens</t>
  </si>
  <si>
    <t xml:space="preserve">007306</t>
  </si>
  <si>
    <t xml:space="preserve">Corrigir trinca no lastro</t>
  </si>
  <si>
    <t xml:space="preserve">007307</t>
  </si>
  <si>
    <t xml:space="preserve">Reapertar parafusos da tampa do cubo 1º eixo LD</t>
  </si>
  <si>
    <t xml:space="preserve">007308</t>
  </si>
  <si>
    <t xml:space="preserve">Regular freios 1º eixo LD</t>
  </si>
  <si>
    <t xml:space="preserve">007310</t>
  </si>
  <si>
    <t xml:space="preserve">Fixar grade de proteção do ciclista LD</t>
  </si>
  <si>
    <t xml:space="preserve">007313</t>
  </si>
  <si>
    <t xml:space="preserve">Fixar para-lamas folgados 2º eixo LD</t>
  </si>
  <si>
    <t xml:space="preserve">007317</t>
  </si>
  <si>
    <t xml:space="preserve">Fixar para-lamas folgados LE</t>
  </si>
  <si>
    <t xml:space="preserve">007318</t>
  </si>
  <si>
    <t xml:space="preserve">Reposicionar pinos da balança 2º e 3º eixo LD</t>
  </si>
  <si>
    <t xml:space="preserve">007316</t>
  </si>
  <si>
    <t xml:space="preserve">Corrigir travessa avariada ao lado direito da quinta roda</t>
  </si>
  <si>
    <t xml:space="preserve">007319</t>
  </si>
  <si>
    <t xml:space="preserve">F-1039</t>
  </si>
  <si>
    <t xml:space="preserve">Repor estepe faltante da carreta</t>
  </si>
  <si>
    <t xml:space="preserve">007320</t>
  </si>
  <si>
    <t xml:space="preserve">Repor porca de roda faltante 2º eixo LD</t>
  </si>
  <si>
    <t xml:space="preserve">007321</t>
  </si>
  <si>
    <t xml:space="preserve">Substituir tampa do cubo 3º eixo LE</t>
  </si>
  <si>
    <t xml:space="preserve">007322</t>
  </si>
  <si>
    <t xml:space="preserve">Substituir grade traseira com apoio faltante no LE</t>
  </si>
  <si>
    <t xml:space="preserve">007323</t>
  </si>
  <si>
    <t xml:space="preserve">Corrigir trincas no lastro da carreta</t>
  </si>
  <si>
    <t xml:space="preserve">007324</t>
  </si>
  <si>
    <t xml:space="preserve">Corrigir iluminação meia-luz dianteira LD</t>
  </si>
  <si>
    <t xml:space="preserve">007325</t>
  </si>
  <si>
    <t xml:space="preserve">Corrigir parafusos do para-choque traseiro LD</t>
  </si>
  <si>
    <t xml:space="preserve">007326</t>
  </si>
  <si>
    <t xml:space="preserve">Fixar para-lamas folgados LD e LE</t>
  </si>
  <si>
    <t xml:space="preserve">007328</t>
  </si>
  <si>
    <t xml:space="preserve">Reapertar tirante folgado 3º eixo LE</t>
  </si>
  <si>
    <t xml:space="preserve">007330</t>
  </si>
  <si>
    <t xml:space="preserve">Repor acabamento do cinto do banco do motorista (0586501)</t>
  </si>
  <si>
    <t xml:space="preserve">Peça não chegou · Aguardando material</t>
  </si>
  <si>
    <t xml:space="preserve">Substituir para-sol avariado</t>
  </si>
  <si>
    <t xml:space="preserve">F-425</t>
  </si>
  <si>
    <t xml:space="preserve">Verificar pendências na rota de inspeção de setembro</t>
  </si>
  <si>
    <t xml:space="preserve">Inspeção de setembro</t>
  </si>
  <si>
    <t xml:space="preserve">Verificar na rota de inspeção de setembro — sem pendências mapeadas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</si>
  <si>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</si>
  <si>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</si>
  <si>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F-433</t>
  </si>
  <si>
    <t xml:space="preserve">F-621</t>
  </si>
  <si>
    <t xml:space="preserve">F-745</t>
  </si>
  <si>
    <t xml:space="preserve">F-817</t>
  </si>
  <si>
    <t xml:space="preserve">F-818</t>
  </si>
  <si>
    <t xml:space="preserve">Substituir vareta de nível de óleo avariada</t>
  </si>
  <si>
    <t xml:space="preserve">021400</t>
  </si>
  <si>
    <t xml:space="preserve">Substituir junta da tampa de válvulas devido vazamento</t>
  </si>
  <si>
    <t xml:space="preserve">021402</t>
  </si>
  <si>
    <t xml:space="preserve">Substituir válvula termostática e tampa do reservatório contaminado</t>
  </si>
  <si>
    <t xml:space="preserve">021403</t>
  </si>
  <si>
    <t xml:space="preserve">Substituir amortecedores do 3º eixo LE</t>
  </si>
  <si>
    <t xml:space="preserve">021404</t>
  </si>
  <si>
    <t xml:space="preserve">Substituir amortecedores da cabine (horizontais traseiros e verticais dianteiros)</t>
  </si>
  <si>
    <t xml:space="preserve">021405</t>
  </si>
  <si>
    <t xml:space="preserve">Substituir joystick de mudanças</t>
  </si>
  <si>
    <t xml:space="preserve">021406</t>
  </si>
  <si>
    <t xml:space="preserve">Sanar vazamento no tubo de enchimento / vedação do cárter</t>
  </si>
  <si>
    <t xml:space="preserve">021407</t>
  </si>
  <si>
    <t xml:space="preserve">Completar óleo da direção hidráulica e sanar vazamento do reservatório</t>
  </si>
  <si>
    <t xml:space="preserve">021408</t>
  </si>
  <si>
    <t xml:space="preserve">Fixar retrovisor inferior LD</t>
  </si>
  <si>
    <t xml:space="preserve">021409</t>
  </si>
  <si>
    <t xml:space="preserve">Isolar fiação exposta do sensor de temperatura</t>
  </si>
  <si>
    <t xml:space="preserve">021410</t>
  </si>
  <si>
    <t xml:space="preserve">Fixar caixa do chicote das unidades</t>
  </si>
  <si>
    <t xml:space="preserve">021412</t>
  </si>
  <si>
    <t xml:space="preserve">Fixar módulo do motor</t>
  </si>
  <si>
    <t xml:space="preserve">021417</t>
  </si>
  <si>
    <t xml:space="preserve">Recuperar / fabricar base de proteção das conexões da bomba de ARLA</t>
  </si>
  <si>
    <t xml:space="preserve">021416</t>
  </si>
  <si>
    <t xml:space="preserve">Regular freios 3º eixo</t>
  </si>
  <si>
    <t xml:space="preserve">021420</t>
  </si>
  <si>
    <t xml:space="preserve">Regular freios 1º eixo</t>
  </si>
  <si>
    <t xml:space="preserve">021430</t>
  </si>
  <si>
    <t xml:space="preserve">Corrigir fixação da lameira traseira LE</t>
  </si>
  <si>
    <t xml:space="preserve">021431</t>
  </si>
  <si>
    <t xml:space="preserve">Reposicionar cabo do varão da válvula sensível à carga</t>
  </si>
  <si>
    <t xml:space="preserve">021433</t>
  </si>
  <si>
    <t xml:space="preserve">Fixar tampa superior do catalisador</t>
  </si>
  <si>
    <t xml:space="preserve">021435</t>
  </si>
  <si>
    <t xml:space="preserve">Reposicionar mangueira do dreno do AC</t>
  </si>
  <si>
    <t xml:space="preserve">021436</t>
  </si>
  <si>
    <t xml:space="preserve">Corrigir iluminação interna da cabine</t>
  </si>
  <si>
    <t xml:space="preserve">021438</t>
  </si>
  <si>
    <t xml:space="preserve">Substituir faixa refletiva do para-choque traseiro</t>
  </si>
  <si>
    <t xml:space="preserve">021442</t>
  </si>
  <si>
    <t xml:space="preserve">Recuperar barra V dianteira e traseira devido folga</t>
  </si>
  <si>
    <t xml:space="preserve">21378</t>
  </si>
  <si>
    <t xml:space="preserve">Cardan Nordeste (externo)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</si>
  <si>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</si>
  <si>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</si>
  <si>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</si>
  <si>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</si>
  <si>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</si>
  <si>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Rodo Ceará (externo)</t>
  </si>
  <si>
    <t xml:space="preserve">Terceirizada — Rodo Ceará</t>
  </si>
  <si>
    <t xml:space="preserve">Desobstruir esguichos dos limpadores de para-brisas</t>
  </si>
  <si>
    <t xml:space="preserve">021390</t>
  </si>
  <si>
    <t xml:space="preserve">Instalar lameiras dianteiras</t>
  </si>
  <si>
    <t xml:space="preserve">021394</t>
  </si>
  <si>
    <t xml:space="preserve">Instalar indicadores de porcas folgadas nas rodas</t>
  </si>
  <si>
    <t xml:space="preserve">021396</t>
  </si>
  <si>
    <t xml:space="preserve">Regular freios do terceiro eixo LE e LD</t>
  </si>
  <si>
    <t xml:space="preserve">021397</t>
  </si>
  <si>
    <t xml:space="preserve">F-964</t>
  </si>
  <si>
    <t xml:space="preserve">Verificado vestígio de óleo no reservatório de ar, ficando em observação recuperar o compressor pneumático</t>
  </si>
  <si>
    <t xml:space="preserve">BAIXA DE CARTEIRA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</si>
  <si>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</si>
  <si>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</si>
  <si>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</si>
  <si>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</si>
  <si>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</si>
  <si>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</si>
  <si>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</si>
  <si>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</si>
  <si>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</si>
  <si>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</si>
  <si>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</si>
  <si>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</si>
  <si>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</si>
  <si>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</si>
  <si>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</si>
  <si>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</si>
  <si>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</si>
  <si>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</si>
  <si>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</si>
  <si>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</si>
  <si>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</si>
  <si>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</si>
  <si>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</si>
  <si>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</si>
  <si>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</si>
  <si>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</si>
  <si>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</si>
  <si>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</si>
  <si>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</si>
  <si>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</si>
  <si>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</si>
  <si>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</si>
  <si>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</si>
  <si>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F-968</t>
  </si>
  <si>
    <t xml:space="preserve">Bater e validar as pendências da inspeção realizada em Mossoró</t>
  </si>
  <si>
    <t xml:space="preserve">Inspeção Mossoró</t>
  </si>
  <si>
    <t xml:space="preserve">F-626</t>
  </si>
  <si>
    <t xml:space="preserve">Trocar cabeçote de combustível</t>
  </si>
  <si>
    <t xml:space="preserve">Sim</t>
  </si>
  <si>
    <t xml:space="preserve">21318</t>
  </si>
  <si>
    <t xml:space="preserve">Adilton · Alexandre</t>
  </si>
  <si>
    <t xml:space="preserve">Trocar o cabeçote</t>
  </si>
  <si>
    <t xml:space="preserve">Bomba de combustível</t>
  </si>
  <si>
    <t xml:space="preserve">21129</t>
  </si>
  <si>
    <t xml:space="preserve">1. Substituir reservatório do líquido de arrefecimento contaminado</t>
  </si>
  <si>
    <t xml:space="preserve">21072</t>
  </si>
  <si>
    <t xml:space="preserve">Adilton · Gabriel · Júnior</t>
  </si>
  <si>
    <t xml:space="preserve">Sistema: Estruturas</t>
  </si>
  <si>
    <t xml:space="preserve">2. Realizar lavagem e corrigir vazamento na bomba de direção hidráulica</t>
  </si>
  <si>
    <t xml:space="preserve">21177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</si>
  <si>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</si>
  <si>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</si>
  <si>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</si>
  <si>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Realizar ajuste no velocímetro</t>
  </si>
  <si>
    <t xml:space="preserve">21340</t>
  </si>
  <si>
    <t xml:space="preserve">F-966</t>
  </si>
  <si>
    <t xml:space="preserve">REPOR PARAFUSO DE FIXAÇÃO DA GRADE DO FAROL LE</t>
  </si>
  <si>
    <t xml:space="preserve">Alexandre · Heliton</t>
  </si>
  <si>
    <t xml:space="preserve">FIXAR CHICOTE ELETRICO SOLTO</t>
  </si>
  <si>
    <t xml:space="preserve">F-326</t>
  </si>
  <si>
    <t xml:space="preserve">Realizar troca de pneus</t>
  </si>
  <si>
    <t xml:space="preserve">021188</t>
  </si>
  <si>
    <t xml:space="preserve">Sistema: Pneus</t>
  </si>
  <si>
    <t xml:space="preserve">Realizar lavagem e corrigir vazamento na bomba de direção (serviço interno Matriz)</t>
  </si>
  <si>
    <t xml:space="preserve">19784</t>
  </si>
  <si>
    <t xml:space="preserve">Montar adesivos e baixa de carteira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</si>
  <si>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</si>
  <si>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</si>
  <si>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</si>
  <si>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</si>
  <si>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</si>
  <si>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Programar a substituição das juntas do coletor de escapamento (20855371 (6 unidades))</t>
  </si>
  <si>
    <t xml:space="preserve">21341</t>
  </si>
  <si>
    <t xml:space="preserve">FICAR CHICOTE ELETRICO SOLTO NO BLOCO DE COMANDO</t>
  </si>
  <si>
    <t xml:space="preserve">FIXAR GRADE FRONTAL SOLTA</t>
  </si>
  <si>
    <t xml:space="preserve">Substituir batentes dos eixos traseiros LE e LD gastos (serviço empresa especializada/20390836 (4 unidades))</t>
  </si>
  <si>
    <t xml:space="preserve">Realizar regulagem do travamento das portas, motorista relata que as mesmas estão abrindo em movimento (serviço interno Matriz)</t>
  </si>
  <si>
    <t xml:space="preserve">Programar recuperação das barras de direção curta e longa (serviço empresa especializada)</t>
  </si>
  <si>
    <t xml:space="preserve">21342</t>
  </si>
  <si>
    <t xml:space="preserve">Programar substituição da lona de freio terceiro eixo LD avariada (serviço empresa especializada)</t>
  </si>
  <si>
    <t xml:space="preserve">21343</t>
  </si>
  <si>
    <t xml:space="preserve">F-789</t>
  </si>
  <si>
    <t xml:space="preserve">Calibrar e trocar pneus</t>
  </si>
  <si>
    <t xml:space="preserve">SUBSTITUIR BARRA DE DIREÇÃO PEQUENA</t>
  </si>
  <si>
    <t xml:space="preserve">021314</t>
  </si>
  <si>
    <t xml:space="preserve">Trocar palhetas do climatizador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</si>
  <si>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</si>
  <si>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</si>
  <si>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</si>
  <si>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F-1064</t>
  </si>
  <si>
    <t xml:space="preserve">Trocar e calibrar pneus</t>
  </si>
  <si>
    <t xml:space="preserve">Soldar base do paralama dianteiro LD avariada (20453900)</t>
  </si>
  <si>
    <t xml:space="preserve">Repor tampa da caixa de fusíveis LD (OS 20352 · 20398773)</t>
  </si>
  <si>
    <t xml:space="preserve">Substituir para-sol avariado (82245535)</t>
  </si>
  <si>
    <t xml:space="preserve">21339</t>
  </si>
  <si>
    <t xml:space="preserve">F-457</t>
  </si>
  <si>
    <t xml:space="preserve">Verificar válvula de freio</t>
  </si>
  <si>
    <t xml:space="preserve">Adilton</t>
  </si>
  <si>
    <t xml:space="preserve">Sistema: Freios</t>
  </si>
  <si>
    <t xml:space="preserve">F-458</t>
  </si>
  <si>
    <t xml:space="preserve">F-616</t>
  </si>
  <si>
    <t xml:space="preserve">TROCAR PNEUS E FERRAR</t>
  </si>
  <si>
    <t xml:space="preserve">TROCAR E FERRAR PNEUS</t>
  </si>
  <si>
    <t xml:space="preserve">PRIORIDADE DO KAIRO</t>
  </si>
  <si>
    <t xml:space="preserve">Realizar troca ou calibração dos pneus</t>
  </si>
  <si>
    <t xml:space="preserve">21330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</si>
  <si>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</si>
  <si>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</si>
  <si>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</si>
  <si>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</si>
  <si>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</si>
  <si>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F-696</t>
  </si>
  <si>
    <t xml:space="preserve">Aplicar faixa refletiva</t>
  </si>
  <si>
    <t xml:space="preserve">Aplicar faixas refletivas</t>
  </si>
  <si>
    <t xml:space="preserve">Limpeza do climatizador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</si>
  <si>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</si>
  <si>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</si>
  <si>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Substituir bomba d'água com princípio de vazamento pelo selo lateral (20538820)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</si>
  <si>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</si>
  <si>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</si>
  <si>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</si>
  <si>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</si>
  <si>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</si>
  <si>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</si>
  <si>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</si>
  <si>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Alinhar</t>
  </si>
  <si>
    <t xml:space="preserve">F-1065</t>
  </si>
  <si>
    <t xml:space="preserve">Realizar troca de óleo e filtro</t>
  </si>
  <si>
    <t xml:space="preserve">Corrigir fixação elétrica solta na frente do intercooler (serviço interno base Mossoró)</t>
  </si>
  <si>
    <t xml:space="preserve">Realizar limpeza nos bornes das baterias;</t>
  </si>
  <si>
    <t xml:space="preserve">21320</t>
  </si>
  <si>
    <t xml:space="preserve">Fixar farol dianteiro LD, substituir bojo do mesmo avariado e repor acabamento da bomba de bascular;82209849/82056991</t>
  </si>
  <si>
    <t xml:space="preserve">21325</t>
  </si>
  <si>
    <t xml:space="preserve">Reposicionar lanterna corujinha do teto LE e revisar iluminação;</t>
  </si>
  <si>
    <t xml:space="preserve">Diagnosticar e corrigir falhas: ABS e caixa de marchas (embreagem);</t>
  </si>
  <si>
    <t xml:space="preserve">21317</t>
  </si>
  <si>
    <t xml:space="preserve">Substituir palhetas do limpador de para-brisas (LD não limpa) 8189631(2 UND)</t>
  </si>
  <si>
    <t xml:space="preserve">21313</t>
  </si>
  <si>
    <t xml:space="preserve">Fixar tubo de escapamento inferior;</t>
  </si>
  <si>
    <t xml:space="preserve">21321</t>
  </si>
  <si>
    <t xml:space="preserve">Fixar placa dianteira e traseira;</t>
  </si>
  <si>
    <t xml:space="preserve">21323</t>
  </si>
  <si>
    <t xml:space="preserve">Fixar retrovisor LD e inferior LE;</t>
  </si>
  <si>
    <t xml:space="preserve">21326</t>
  </si>
  <si>
    <t xml:space="preserve">Fixar extensão da porta e saia lateral LD;</t>
  </si>
  <si>
    <t xml:space="preserve">21327</t>
  </si>
  <si>
    <t xml:space="preserve">Repor quebra-sol do motorista (está dentro da cabine);</t>
  </si>
  <si>
    <t xml:space="preserve">21322</t>
  </si>
  <si>
    <t xml:space="preserve">Substituir junta da tampa de válvulas com vazamento;20538793</t>
  </si>
  <si>
    <t xml:space="preserve">F-711</t>
  </si>
  <si>
    <t xml:space="preserve">Substituir carcaça do filtro de ar</t>
  </si>
  <si>
    <t xml:space="preserve">021470</t>
  </si>
  <si>
    <t xml:space="preserve">Gabriel</t>
  </si>
  <si>
    <t xml:space="preserve">Substituir filtro</t>
  </si>
  <si>
    <t xml:space="preserve">Fixar chicote elétrico solto na longarina LD (serviço interno base Mossoró)</t>
  </si>
  <si>
    <t xml:space="preserve">Fixar mangueiras soltas na longarina LE (serviço interno base Mossoró)</t>
  </si>
  <si>
    <t xml:space="preserve">Completar óleo hidráulico da direção;</t>
  </si>
  <si>
    <t xml:space="preserve">21335</t>
  </si>
  <si>
    <t xml:space="preserve">Substituir copo do filtro racor com vazamento; verificar item em estoque ou realizar pedido 20869391</t>
  </si>
  <si>
    <t xml:space="preserve">21316</t>
  </si>
  <si>
    <t xml:space="preserve">Substituir lanterna</t>
  </si>
  <si>
    <t xml:space="preserve">21309</t>
  </si>
  <si>
    <t xml:space="preserve">Vidro do passageira não aciona</t>
  </si>
  <si>
    <t xml:space="preserve">21324</t>
  </si>
  <si>
    <t xml:space="preserve">Presilha do farol LD e LE</t>
  </si>
  <si>
    <t xml:space="preserve">Grade do farol LD</t>
  </si>
  <si>
    <t xml:space="preserve">Substituir pneu dianteiro LD com desgaste irregular e verificar demais - instalar indicadores de porca</t>
  </si>
  <si>
    <t xml:space="preserve">Realizar alinhamento</t>
  </si>
  <si>
    <t xml:space="preserve">21398</t>
  </si>
  <si>
    <t xml:space="preserve">Alinhar pneus</t>
  </si>
  <si>
    <t xml:space="preserve">Instalar parabrisa</t>
  </si>
  <si>
    <t xml:space="preserve">7290</t>
  </si>
  <si>
    <t xml:space="preserve">Terceirizada</t>
  </si>
  <si>
    <t xml:space="preserve">Ferragem de pneus — verificar TAG</t>
  </si>
  <si>
    <t xml:space="preserve">⚠️ VERIFICAR a frota: a mensagem não diz qual · Origem: WhatsApp 02/09</t>
  </si>
  <si>
    <t xml:space="preserve">Frotas</t>
  </si>
  <si>
    <t xml:space="preserve">COMO USAR</t>
  </si>
  <si>
    <t xml:space="preserve">Acrescente nomes aqui e eles aparecem nas caixinhas da aba Dia a dia.</t>
  </si>
  <si>
    <t xml:space="preserve">Airton</t>
  </si>
  <si>
    <t xml:space="preserve">NO DIA A DIA:</t>
  </si>
  <si>
    <t xml:space="preserve">1.  A caixa amarela lá em cima é o DIA. Vem em hoje; troque para ver outro.</t>
  </si>
  <si>
    <t xml:space="preserve">F-150</t>
  </si>
  <si>
    <t xml:space="preserve">2.  Para achar o dia: toque na setinha da coluna Data e filtre.</t>
  </si>
  <si>
    <t xml:space="preserve">F-246</t>
  </si>
  <si>
    <t xml:space="preserve">3.  Fez? Toque em FEITO e escolha Sim. A linha apaga e o número sobe.</t>
  </si>
  <si>
    <t xml:space="preserve">4.  Abriu a OS no Protheus? Escreva o número em OS PROTHEUS.</t>
  </si>
  <si>
    <t xml:space="preserve">     Enquanto estiver vazia a célula fica laranja — é o que falta lançar lá.</t>
  </si>
  <si>
    <t xml:space="preserve">F-328</t>
  </si>
  <si>
    <t xml:space="preserve">ASX (externo)</t>
  </si>
  <si>
    <t xml:space="preserve">PARA ACRESCENTAR ATIVIDADE:</t>
  </si>
  <si>
    <t xml:space="preserve">     Escreva numa linha vazia no fim. Data, frota, atividade, e pronto.</t>
  </si>
  <si>
    <t xml:space="preserve">Eduardo da sticker (externo)</t>
  </si>
  <si>
    <t xml:space="preserve">     Sem data ela fica esperando, e entra na conta de “sem data”.</t>
  </si>
  <si>
    <t xml:space="preserve">Molas Pinheiro (externo)</t>
  </si>
  <si>
    <t xml:space="preserve">Não há fórmula nenhuma nas linhas: pode apagar, inserir e arrastar à</t>
  </si>
  <si>
    <t xml:space="preserve">vontade que nada quebra.</t>
  </si>
  <si>
    <t xml:space="preserve">F-485</t>
  </si>
  <si>
    <t xml:space="preserve">F-614</t>
  </si>
  <si>
    <t xml:space="preserve">F-763</t>
  </si>
  <si>
    <t xml:space="preserve">F-856</t>
  </si>
  <si>
    <t xml:space="preserve">F-871</t>
  </si>
  <si>
    <t xml:space="preserve">MOVIMENTAÇÃO DE FROTAS  ·  o que a operação prometeu e quando entregou</t>
  </si>
  <si>
    <t xml:space="preserve">hoje — não apague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</si>
  <si>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</si>
  <si>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</si>
  <si>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</si>
  <si>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</si>
  <si>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</si>
  <si>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</si>
  <si>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</si>
  <si>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</si>
  <si>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</si>
  <si>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</si>
  <si>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</si>
  <si>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</si>
  <si>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Atraso</t>
  </si>
  <si>
    <t xml:space="preserve">Situação</t>
  </si>
  <si>
    <t xml:space="preserve">Para quê</t>
  </si>
  <si>
    <t xml:space="preserve">Quem prometeu</t>
  </si>
  <si>
    <t xml:space="preserve">⚠️ informar o fornecedor</t>
  </si>
  <si>
    <t xml:space="preserve">⚠️ informar para que serviço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</si>
</sst>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6]dd/mm/yyyy;@"/>
    <numFmt numFmtId="166" formatCode="0"/>
    <numFmt numFmtId="167" formatCode="0%"/>
    <numFmt numFmtId="168" formatCode="@"/>
    <numFmt numFmtId="169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3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i val="true"/>
      <sz val="9"/>
      <color rgb="FF4A54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FE9CC"/>
      </patternFill>
    </fill>
    <fill>
      <patternFill patternType="solid">
        <fgColor rgb="FFEEF1F7"/>
        <bgColor rgb="FFEDF2FC"/>
      </patternFill>
    </fill>
    <fill>
      <patternFill patternType="solid">
        <fgColor rgb="FF2A3170"/>
        <bgColor rgb="FF2C427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2A3170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ill>
        <patternFill>
          <bgColor rgb="FFFFE9CC"/>
        </patternFill>
      </fill>
    </dxf>
    <dxf>
      <font>
        <color rgb="FF98A1B2"/>
      </font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b val="1"/>
        <color rgb="FF2C4272"/>
      </font>
      <fill>
        <patternFill>
          <bgColor rgb="FFEDF2FC"/>
        </patternFill>
      </fill>
    </dxf>
    <dxf>
      <font>
        <b val="1"/>
        <color rgb="FF8A5A05"/>
      </font>
      <fill>
        <patternFill>
          <bgColor rgb="FFF6E8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A5A05"/>
      <rgbColor rgb="FF800080"/>
      <rgbColor rgb="FF008080"/>
      <rgbColor rgb="FFFDE4E7"/>
      <rgbColor rgb="FF808080"/>
      <rgbColor rgb="FF9999FF"/>
      <rgbColor rgb="FF993366"/>
      <rgbColor rgb="FFFFF3CF"/>
      <rgbColor rgb="FFEDF2FC"/>
      <rgbColor rgb="FF660066"/>
      <rgbColor rgb="FFFF8080"/>
      <rgbColor rgb="FF0066CC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7"/>
      <rgbColor rgb="FFDCF3E4"/>
      <rgbColor rgb="FFFFE9CC"/>
      <rgbColor rgb="FF99CCFF"/>
      <rgbColor rgb="FFFF99CC"/>
      <rgbColor rgb="FFCC99FF"/>
      <rgbColor rgb="FFF6E8CE"/>
      <rgbColor rgb="FF3366FF"/>
      <rgbColor rgb="FF33CCCC"/>
      <rgbColor rgb="FF99CC00"/>
      <rgbColor rgb="FFFFCC00"/>
      <rgbColor rgb="FFFF9900"/>
      <rgbColor rgb="FFFF6600"/>
      <rgbColor rgb="FF4A5464"/>
      <rgbColor rgb="FF98A1B2"/>
      <rgbColor rgb="FF003366"/>
      <rgbColor rgb="FF339966"/>
      <rgbColor rgb="FF14181F"/>
      <rgbColor rgb="FF3333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7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</v>
      </c>
      <c r="B3" s="4" t="n">
        <f aca="true">TODAY()</f>
        <v>46267</v>
      </c>
      <c r="C3" s="5" t="str">
        <f aca="false">IF($B$3="","",TEXT($B$3,"[$-416]dddd"))</f>
        <v>quarta-feira</v>
      </c>
      <c r="D3" s="6" t="s">
        <v>3</v>
      </c>
      <c r="E3" s="6"/>
      <c r="F3" s="6" t="s">
        <v>4</v>
      </c>
      <c r="G3" s="6" t="s">
        <v>5</v>
      </c>
      <c r="H3" s="6" t="s">
        <v>6</v>
      </c>
    </row>
    <row r="4" customFormat="false" ht="30" hidden="false" customHeight="true" outlineLevel="0" collapsed="false">
      <c r="D4" s="7" t="n">
        <f aca="false">COUNTIFS($A$7:$A$706,$B$3,$C$7:$C$706,"&lt;&gt;")</f>
        <v>36</v>
      </c>
      <c r="E4" s="7"/>
      <c r="F4" s="8" t="n">
        <f aca="false">COUNTIFS($A$7:$A$706,$B$3,$C$7:$C$706,"&lt;&gt;",$D$7:$D$706,"Sim")</f>
        <v>3</v>
      </c>
      <c r="G4" s="9" t="n">
        <f aca="false">IF($D$4=0,"",$F$4/$D$4)</f>
        <v>0.0833333333333333</v>
      </c>
      <c r="H4" s="10" t="n">
        <f aca="false">COUNTIFS($A$7:$A$706,$B$3,$C$7:$C$706,"&lt;&gt;")-COUNTIFS($A$7:$A$706,$B$3,$C$7:$C$706,"&lt;&gt;",$E$7:$E$706,"&lt;&gt;")</f>
        <v>12</v>
      </c>
    </row>
    <row r="5" customFormat="false" ht="21.75" hidden="false" customHeight="true" outlineLevel="0" collapsed="false">
      <c r="A5" s="11" t="str">
        <f aca="false">"Atrasadas, de dias anteriores:  "&amp;(COUNTIFS($A$7:$A$706,"&lt;"&amp;$B$3,$C$7:$C$706,"&lt;&gt;")-COUNTIFS($A$7:$A$706,"&lt;"&amp;$B$3,$C$7:$C$706,"&lt;&gt;",$D$7:$D$706,"Sim"))&amp;"        |        Sem data, esperando entrar na programação:  "&amp;(COUNTIFS($C$7:$C$706,"&lt;&gt;")-COUNTIFS($C$7:$C$706,"&lt;&gt;",$A$7:$A$706,"&lt;&gt;"))</f>
        <v>Atrasadas, de dias anteriores:  40        |        Sem data, esperando entrar na programação:  92</v>
      </c>
      <c r="B5" s="11"/>
      <c r="C5" s="11"/>
      <c r="D5" s="11"/>
      <c r="E5" s="11"/>
      <c r="F5" s="11"/>
      <c r="G5" s="11"/>
      <c r="H5" s="11"/>
    </row>
    <row r="6" customFormat="false" ht="25.5" hidden="false" customHeight="true" outlineLevel="0" collapsed="false">
      <c r="A6" s="12" t="s">
        <v>7</v>
      </c>
      <c r="B6" s="12" t="s">
        <v>8</v>
      </c>
      <c r="C6" s="12" t="s">
        <v>9</v>
      </c>
      <c r="D6" s="12" t="s">
        <v>10</v>
      </c>
      <c r="E6" s="12" t="s">
        <v>11</v>
      </c>
      <c r="F6" s="12" t="s">
        <v>12</v>
      </c>
      <c r="G6" s="12" t="s">
        <v>13</v>
      </c>
      <c r="H6" s="12" t="s">
        <v>14</v>
      </c>
    </row>
    <row r="7" customFormat="false" ht="21" hidden="false" customHeight="true" outlineLevel="0" collapsed="false">
      <c r="A7" s="13" t="n">
        <v>46265</v>
      </c>
      <c r="B7" s="14" t="s">
        <v>15</v>
      </c>
      <c r="C7" s="15" t="s">
        <v>16</v>
      </c>
      <c r="D7" s="14"/>
      <c r="E7" s="16" t="s">
        <v>17</v>
      </c>
      <c r="F7" s="15" t="s">
        <v>18</v>
      </c>
      <c r="G7" s="15" t="s">
        <v>19</v>
      </c>
      <c r="H7" s="15" t="s">
        <v>20</v>
      </c>
    </row>
    <row r="8" customFormat="false" ht="21" hidden="false" customHeight="true" outlineLevel="0" collapsed="false">
      <c r="A8" s="13" t="n">
        <v>46265</v>
      </c>
      <c r="B8" s="14" t="s">
        <v>15</v>
      </c>
      <c r="C8" s="15" t="s">
        <v>21</v>
      </c>
      <c r="D8" s="14"/>
      <c r="E8" s="16" t="s">
        <v>22</v>
      </c>
      <c r="F8" s="15" t="s">
        <v>18</v>
      </c>
      <c r="G8" s="15" t="s">
        <v>19</v>
      </c>
      <c r="H8" s="15" t="s">
        <v>20</v>
      </c>
    </row>
    <row r="9" customFormat="false" ht="21" hidden="false" customHeight="true" outlineLevel="0" collapsed="false">
      <c r="A9" s="13" t="n">
        <v>46265</v>
      </c>
      <c r="B9" s="14" t="s">
        <v>15</v>
      </c>
      <c r="C9" s="15" t="s">
        <v>23</v>
      </c>
      <c r="D9" s="14"/>
      <c r="E9" s="16" t="s">
        <v>24</v>
      </c>
      <c r="F9" s="15" t="s">
        <v>18</v>
      </c>
      <c r="G9" s="15" t="s">
        <v>19</v>
      </c>
      <c r="H9" s="15" t="s">
        <v>25</v>
      </c>
    </row>
    <row r="10" customFormat="false" ht="21" hidden="false" customHeight="true" outlineLevel="0" collapsed="false">
      <c r="A10" s="13" t="n">
        <v>46265</v>
      </c>
      <c r="B10" s="14" t="s">
        <v>26</v>
      </c>
      <c r="C10" s="15" t="s">
        <v>27</v>
      </c>
      <c r="D10" s="14"/>
      <c r="E10" s="16" t="s">
        <v>28</v>
      </c>
      <c r="F10" s="15" t="s">
        <v>18</v>
      </c>
      <c r="G10" s="15" t="s">
        <v>29</v>
      </c>
      <c r="H10" s="15" t="s">
        <v>30</v>
      </c>
    </row>
    <row r="11" customFormat="false" ht="21" hidden="false" customHeight="true" outlineLevel="0" collapsed="false">
      <c r="A11" s="13" t="n">
        <v>46265</v>
      </c>
      <c r="B11" s="14" t="s">
        <v>26</v>
      </c>
      <c r="C11" s="15" t="s">
        <v>31</v>
      </c>
      <c r="D11" s="14"/>
      <c r="E11" s="16" t="s">
        <v>28</v>
      </c>
      <c r="F11" s="15" t="s">
        <v>18</v>
      </c>
      <c r="G11" s="15" t="s">
        <v>29</v>
      </c>
      <c r="H11" s="15" t="s">
        <v>30</v>
      </c>
    </row>
    <row r="12" customFormat="false" ht="21" hidden="false" customHeight="true" outlineLevel="0" collapsed="false">
      <c r="A12" s="13" t="n">
        <v>46265</v>
      </c>
      <c r="B12" s="14" t="s">
        <v>26</v>
      </c>
      <c r="C12" s="15" t="s">
        <v>32</v>
      </c>
      <c r="D12" s="14"/>
      <c r="E12" s="16" t="s">
        <v>28</v>
      </c>
      <c r="F12" s="15" t="s">
        <v>18</v>
      </c>
      <c r="G12" s="15" t="s">
        <v>29</v>
      </c>
      <c r="H12" s="15" t="s">
        <v>33</v>
      </c>
    </row>
    <row r="13" customFormat="false" ht="21" hidden="false" customHeight="true" outlineLevel="0" collapsed="false">
      <c r="A13" s="13" t="n">
        <v>46265</v>
      </c>
      <c r="B13" s="14" t="s">
        <v>34</v>
      </c>
      <c r="C13" s="15" t="s">
        <v>35</v>
      </c>
      <c r="D13" s="14"/>
      <c r="E13" s="16" t="s">
        <v>36</v>
      </c>
      <c r="F13" s="15" t="s">
        <v>37</v>
      </c>
      <c r="G13" s="15" t="s">
        <v>38</v>
      </c>
      <c r="H13" s="15" t="s">
        <v>39</v>
      </c>
    </row>
    <row r="14" customFormat="false" ht="21" hidden="false" customHeight="true" outlineLevel="0" collapsed="false">
      <c r="A14" s="13" t="n">
        <v>46265</v>
      </c>
      <c r="B14" s="14" t="s">
        <v>34</v>
      </c>
      <c r="C14" s="15" t="s">
        <v>40</v>
      </c>
      <c r="D14" s="14"/>
      <c r="E14" s="16" t="s">
        <v>36</v>
      </c>
      <c r="F14" s="15" t="s">
        <v>37</v>
      </c>
      <c r="G14" s="15" t="s">
        <v>38</v>
      </c>
      <c r="H14" s="15" t="s">
        <v>39</v>
      </c>
    </row>
    <row r="15" customFormat="false" ht="21" hidden="false" customHeight="true" outlineLevel="0" collapsed="false">
      <c r="A15" s="13" t="n">
        <v>46265</v>
      </c>
      <c r="B15" s="14" t="s">
        <v>34</v>
      </c>
      <c r="C15" s="15" t="s">
        <v>41</v>
      </c>
      <c r="D15" s="14"/>
      <c r="E15" s="16" t="s">
        <v>42</v>
      </c>
      <c r="F15" s="15" t="s">
        <v>37</v>
      </c>
      <c r="G15" s="15" t="s">
        <v>38</v>
      </c>
      <c r="H15" s="15"/>
    </row>
    <row r="16" customFormat="false" ht="21" hidden="false" customHeight="true" outlineLevel="0" collapsed="false">
      <c r="A16" s="13" t="n">
        <v>46265</v>
      </c>
      <c r="B16" s="14" t="s">
        <v>34</v>
      </c>
      <c r="C16" s="15" t="s">
        <v>43</v>
      </c>
      <c r="D16" s="14"/>
      <c r="E16" s="16" t="s">
        <v>44</v>
      </c>
      <c r="F16" s="15" t="s">
        <v>37</v>
      </c>
      <c r="G16" s="15" t="s">
        <v>38</v>
      </c>
      <c r="H16" s="15"/>
    </row>
    <row r="17" customFormat="false" ht="21" hidden="false" customHeight="true" outlineLevel="0" collapsed="false">
      <c r="A17" s="13" t="n">
        <v>46265</v>
      </c>
      <c r="B17" s="14" t="s">
        <v>34</v>
      </c>
      <c r="C17" s="15" t="s">
        <v>45</v>
      </c>
      <c r="D17" s="14"/>
      <c r="E17" s="16" t="s">
        <v>46</v>
      </c>
      <c r="F17" s="15" t="s">
        <v>37</v>
      </c>
      <c r="G17" s="15" t="s">
        <v>38</v>
      </c>
      <c r="H17" s="15"/>
    </row>
    <row r="18" customFormat="false" ht="21" hidden="false" customHeight="true" outlineLevel="0" collapsed="false">
      <c r="A18" s="13" t="n">
        <v>46265</v>
      </c>
      <c r="B18" s="14" t="s">
        <v>34</v>
      </c>
      <c r="C18" s="15" t="s">
        <v>47</v>
      </c>
      <c r="D18" s="14"/>
      <c r="E18" s="16" t="s">
        <v>48</v>
      </c>
      <c r="F18" s="15" t="s">
        <v>37</v>
      </c>
      <c r="G18" s="15" t="s">
        <v>38</v>
      </c>
      <c r="H18" s="15"/>
    </row>
    <row r="19" customFormat="false" ht="21" hidden="false" customHeight="true" outlineLevel="0" collapsed="false">
      <c r="A19" s="13" t="n">
        <v>46265</v>
      </c>
      <c r="B19" s="14" t="s">
        <v>34</v>
      </c>
      <c r="C19" s="15" t="s">
        <v>49</v>
      </c>
      <c r="D19" s="14"/>
      <c r="E19" s="16" t="s">
        <v>50</v>
      </c>
      <c r="F19" s="15" t="s">
        <v>37</v>
      </c>
      <c r="G19" s="15" t="s">
        <v>38</v>
      </c>
      <c r="H19" s="15"/>
    </row>
    <row r="20" customFormat="false" ht="21" hidden="false" customHeight="true" outlineLevel="0" collapsed="false">
      <c r="A20" s="13" t="n">
        <v>46265</v>
      </c>
      <c r="B20" s="14" t="s">
        <v>34</v>
      </c>
      <c r="C20" s="15" t="s">
        <v>51</v>
      </c>
      <c r="D20" s="14"/>
      <c r="E20" s="16" t="s">
        <v>52</v>
      </c>
      <c r="F20" s="15" t="s">
        <v>53</v>
      </c>
      <c r="G20" s="15" t="s">
        <v>38</v>
      </c>
      <c r="H20" s="15" t="s">
        <v>39</v>
      </c>
    </row>
    <row r="21" customFormat="false" ht="21" hidden="false" customHeight="true" outlineLevel="0" collapsed="false">
      <c r="A21" s="13" t="n">
        <v>46265</v>
      </c>
      <c r="B21" s="14" t="s">
        <v>34</v>
      </c>
      <c r="C21" s="15" t="s">
        <v>54</v>
      </c>
      <c r="D21" s="14"/>
      <c r="E21" s="16" t="s">
        <v>55</v>
      </c>
      <c r="F21" s="15" t="s">
        <v>37</v>
      </c>
      <c r="G21" s="15" t="s">
        <v>38</v>
      </c>
      <c r="H21" s="15" t="s">
        <v>39</v>
      </c>
    </row>
    <row r="22" customFormat="false" ht="21" hidden="false" customHeight="true" outlineLevel="0" collapsed="false">
      <c r="A22" s="13" t="n">
        <v>46266</v>
      </c>
      <c r="B22" s="14" t="s">
        <v>15</v>
      </c>
      <c r="C22" s="15" t="s">
        <v>56</v>
      </c>
      <c r="D22" s="14"/>
      <c r="E22" s="16" t="s">
        <v>57</v>
      </c>
      <c r="F22" s="15" t="s">
        <v>18</v>
      </c>
      <c r="G22" s="15" t="s">
        <v>19</v>
      </c>
      <c r="H22" s="15" t="s">
        <v>20</v>
      </c>
    </row>
    <row r="23" customFormat="false" ht="21" hidden="false" customHeight="true" outlineLevel="0" collapsed="false">
      <c r="A23" s="13" t="n">
        <v>46266</v>
      </c>
      <c r="B23" s="14" t="s">
        <v>15</v>
      </c>
      <c r="C23" s="15" t="s">
        <v>58</v>
      </c>
      <c r="D23" s="14"/>
      <c r="E23" s="16" t="s">
        <v>59</v>
      </c>
      <c r="F23" s="15" t="s">
        <v>18</v>
      </c>
      <c r="G23" s="15" t="s">
        <v>19</v>
      </c>
      <c r="H23" s="15" t="s">
        <v>20</v>
      </c>
    </row>
    <row r="24" customFormat="false" ht="21" hidden="false" customHeight="true" outlineLevel="0" collapsed="false">
      <c r="A24" s="13" t="n">
        <v>46266</v>
      </c>
      <c r="B24" s="14" t="s">
        <v>15</v>
      </c>
      <c r="C24" s="15" t="s">
        <v>60</v>
      </c>
      <c r="D24" s="14"/>
      <c r="E24" s="16" t="s">
        <v>61</v>
      </c>
      <c r="F24" s="15" t="s">
        <v>18</v>
      </c>
      <c r="G24" s="15" t="s">
        <v>19</v>
      </c>
      <c r="H24" s="15" t="s">
        <v>20</v>
      </c>
    </row>
    <row r="25" customFormat="false" ht="21" hidden="false" customHeight="true" outlineLevel="0" collapsed="false">
      <c r="A25" s="13" t="n">
        <v>46266</v>
      </c>
      <c r="B25" s="14" t="s">
        <v>15</v>
      </c>
      <c r="C25" s="15" t="s">
        <v>62</v>
      </c>
      <c r="D25" s="14"/>
      <c r="E25" s="16" t="s">
        <v>63</v>
      </c>
      <c r="F25" s="15" t="s">
        <v>18</v>
      </c>
      <c r="G25" s="15" t="s">
        <v>19</v>
      </c>
      <c r="H25" s="15" t="s">
        <v>20</v>
      </c>
    </row>
    <row r="26" customFormat="false" ht="21" hidden="false" customHeight="true" outlineLevel="0" collapsed="false">
      <c r="A26" s="13" t="n">
        <v>46266</v>
      </c>
      <c r="B26" s="14" t="s">
        <v>26</v>
      </c>
      <c r="C26" s="15" t="s">
        <v>64</v>
      </c>
      <c r="D26" s="14"/>
      <c r="E26" s="16" t="s">
        <v>65</v>
      </c>
      <c r="F26" s="15" t="s">
        <v>18</v>
      </c>
      <c r="G26" s="15" t="s">
        <v>29</v>
      </c>
      <c r="H26" s="15" t="s">
        <v>30</v>
      </c>
    </row>
    <row r="27" customFormat="false" ht="21" hidden="false" customHeight="true" outlineLevel="0" collapsed="false">
      <c r="A27" s="13" t="n">
        <v>46266</v>
      </c>
      <c r="B27" s="14" t="s">
        <v>26</v>
      </c>
      <c r="C27" s="15" t="s">
        <v>66</v>
      </c>
      <c r="D27" s="14"/>
      <c r="E27" s="16" t="s">
        <v>65</v>
      </c>
      <c r="F27" s="15" t="s">
        <v>18</v>
      </c>
      <c r="G27" s="15" t="s">
        <v>29</v>
      </c>
      <c r="H27" s="15" t="s">
        <v>30</v>
      </c>
    </row>
    <row r="28" customFormat="false" ht="21" hidden="false" customHeight="true" outlineLevel="0" collapsed="false">
      <c r="A28" s="13" t="n">
        <v>46266</v>
      </c>
      <c r="B28" s="14" t="s">
        <v>26</v>
      </c>
      <c r="C28" s="15" t="s">
        <v>67</v>
      </c>
      <c r="D28" s="14"/>
      <c r="E28" s="16" t="s">
        <v>65</v>
      </c>
      <c r="F28" s="15" t="s">
        <v>18</v>
      </c>
      <c r="G28" s="15" t="s">
        <v>29</v>
      </c>
      <c r="H28" s="15" t="s">
        <v>33</v>
      </c>
    </row>
    <row r="29" customFormat="false" ht="21" hidden="false" customHeight="true" outlineLevel="0" collapsed="false">
      <c r="A29" s="13" t="n">
        <v>46266</v>
      </c>
      <c r="B29" s="14" t="s">
        <v>68</v>
      </c>
      <c r="C29" s="15" t="s">
        <v>69</v>
      </c>
      <c r="D29" s="14"/>
      <c r="E29" s="16" t="s">
        <v>70</v>
      </c>
      <c r="F29" s="15" t="s">
        <v>71</v>
      </c>
      <c r="G29" s="15" t="s">
        <v>72</v>
      </c>
      <c r="H29" s="15"/>
    </row>
    <row r="30" customFormat="false" ht="21" hidden="false" customHeight="true" outlineLevel="0" collapsed="false">
      <c r="A30" s="13" t="n">
        <v>46266</v>
      </c>
      <c r="B30" s="14" t="s">
        <v>68</v>
      </c>
      <c r="C30" s="15" t="s">
        <v>73</v>
      </c>
      <c r="D30" s="14"/>
      <c r="E30" s="16" t="s">
        <v>74</v>
      </c>
      <c r="F30" s="15" t="s">
        <v>71</v>
      </c>
      <c r="G30" s="15" t="s">
        <v>72</v>
      </c>
      <c r="H30" s="15"/>
    </row>
    <row r="31" customFormat="false" ht="21" hidden="false" customHeight="true" outlineLevel="0" collapsed="false">
      <c r="A31" s="13" t="n">
        <v>46266</v>
      </c>
      <c r="B31" s="14" t="s">
        <v>68</v>
      </c>
      <c r="C31" s="15" t="s">
        <v>75</v>
      </c>
      <c r="D31" s="14"/>
      <c r="E31" s="16" t="s">
        <v>74</v>
      </c>
      <c r="F31" s="15" t="s">
        <v>71</v>
      </c>
      <c r="G31" s="15" t="s">
        <v>72</v>
      </c>
      <c r="H31" s="15"/>
    </row>
    <row r="32" customFormat="false" ht="21" hidden="false" customHeight="true" outlineLevel="0" collapsed="false">
      <c r="A32" s="13" t="n">
        <v>46266</v>
      </c>
      <c r="B32" s="14" t="s">
        <v>68</v>
      </c>
      <c r="C32" s="15" t="s">
        <v>76</v>
      </c>
      <c r="D32" s="14"/>
      <c r="E32" s="16" t="s">
        <v>77</v>
      </c>
      <c r="F32" s="15" t="s">
        <v>53</v>
      </c>
      <c r="G32" s="15" t="s">
        <v>72</v>
      </c>
      <c r="H32" s="15"/>
    </row>
    <row r="33" customFormat="false" ht="21" hidden="false" customHeight="true" outlineLevel="0" collapsed="false">
      <c r="A33" s="13" t="n">
        <v>46266</v>
      </c>
      <c r="B33" s="14" t="s">
        <v>68</v>
      </c>
      <c r="C33" s="15" t="s">
        <v>78</v>
      </c>
      <c r="D33" s="14"/>
      <c r="E33" s="16" t="s">
        <v>77</v>
      </c>
      <c r="F33" s="15" t="s">
        <v>53</v>
      </c>
      <c r="G33" s="15" t="s">
        <v>72</v>
      </c>
      <c r="H33" s="15"/>
    </row>
    <row r="34" customFormat="false" ht="21" hidden="false" customHeight="true" outlineLevel="0" collapsed="false">
      <c r="A34" s="13" t="n">
        <v>46266</v>
      </c>
      <c r="B34" s="14" t="s">
        <v>79</v>
      </c>
      <c r="C34" s="15" t="s">
        <v>80</v>
      </c>
      <c r="D34" s="14"/>
      <c r="E34" s="16" t="s">
        <v>81</v>
      </c>
      <c r="F34" s="15" t="s">
        <v>71</v>
      </c>
      <c r="G34" s="15" t="s">
        <v>80</v>
      </c>
      <c r="H34" s="15"/>
    </row>
    <row r="35" customFormat="false" ht="21" hidden="false" customHeight="true" outlineLevel="0" collapsed="false">
      <c r="A35" s="13" t="n">
        <v>46266</v>
      </c>
      <c r="B35" s="14" t="s">
        <v>34</v>
      </c>
      <c r="C35" s="15" t="s">
        <v>82</v>
      </c>
      <c r="D35" s="14"/>
      <c r="E35" s="16" t="s">
        <v>83</v>
      </c>
      <c r="F35" s="15" t="s">
        <v>53</v>
      </c>
      <c r="G35" s="15" t="s">
        <v>38</v>
      </c>
      <c r="H35" s="15"/>
    </row>
    <row r="36" customFormat="false" ht="21" hidden="false" customHeight="true" outlineLevel="0" collapsed="false">
      <c r="A36" s="13" t="n">
        <v>46266</v>
      </c>
      <c r="B36" s="14" t="s">
        <v>34</v>
      </c>
      <c r="C36" s="15" t="s">
        <v>84</v>
      </c>
      <c r="D36" s="14"/>
      <c r="E36" s="16" t="s">
        <v>85</v>
      </c>
      <c r="F36" s="15" t="s">
        <v>53</v>
      </c>
      <c r="G36" s="15" t="s">
        <v>38</v>
      </c>
      <c r="H36" s="15"/>
    </row>
    <row r="37" customFormat="false" ht="21" hidden="false" customHeight="true" outlineLevel="0" collapsed="false">
      <c r="A37" s="13" t="n">
        <v>46266</v>
      </c>
      <c r="B37" s="14" t="s">
        <v>34</v>
      </c>
      <c r="C37" s="15" t="s">
        <v>86</v>
      </c>
      <c r="D37" s="14"/>
      <c r="E37" s="16" t="s">
        <v>87</v>
      </c>
      <c r="F37" s="15" t="s">
        <v>37</v>
      </c>
      <c r="G37" s="15" t="s">
        <v>38</v>
      </c>
      <c r="H37" s="15"/>
    </row>
    <row r="38" customFormat="false" ht="21" hidden="false" customHeight="true" outlineLevel="0" collapsed="false">
      <c r="A38" s="13" t="n">
        <v>46266</v>
      </c>
      <c r="B38" s="14" t="s">
        <v>34</v>
      </c>
      <c r="C38" s="15" t="s">
        <v>88</v>
      </c>
      <c r="D38" s="14"/>
      <c r="E38" s="16" t="s">
        <v>89</v>
      </c>
      <c r="F38" s="15" t="s">
        <v>90</v>
      </c>
      <c r="G38" s="15" t="s">
        <v>38</v>
      </c>
      <c r="H38" s="15"/>
    </row>
    <row r="39" customFormat="false" ht="21" hidden="false" customHeight="true" outlineLevel="0" collapsed="false">
      <c r="A39" s="13" t="n">
        <v>46266</v>
      </c>
      <c r="B39" s="14" t="s">
        <v>34</v>
      </c>
      <c r="C39" s="15" t="s">
        <v>91</v>
      </c>
      <c r="D39" s="14"/>
      <c r="E39" s="16" t="s">
        <v>92</v>
      </c>
      <c r="F39" s="15" t="s">
        <v>37</v>
      </c>
      <c r="G39" s="15" t="s">
        <v>38</v>
      </c>
      <c r="H39" s="15" t="s">
        <v>39</v>
      </c>
    </row>
    <row r="40" customFormat="false" ht="21" hidden="false" customHeight="true" outlineLevel="0" collapsed="false">
      <c r="A40" s="13" t="n">
        <v>46266</v>
      </c>
      <c r="B40" s="14" t="s">
        <v>34</v>
      </c>
      <c r="C40" s="15" t="s">
        <v>93</v>
      </c>
      <c r="D40" s="14"/>
      <c r="E40" s="16" t="s">
        <v>94</v>
      </c>
      <c r="F40" s="15" t="s">
        <v>37</v>
      </c>
      <c r="G40" s="15" t="s">
        <v>38</v>
      </c>
      <c r="H40" s="15"/>
    </row>
    <row r="41" customFormat="false" ht="21" hidden="false" customHeight="true" outlineLevel="0" collapsed="false">
      <c r="A41" s="13" t="n">
        <v>46266</v>
      </c>
      <c r="B41" s="14" t="s">
        <v>34</v>
      </c>
      <c r="C41" s="15" t="s">
        <v>95</v>
      </c>
      <c r="D41" s="14"/>
      <c r="E41" s="16" t="s">
        <v>96</v>
      </c>
      <c r="F41" s="15" t="s">
        <v>37</v>
      </c>
      <c r="G41" s="15" t="s">
        <v>38</v>
      </c>
      <c r="H41" s="15" t="s">
        <v>39</v>
      </c>
    </row>
    <row r="42" customFormat="false" ht="21" hidden="false" customHeight="true" outlineLevel="0" collapsed="false">
      <c r="A42" s="13" t="n">
        <v>46266</v>
      </c>
      <c r="B42" s="14" t="s">
        <v>34</v>
      </c>
      <c r="C42" s="15" t="s">
        <v>97</v>
      </c>
      <c r="D42" s="14"/>
      <c r="E42" s="16" t="s">
        <v>98</v>
      </c>
      <c r="F42" s="15" t="s">
        <v>37</v>
      </c>
      <c r="G42" s="15" t="s">
        <v>38</v>
      </c>
      <c r="H42" s="15"/>
    </row>
    <row r="43" customFormat="false" ht="21" hidden="false" customHeight="true" outlineLevel="0" collapsed="false">
      <c r="A43" s="13" t="n">
        <v>46266</v>
      </c>
      <c r="B43" s="14" t="s">
        <v>34</v>
      </c>
      <c r="C43" s="15" t="s">
        <v>99</v>
      </c>
      <c r="D43" s="14"/>
      <c r="E43" s="16" t="s">
        <v>100</v>
      </c>
      <c r="F43" s="15" t="s">
        <v>37</v>
      </c>
      <c r="G43" s="15" t="s">
        <v>38</v>
      </c>
      <c r="H43" s="15" t="s">
        <v>39</v>
      </c>
    </row>
    <row r="44" customFormat="false" ht="21" hidden="false" customHeight="true" outlineLevel="0" collapsed="false">
      <c r="A44" s="13" t="n">
        <v>46266</v>
      </c>
      <c r="B44" s="14" t="s">
        <v>34</v>
      </c>
      <c r="C44" s="15" t="s">
        <v>101</v>
      </c>
      <c r="D44" s="14"/>
      <c r="E44" s="16" t="s">
        <v>102</v>
      </c>
      <c r="F44" s="15" t="s">
        <v>37</v>
      </c>
      <c r="G44" s="15" t="s">
        <v>38</v>
      </c>
      <c r="H44" s="15"/>
    </row>
    <row r="45" customFormat="false" ht="21" hidden="false" customHeight="true" outlineLevel="0" collapsed="false">
      <c r="A45" s="13" t="n">
        <v>46266</v>
      </c>
      <c r="B45" s="14" t="s">
        <v>34</v>
      </c>
      <c r="C45" s="15" t="s">
        <v>103</v>
      </c>
      <c r="D45" s="14"/>
      <c r="E45" s="16" t="s">
        <v>104</v>
      </c>
      <c r="F45" s="15" t="s">
        <v>53</v>
      </c>
      <c r="G45" s="15" t="s">
        <v>38</v>
      </c>
      <c r="H45" s="15"/>
    </row>
    <row r="46" customFormat="false" ht="21" hidden="false" customHeight="true" outlineLevel="0" collapsed="false">
      <c r="A46" s="13" t="n">
        <v>46266</v>
      </c>
      <c r="B46" s="14" t="s">
        <v>105</v>
      </c>
      <c r="C46" s="15" t="s">
        <v>106</v>
      </c>
      <c r="D46" s="14"/>
      <c r="E46" s="16" t="s">
        <v>107</v>
      </c>
      <c r="F46" s="15"/>
      <c r="G46" s="15" t="s">
        <v>108</v>
      </c>
      <c r="H46" s="15"/>
    </row>
    <row r="47" customFormat="false" ht="21" hidden="false" customHeight="true" outlineLevel="0" collapsed="false">
      <c r="A47" s="13" t="n">
        <v>46267</v>
      </c>
      <c r="B47" s="14" t="s">
        <v>26</v>
      </c>
      <c r="C47" s="15" t="s">
        <v>109</v>
      </c>
      <c r="D47" s="14"/>
      <c r="E47" s="16" t="s">
        <v>110</v>
      </c>
      <c r="F47" s="15" t="s">
        <v>18</v>
      </c>
      <c r="G47" s="15" t="s">
        <v>29</v>
      </c>
      <c r="H47" s="15" t="s">
        <v>25</v>
      </c>
    </row>
    <row r="48" customFormat="false" ht="21" hidden="false" customHeight="true" outlineLevel="0" collapsed="false">
      <c r="A48" s="13" t="n">
        <v>46267</v>
      </c>
      <c r="B48" s="14" t="s">
        <v>26</v>
      </c>
      <c r="C48" s="15" t="s">
        <v>111</v>
      </c>
      <c r="D48" s="14"/>
      <c r="E48" s="16" t="s">
        <v>112</v>
      </c>
      <c r="F48" s="15" t="s">
        <v>18</v>
      </c>
      <c r="G48" s="15" t="s">
        <v>29</v>
      </c>
      <c r="H48" s="15" t="s">
        <v>25</v>
      </c>
    </row>
    <row r="49" customFormat="false" ht="21" hidden="false" customHeight="true" outlineLevel="0" collapsed="false">
      <c r="A49" s="13" t="n">
        <v>46267</v>
      </c>
      <c r="B49" s="14" t="s">
        <v>26</v>
      </c>
      <c r="C49" s="15" t="s">
        <v>113</v>
      </c>
      <c r="D49" s="14"/>
      <c r="E49" s="16" t="s">
        <v>114</v>
      </c>
      <c r="F49" s="15" t="s">
        <v>18</v>
      </c>
      <c r="G49" s="15" t="s">
        <v>29</v>
      </c>
      <c r="H49" s="15" t="s">
        <v>25</v>
      </c>
    </row>
    <row r="50" customFormat="false" ht="21" hidden="false" customHeight="true" outlineLevel="0" collapsed="false">
      <c r="A50" s="13" t="n">
        <v>46267</v>
      </c>
      <c r="B50" s="14" t="s">
        <v>26</v>
      </c>
      <c r="C50" s="15" t="s">
        <v>115</v>
      </c>
      <c r="D50" s="14"/>
      <c r="E50" s="16" t="s">
        <v>116</v>
      </c>
      <c r="F50" s="15" t="s">
        <v>18</v>
      </c>
      <c r="G50" s="15" t="s">
        <v>29</v>
      </c>
      <c r="H50" s="15" t="s">
        <v>25</v>
      </c>
    </row>
    <row r="51" customFormat="false" ht="21" hidden="false" customHeight="true" outlineLevel="0" collapsed="false">
      <c r="A51" s="13" t="n">
        <v>46267</v>
      </c>
      <c r="B51" s="14" t="s">
        <v>26</v>
      </c>
      <c r="C51" s="15" t="s">
        <v>117</v>
      </c>
      <c r="D51" s="14"/>
      <c r="E51" s="16" t="s">
        <v>118</v>
      </c>
      <c r="F51" s="15" t="s">
        <v>18</v>
      </c>
      <c r="G51" s="15" t="s">
        <v>29</v>
      </c>
      <c r="H51" s="15" t="s">
        <v>25</v>
      </c>
    </row>
    <row r="52" customFormat="false" ht="21" hidden="false" customHeight="true" outlineLevel="0" collapsed="false">
      <c r="A52" s="13" t="n">
        <v>46267</v>
      </c>
      <c r="B52" s="14" t="s">
        <v>26</v>
      </c>
      <c r="C52" s="15" t="s">
        <v>119</v>
      </c>
      <c r="D52" s="14"/>
      <c r="E52" s="16" t="s">
        <v>120</v>
      </c>
      <c r="F52" s="15" t="s">
        <v>18</v>
      </c>
      <c r="G52" s="15" t="s">
        <v>29</v>
      </c>
      <c r="H52" s="15" t="s">
        <v>25</v>
      </c>
    </row>
    <row r="53" customFormat="false" ht="21" hidden="false" customHeight="true" outlineLevel="0" collapsed="false">
      <c r="A53" s="13" t="n">
        <v>46267</v>
      </c>
      <c r="B53" s="14" t="s">
        <v>26</v>
      </c>
      <c r="C53" s="15" t="s">
        <v>121</v>
      </c>
      <c r="D53" s="14"/>
      <c r="E53" s="16"/>
      <c r="F53" s="15" t="s">
        <v>122</v>
      </c>
      <c r="G53" s="15" t="s">
        <v>123</v>
      </c>
      <c r="H53" s="15" t="s">
        <v>124</v>
      </c>
    </row>
    <row r="54" customFormat="false" ht="21" hidden="false" customHeight="true" outlineLevel="0" collapsed="false">
      <c r="A54" s="13" t="n">
        <v>46267</v>
      </c>
      <c r="B54" s="14" t="s">
        <v>125</v>
      </c>
      <c r="C54" s="15" t="s">
        <v>126</v>
      </c>
      <c r="D54" s="14"/>
      <c r="E54" s="16"/>
      <c r="F54" s="15" t="s">
        <v>71</v>
      </c>
      <c r="G54" s="15" t="s">
        <v>127</v>
      </c>
      <c r="H54" s="15" t="s">
        <v>128</v>
      </c>
    </row>
    <row r="55" customFormat="false" ht="21" hidden="false" customHeight="true" outlineLevel="0" collapsed="false">
      <c r="A55" s="13" t="n">
        <v>46267</v>
      </c>
      <c r="B55" s="14" t="s">
        <v>129</v>
      </c>
      <c r="C55" s="15" t="s">
        <v>130</v>
      </c>
      <c r="D55" s="14"/>
      <c r="E55" s="16"/>
      <c r="F55" s="15" t="s">
        <v>53</v>
      </c>
      <c r="G55" s="15" t="s">
        <v>131</v>
      </c>
      <c r="H55" s="15" t="s">
        <v>132</v>
      </c>
    </row>
    <row r="56" customFormat="false" ht="21" hidden="false" customHeight="true" outlineLevel="0" collapsed="false">
      <c r="A56" s="13" t="n">
        <v>46267</v>
      </c>
      <c r="B56" s="14" t="s">
        <v>68</v>
      </c>
      <c r="C56" s="15" t="s">
        <v>133</v>
      </c>
      <c r="D56" s="14"/>
      <c r="E56" s="16"/>
      <c r="F56" s="15" t="s">
        <v>134</v>
      </c>
      <c r="G56" s="15" t="s">
        <v>127</v>
      </c>
      <c r="H56" s="15" t="s">
        <v>135</v>
      </c>
    </row>
    <row r="57" customFormat="false" ht="21" hidden="false" customHeight="true" outlineLevel="0" collapsed="false">
      <c r="A57" s="13" t="n">
        <v>46267</v>
      </c>
      <c r="B57" s="14" t="s">
        <v>136</v>
      </c>
      <c r="C57" s="15" t="s">
        <v>137</v>
      </c>
      <c r="D57" s="14"/>
      <c r="E57" s="16"/>
      <c r="F57" s="15" t="s">
        <v>138</v>
      </c>
      <c r="G57" s="15" t="s">
        <v>139</v>
      </c>
      <c r="H57" s="15" t="s">
        <v>124</v>
      </c>
    </row>
    <row r="58" customFormat="false" ht="21" hidden="false" customHeight="true" outlineLevel="0" collapsed="false">
      <c r="A58" s="13" t="n">
        <v>46267</v>
      </c>
      <c r="B58" s="14" t="s">
        <v>140</v>
      </c>
      <c r="C58" s="15" t="s">
        <v>141</v>
      </c>
      <c r="D58" s="14"/>
      <c r="E58" s="16" t="s">
        <v>142</v>
      </c>
      <c r="F58" s="15"/>
      <c r="G58" s="15" t="s">
        <v>143</v>
      </c>
      <c r="H58" s="15" t="s">
        <v>144</v>
      </c>
    </row>
    <row r="59" customFormat="false" ht="21" hidden="false" customHeight="true" outlineLevel="0" collapsed="false">
      <c r="A59" s="13" t="n">
        <v>46267</v>
      </c>
      <c r="B59" s="14" t="s">
        <v>140</v>
      </c>
      <c r="C59" s="15" t="s">
        <v>145</v>
      </c>
      <c r="D59" s="14"/>
      <c r="E59" s="16" t="s">
        <v>146</v>
      </c>
      <c r="F59" s="15"/>
      <c r="G59" s="15" t="s">
        <v>143</v>
      </c>
      <c r="H59" s="15" t="s">
        <v>144</v>
      </c>
    </row>
    <row r="60" customFormat="false" ht="21" hidden="false" customHeight="true" outlineLevel="0" collapsed="false">
      <c r="A60" s="13" t="n">
        <v>46267</v>
      </c>
      <c r="B60" s="14" t="s">
        <v>140</v>
      </c>
      <c r="C60" s="15" t="s">
        <v>147</v>
      </c>
      <c r="D60" s="14"/>
      <c r="E60" s="16" t="s">
        <v>148</v>
      </c>
      <c r="F60" s="15"/>
      <c r="G60" s="15" t="s">
        <v>143</v>
      </c>
      <c r="H60" s="15" t="s">
        <v>144</v>
      </c>
    </row>
    <row r="61" customFormat="false" ht="21" hidden="false" customHeight="true" outlineLevel="0" collapsed="false">
      <c r="A61" s="13" t="n">
        <v>46267</v>
      </c>
      <c r="B61" s="14" t="s">
        <v>140</v>
      </c>
      <c r="C61" s="15" t="s">
        <v>149</v>
      </c>
      <c r="D61" s="14"/>
      <c r="E61" s="16" t="s">
        <v>150</v>
      </c>
      <c r="F61" s="15"/>
      <c r="G61" s="15" t="s">
        <v>143</v>
      </c>
      <c r="H61" s="15" t="s">
        <v>144</v>
      </c>
    </row>
    <row r="62" customFormat="false" ht="21" hidden="false" customHeight="true" outlineLevel="0" collapsed="false">
      <c r="A62" s="13" t="n">
        <v>46267</v>
      </c>
      <c r="B62" s="14" t="s">
        <v>140</v>
      </c>
      <c r="C62" s="15" t="s">
        <v>151</v>
      </c>
      <c r="D62" s="14"/>
      <c r="E62" s="16" t="s">
        <v>152</v>
      </c>
      <c r="F62" s="15"/>
      <c r="G62" s="15" t="s">
        <v>143</v>
      </c>
      <c r="H62" s="15" t="s">
        <v>144</v>
      </c>
    </row>
    <row r="63" customFormat="false" ht="21" hidden="false" customHeight="true" outlineLevel="0" collapsed="false">
      <c r="A63" s="13" t="n">
        <v>46267</v>
      </c>
      <c r="B63" s="14" t="s">
        <v>140</v>
      </c>
      <c r="C63" s="15" t="s">
        <v>153</v>
      </c>
      <c r="D63" s="14"/>
      <c r="E63" s="16"/>
      <c r="F63" s="15" t="s">
        <v>138</v>
      </c>
      <c r="G63" s="15" t="s">
        <v>139</v>
      </c>
      <c r="H63" s="15" t="s">
        <v>154</v>
      </c>
    </row>
    <row r="64" customFormat="false" ht="21" hidden="false" customHeight="true" outlineLevel="0" collapsed="false">
      <c r="A64" s="13" t="n">
        <v>46267</v>
      </c>
      <c r="B64" s="14" t="s">
        <v>34</v>
      </c>
      <c r="C64" s="15" t="s">
        <v>155</v>
      </c>
      <c r="D64" s="14"/>
      <c r="E64" s="16" t="s">
        <v>156</v>
      </c>
      <c r="F64" s="15" t="s">
        <v>37</v>
      </c>
      <c r="G64" s="15" t="s">
        <v>38</v>
      </c>
      <c r="H64" s="15"/>
    </row>
    <row r="65" customFormat="false" ht="21" hidden="false" customHeight="true" outlineLevel="0" collapsed="false">
      <c r="A65" s="13" t="n">
        <v>46267</v>
      </c>
      <c r="B65" s="14" t="s">
        <v>34</v>
      </c>
      <c r="C65" s="15" t="s">
        <v>157</v>
      </c>
      <c r="D65" s="14"/>
      <c r="E65" s="16" t="s">
        <v>158</v>
      </c>
      <c r="F65" s="15" t="s">
        <v>37</v>
      </c>
      <c r="G65" s="15" t="s">
        <v>38</v>
      </c>
      <c r="H65" s="15" t="s">
        <v>39</v>
      </c>
    </row>
    <row r="66" customFormat="false" ht="21" hidden="false" customHeight="true" outlineLevel="0" collapsed="false">
      <c r="A66" s="13" t="n">
        <v>46267</v>
      </c>
      <c r="B66" s="14" t="s">
        <v>34</v>
      </c>
      <c r="C66" s="15" t="s">
        <v>159</v>
      </c>
      <c r="D66" s="14"/>
      <c r="E66" s="16" t="s">
        <v>160</v>
      </c>
      <c r="F66" s="15" t="s">
        <v>53</v>
      </c>
      <c r="G66" s="15" t="s">
        <v>38</v>
      </c>
      <c r="H66" s="15"/>
    </row>
    <row r="67" customFormat="false" ht="21" hidden="false" customHeight="true" outlineLevel="0" collapsed="false">
      <c r="A67" s="13" t="n">
        <v>46267</v>
      </c>
      <c r="B67" s="14" t="s">
        <v>34</v>
      </c>
      <c r="C67" s="15" t="s">
        <v>161</v>
      </c>
      <c r="D67" s="14"/>
      <c r="E67" s="16" t="s">
        <v>162</v>
      </c>
      <c r="F67" s="15" t="s">
        <v>53</v>
      </c>
      <c r="G67" s="15" t="s">
        <v>38</v>
      </c>
      <c r="H67" s="15"/>
    </row>
    <row r="68" customFormat="false" ht="21" hidden="false" customHeight="true" outlineLevel="0" collapsed="false">
      <c r="A68" s="13" t="n">
        <v>46267</v>
      </c>
      <c r="B68" s="14" t="s">
        <v>34</v>
      </c>
      <c r="C68" s="15" t="s">
        <v>163</v>
      </c>
      <c r="D68" s="14"/>
      <c r="E68" s="16" t="s">
        <v>164</v>
      </c>
      <c r="F68" s="15" t="s">
        <v>37</v>
      </c>
      <c r="G68" s="15" t="s">
        <v>38</v>
      </c>
      <c r="H68" s="15"/>
    </row>
    <row r="69" customFormat="false" ht="21" hidden="false" customHeight="true" outlineLevel="0" collapsed="false">
      <c r="A69" s="13" t="n">
        <v>46267</v>
      </c>
      <c r="B69" s="14" t="s">
        <v>34</v>
      </c>
      <c r="C69" s="15" t="s">
        <v>165</v>
      </c>
      <c r="D69" s="14"/>
      <c r="E69" s="16" t="s">
        <v>166</v>
      </c>
      <c r="F69" s="15" t="s">
        <v>37</v>
      </c>
      <c r="G69" s="15" t="s">
        <v>38</v>
      </c>
      <c r="H69" s="15"/>
    </row>
    <row r="70" customFormat="false" ht="21" hidden="false" customHeight="true" outlineLevel="0" collapsed="false">
      <c r="A70" s="13" t="n">
        <v>46267</v>
      </c>
      <c r="B70" s="14" t="s">
        <v>34</v>
      </c>
      <c r="C70" s="15" t="s">
        <v>167</v>
      </c>
      <c r="D70" s="14"/>
      <c r="E70" s="16" t="s">
        <v>168</v>
      </c>
      <c r="F70" s="15" t="s">
        <v>37</v>
      </c>
      <c r="G70" s="15" t="s">
        <v>38</v>
      </c>
      <c r="H70" s="15"/>
    </row>
    <row r="71" customFormat="false" ht="21" hidden="false" customHeight="true" outlineLevel="0" collapsed="false">
      <c r="A71" s="13" t="n">
        <v>46267</v>
      </c>
      <c r="B71" s="14" t="s">
        <v>34</v>
      </c>
      <c r="C71" s="15" t="s">
        <v>169</v>
      </c>
      <c r="D71" s="14"/>
      <c r="E71" s="16" t="s">
        <v>170</v>
      </c>
      <c r="F71" s="15" t="s">
        <v>53</v>
      </c>
      <c r="G71" s="15" t="s">
        <v>38</v>
      </c>
      <c r="H71" s="15"/>
    </row>
    <row r="72" customFormat="false" ht="21" hidden="false" customHeight="true" outlineLevel="0" collapsed="false">
      <c r="A72" s="13" t="n">
        <v>46267</v>
      </c>
      <c r="B72" s="14" t="s">
        <v>34</v>
      </c>
      <c r="C72" s="15" t="s">
        <v>171</v>
      </c>
      <c r="D72" s="14"/>
      <c r="E72" s="16" t="s">
        <v>172</v>
      </c>
      <c r="F72" s="15" t="s">
        <v>53</v>
      </c>
      <c r="G72" s="15" t="s">
        <v>38</v>
      </c>
      <c r="H72" s="15"/>
    </row>
    <row r="73" customFormat="false" ht="21" hidden="false" customHeight="true" outlineLevel="0" collapsed="false">
      <c r="A73" s="13" t="n">
        <v>46267</v>
      </c>
      <c r="B73" s="14" t="s">
        <v>34</v>
      </c>
      <c r="C73" s="15" t="s">
        <v>173</v>
      </c>
      <c r="D73" s="14"/>
      <c r="E73" s="16" t="s">
        <v>174</v>
      </c>
      <c r="F73" s="15" t="s">
        <v>37</v>
      </c>
      <c r="G73" s="15" t="s">
        <v>38</v>
      </c>
      <c r="H73" s="15"/>
    </row>
    <row r="74" customFormat="false" ht="21" hidden="false" customHeight="true" outlineLevel="0" collapsed="false">
      <c r="A74" s="13" t="n">
        <v>46267</v>
      </c>
      <c r="B74" s="14" t="s">
        <v>34</v>
      </c>
      <c r="C74" s="15" t="s">
        <v>175</v>
      </c>
      <c r="D74" s="14"/>
      <c r="E74" s="16"/>
      <c r="F74" s="15"/>
      <c r="G74" s="15" t="s">
        <v>38</v>
      </c>
      <c r="H74" s="15" t="s">
        <v>25</v>
      </c>
    </row>
    <row r="75" customFormat="false" ht="21" hidden="false" customHeight="true" outlineLevel="0" collapsed="false">
      <c r="A75" s="13" t="n">
        <v>46267</v>
      </c>
      <c r="B75" s="14" t="s">
        <v>34</v>
      </c>
      <c r="C75" s="15" t="s">
        <v>176</v>
      </c>
      <c r="D75" s="14"/>
      <c r="E75" s="16" t="s">
        <v>89</v>
      </c>
      <c r="F75" s="15" t="s">
        <v>90</v>
      </c>
      <c r="G75" s="15" t="s">
        <v>38</v>
      </c>
      <c r="H75" s="15"/>
    </row>
    <row r="76" customFormat="false" ht="21" hidden="false" customHeight="true" outlineLevel="0" collapsed="false">
      <c r="A76" s="13" t="n">
        <v>46267</v>
      </c>
      <c r="B76" s="14" t="s">
        <v>34</v>
      </c>
      <c r="C76" s="15" t="s">
        <v>177</v>
      </c>
      <c r="D76" s="14"/>
      <c r="E76" s="16"/>
      <c r="F76" s="15" t="s">
        <v>37</v>
      </c>
      <c r="G76" s="15" t="s">
        <v>123</v>
      </c>
      <c r="H76" s="15" t="s">
        <v>178</v>
      </c>
    </row>
    <row r="77" customFormat="false" ht="21" hidden="false" customHeight="true" outlineLevel="0" collapsed="false">
      <c r="A77" s="13" t="n">
        <v>46267</v>
      </c>
      <c r="B77" s="14" t="s">
        <v>34</v>
      </c>
      <c r="C77" s="15" t="s">
        <v>179</v>
      </c>
      <c r="D77" s="14"/>
      <c r="E77" s="16"/>
      <c r="F77" s="15" t="s">
        <v>18</v>
      </c>
      <c r="G77" s="15" t="s">
        <v>123</v>
      </c>
      <c r="H77" s="15" t="s">
        <v>180</v>
      </c>
    </row>
    <row r="78" customFormat="false" ht="21" hidden="false" customHeight="true" outlineLevel="0" collapsed="false">
      <c r="A78" s="13" t="n">
        <v>46267</v>
      </c>
      <c r="B78" s="14" t="s">
        <v>181</v>
      </c>
      <c r="C78" s="15" t="s">
        <v>182</v>
      </c>
      <c r="D78" s="14"/>
      <c r="E78" s="16"/>
      <c r="F78" s="15" t="s">
        <v>183</v>
      </c>
      <c r="G78" s="15" t="s">
        <v>139</v>
      </c>
      <c r="H78" s="15" t="s">
        <v>124</v>
      </c>
    </row>
    <row r="79" customFormat="false" ht="21" hidden="false" customHeight="true" outlineLevel="0" collapsed="false">
      <c r="A79" s="13" t="n">
        <v>46267</v>
      </c>
      <c r="B79" s="14" t="s">
        <v>184</v>
      </c>
      <c r="C79" s="15" t="s">
        <v>185</v>
      </c>
      <c r="D79" s="14"/>
      <c r="E79" s="16"/>
      <c r="F79" s="15" t="s">
        <v>138</v>
      </c>
      <c r="G79" s="15" t="s">
        <v>139</v>
      </c>
      <c r="H79" s="15" t="s">
        <v>186</v>
      </c>
    </row>
    <row r="80" customFormat="false" ht="21" hidden="false" customHeight="true" outlineLevel="0" collapsed="false">
      <c r="A80" s="13" t="n">
        <v>46268</v>
      </c>
      <c r="B80" s="14" t="s">
        <v>140</v>
      </c>
      <c r="C80" s="15" t="s">
        <v>187</v>
      </c>
      <c r="D80" s="14"/>
      <c r="E80" s="16" t="s">
        <v>188</v>
      </c>
      <c r="F80" s="15"/>
      <c r="G80" s="15" t="s">
        <v>143</v>
      </c>
      <c r="H80" s="15" t="s">
        <v>144</v>
      </c>
    </row>
    <row r="81" customFormat="false" ht="21" hidden="false" customHeight="true" outlineLevel="0" collapsed="false">
      <c r="A81" s="13" t="n">
        <v>46268</v>
      </c>
      <c r="B81" s="14" t="s">
        <v>140</v>
      </c>
      <c r="C81" s="15" t="s">
        <v>189</v>
      </c>
      <c r="D81" s="14"/>
      <c r="E81" s="16" t="s">
        <v>190</v>
      </c>
      <c r="F81" s="15"/>
      <c r="G81" s="15" t="s">
        <v>143</v>
      </c>
      <c r="H81" s="15" t="s">
        <v>144</v>
      </c>
    </row>
    <row r="82" customFormat="false" ht="21" hidden="false" customHeight="true" outlineLevel="0" collapsed="false">
      <c r="A82" s="13" t="n">
        <v>46268</v>
      </c>
      <c r="B82" s="14" t="s">
        <v>140</v>
      </c>
      <c r="C82" s="15" t="s">
        <v>191</v>
      </c>
      <c r="D82" s="14"/>
      <c r="E82" s="16" t="s">
        <v>192</v>
      </c>
      <c r="F82" s="15"/>
      <c r="G82" s="15" t="s">
        <v>143</v>
      </c>
      <c r="H82" s="15" t="s">
        <v>144</v>
      </c>
    </row>
    <row r="83" customFormat="false" ht="21" hidden="false" customHeight="true" outlineLevel="0" collapsed="false">
      <c r="A83" s="13" t="n">
        <v>46268</v>
      </c>
      <c r="B83" s="14" t="s">
        <v>140</v>
      </c>
      <c r="C83" s="15" t="s">
        <v>193</v>
      </c>
      <c r="D83" s="14"/>
      <c r="E83" s="16" t="s">
        <v>194</v>
      </c>
      <c r="F83" s="15"/>
      <c r="G83" s="15" t="s">
        <v>143</v>
      </c>
      <c r="H83" s="15" t="s">
        <v>144</v>
      </c>
    </row>
    <row r="84" customFormat="false" ht="21" hidden="false" customHeight="true" outlineLevel="0" collapsed="false">
      <c r="A84" s="13" t="n">
        <v>46268</v>
      </c>
      <c r="B84" s="14" t="s">
        <v>140</v>
      </c>
      <c r="C84" s="15" t="s">
        <v>195</v>
      </c>
      <c r="D84" s="14"/>
      <c r="E84" s="16" t="s">
        <v>196</v>
      </c>
      <c r="F84" s="15"/>
      <c r="G84" s="15" t="s">
        <v>143</v>
      </c>
      <c r="H84" s="15" t="s">
        <v>144</v>
      </c>
    </row>
    <row r="85" customFormat="false" ht="21" hidden="false" customHeight="true" outlineLevel="0" collapsed="false">
      <c r="A85" s="13" t="n">
        <v>46268</v>
      </c>
      <c r="B85" s="14" t="s">
        <v>140</v>
      </c>
      <c r="C85" s="15" t="s">
        <v>197</v>
      </c>
      <c r="D85" s="14"/>
      <c r="E85" s="16" t="s">
        <v>198</v>
      </c>
      <c r="F85" s="15"/>
      <c r="G85" s="15" t="s">
        <v>143</v>
      </c>
      <c r="H85" s="15" t="s">
        <v>144</v>
      </c>
    </row>
    <row r="86" customFormat="false" ht="21" hidden="false" customHeight="true" outlineLevel="0" collapsed="false">
      <c r="A86" s="13"/>
      <c r="B86" s="14" t="s">
        <v>199</v>
      </c>
      <c r="C86" s="15" t="s">
        <v>200</v>
      </c>
      <c r="D86" s="14"/>
      <c r="E86" s="16" t="s">
        <v>201</v>
      </c>
      <c r="F86" s="15"/>
      <c r="G86" s="15" t="s">
        <v>202</v>
      </c>
      <c r="H86" s="15" t="s">
        <v>203</v>
      </c>
    </row>
    <row r="87" customFormat="false" ht="21" hidden="false" customHeight="true" outlineLevel="0" collapsed="false">
      <c r="A87" s="13"/>
      <c r="B87" s="14" t="s">
        <v>199</v>
      </c>
      <c r="C87" s="15" t="s">
        <v>204</v>
      </c>
      <c r="D87" s="14"/>
      <c r="E87" s="16" t="s">
        <v>205</v>
      </c>
      <c r="F87" s="15"/>
      <c r="G87" s="15" t="s">
        <v>202</v>
      </c>
      <c r="H87" s="15" t="s">
        <v>203</v>
      </c>
    </row>
    <row r="88" customFormat="false" ht="21" hidden="false" customHeight="true" outlineLevel="0" collapsed="false">
      <c r="A88" s="13"/>
      <c r="B88" s="14" t="s">
        <v>199</v>
      </c>
      <c r="C88" s="15" t="s">
        <v>206</v>
      </c>
      <c r="D88" s="14"/>
      <c r="E88" s="16" t="s">
        <v>207</v>
      </c>
      <c r="F88" s="15"/>
      <c r="G88" s="15" t="s">
        <v>202</v>
      </c>
      <c r="H88" s="15" t="s">
        <v>203</v>
      </c>
    </row>
    <row r="89" customFormat="false" ht="21" hidden="false" customHeight="true" outlineLevel="0" collapsed="false">
      <c r="A89" s="13"/>
      <c r="B89" s="14" t="s">
        <v>199</v>
      </c>
      <c r="C89" s="15" t="s">
        <v>208</v>
      </c>
      <c r="D89" s="14"/>
      <c r="E89" s="16" t="s">
        <v>209</v>
      </c>
      <c r="F89" s="15"/>
      <c r="G89" s="15" t="s">
        <v>202</v>
      </c>
      <c r="H89" s="15" t="s">
        <v>203</v>
      </c>
    </row>
    <row r="90" customFormat="false" ht="21" hidden="false" customHeight="true" outlineLevel="0" collapsed="false">
      <c r="A90" s="13"/>
      <c r="B90" s="14" t="s">
        <v>199</v>
      </c>
      <c r="C90" s="15" t="s">
        <v>210</v>
      </c>
      <c r="D90" s="14"/>
      <c r="E90" s="16" t="s">
        <v>211</v>
      </c>
      <c r="F90" s="15"/>
      <c r="G90" s="15" t="s">
        <v>202</v>
      </c>
      <c r="H90" s="15" t="s">
        <v>203</v>
      </c>
    </row>
    <row r="91" customFormat="false" ht="21" hidden="false" customHeight="true" outlineLevel="0" collapsed="false">
      <c r="A91" s="13"/>
      <c r="B91" s="14" t="s">
        <v>199</v>
      </c>
      <c r="C91" s="15" t="s">
        <v>212</v>
      </c>
      <c r="D91" s="14"/>
      <c r="E91" s="16" t="s">
        <v>213</v>
      </c>
      <c r="F91" s="15"/>
      <c r="G91" s="15" t="s">
        <v>202</v>
      </c>
      <c r="H91" s="15" t="s">
        <v>203</v>
      </c>
    </row>
    <row r="92" customFormat="false" ht="21" hidden="false" customHeight="true" outlineLevel="0" collapsed="false">
      <c r="A92" s="13"/>
      <c r="B92" s="14" t="s">
        <v>199</v>
      </c>
      <c r="C92" s="15" t="s">
        <v>214</v>
      </c>
      <c r="D92" s="14"/>
      <c r="E92" s="16" t="s">
        <v>215</v>
      </c>
      <c r="F92" s="15"/>
      <c r="G92" s="15" t="s">
        <v>202</v>
      </c>
      <c r="H92" s="15" t="s">
        <v>203</v>
      </c>
    </row>
    <row r="93" customFormat="false" ht="21" hidden="false" customHeight="true" outlineLevel="0" collapsed="false">
      <c r="A93" s="13"/>
      <c r="B93" s="14" t="s">
        <v>199</v>
      </c>
      <c r="C93" s="15" t="s">
        <v>216</v>
      </c>
      <c r="D93" s="14"/>
      <c r="E93" s="16" t="s">
        <v>217</v>
      </c>
      <c r="F93" s="15"/>
      <c r="G93" s="15" t="s">
        <v>202</v>
      </c>
      <c r="H93" s="15" t="s">
        <v>203</v>
      </c>
    </row>
    <row r="94" customFormat="false" ht="21" hidden="false" customHeight="true" outlineLevel="0" collapsed="false">
      <c r="A94" s="13"/>
      <c r="B94" s="14" t="s">
        <v>199</v>
      </c>
      <c r="C94" s="15" t="s">
        <v>218</v>
      </c>
      <c r="D94" s="14"/>
      <c r="E94" s="16" t="s">
        <v>219</v>
      </c>
      <c r="F94" s="15"/>
      <c r="G94" s="15" t="s">
        <v>202</v>
      </c>
      <c r="H94" s="15" t="s">
        <v>203</v>
      </c>
    </row>
    <row r="95" customFormat="false" ht="21" hidden="false" customHeight="true" outlineLevel="0" collapsed="false">
      <c r="A95" s="13"/>
      <c r="B95" s="14" t="s">
        <v>199</v>
      </c>
      <c r="C95" s="15" t="s">
        <v>220</v>
      </c>
      <c r="D95" s="14"/>
      <c r="E95" s="16" t="s">
        <v>221</v>
      </c>
      <c r="F95" s="15"/>
      <c r="G95" s="15" t="s">
        <v>202</v>
      </c>
      <c r="H95" s="15" t="s">
        <v>203</v>
      </c>
    </row>
    <row r="96" customFormat="false" ht="21" hidden="false" customHeight="true" outlineLevel="0" collapsed="false">
      <c r="A96" s="13"/>
      <c r="B96" s="14" t="s">
        <v>222</v>
      </c>
      <c r="C96" s="15" t="s">
        <v>223</v>
      </c>
      <c r="D96" s="14"/>
      <c r="E96" s="16" t="s">
        <v>224</v>
      </c>
      <c r="F96" s="15"/>
      <c r="G96" s="15" t="s">
        <v>202</v>
      </c>
      <c r="H96" s="15" t="s">
        <v>203</v>
      </c>
    </row>
    <row r="97" customFormat="false" ht="21" hidden="false" customHeight="true" outlineLevel="0" collapsed="false">
      <c r="A97" s="13"/>
      <c r="B97" s="14" t="s">
        <v>222</v>
      </c>
      <c r="C97" s="15" t="s">
        <v>225</v>
      </c>
      <c r="D97" s="14"/>
      <c r="E97" s="16" t="s">
        <v>226</v>
      </c>
      <c r="F97" s="15"/>
      <c r="G97" s="15" t="s">
        <v>202</v>
      </c>
      <c r="H97" s="15" t="s">
        <v>203</v>
      </c>
    </row>
    <row r="98" customFormat="false" ht="21" hidden="false" customHeight="true" outlineLevel="0" collapsed="false">
      <c r="A98" s="13"/>
      <c r="B98" s="14" t="s">
        <v>222</v>
      </c>
      <c r="C98" s="15" t="s">
        <v>227</v>
      </c>
      <c r="D98" s="14"/>
      <c r="E98" s="16" t="s">
        <v>228</v>
      </c>
      <c r="F98" s="15"/>
      <c r="G98" s="15" t="s">
        <v>202</v>
      </c>
      <c r="H98" s="15" t="s">
        <v>203</v>
      </c>
    </row>
    <row r="99" customFormat="false" ht="21" hidden="false" customHeight="true" outlineLevel="0" collapsed="false">
      <c r="A99" s="13"/>
      <c r="B99" s="14" t="s">
        <v>222</v>
      </c>
      <c r="C99" s="15" t="s">
        <v>229</v>
      </c>
      <c r="D99" s="14"/>
      <c r="E99" s="16" t="s">
        <v>230</v>
      </c>
      <c r="F99" s="15"/>
      <c r="G99" s="15" t="s">
        <v>202</v>
      </c>
      <c r="H99" s="15" t="s">
        <v>203</v>
      </c>
    </row>
    <row r="100" customFormat="false" ht="21" hidden="false" customHeight="true" outlineLevel="0" collapsed="false">
      <c r="A100" s="13"/>
      <c r="B100" s="14" t="s">
        <v>222</v>
      </c>
      <c r="C100" s="15" t="s">
        <v>231</v>
      </c>
      <c r="D100" s="14"/>
      <c r="E100" s="16" t="s">
        <v>232</v>
      </c>
      <c r="F100" s="15"/>
      <c r="G100" s="15" t="s">
        <v>202</v>
      </c>
      <c r="H100" s="15" t="s">
        <v>203</v>
      </c>
    </row>
    <row r="101" customFormat="false" ht="21" hidden="false" customHeight="true" outlineLevel="0" collapsed="false">
      <c r="A101" s="13"/>
      <c r="B101" s="14" t="s">
        <v>222</v>
      </c>
      <c r="C101" s="15" t="s">
        <v>233</v>
      </c>
      <c r="D101" s="14"/>
      <c r="E101" s="16" t="s">
        <v>234</v>
      </c>
      <c r="F101" s="15"/>
      <c r="G101" s="15" t="s">
        <v>202</v>
      </c>
      <c r="H101" s="15" t="s">
        <v>203</v>
      </c>
    </row>
    <row r="102" customFormat="false" ht="21" hidden="false" customHeight="true" outlineLevel="0" collapsed="false">
      <c r="A102" s="13"/>
      <c r="B102" s="14" t="s">
        <v>222</v>
      </c>
      <c r="C102" s="15" t="s">
        <v>235</v>
      </c>
      <c r="D102" s="14"/>
      <c r="E102" s="16" t="s">
        <v>236</v>
      </c>
      <c r="F102" s="15"/>
      <c r="G102" s="15" t="s">
        <v>202</v>
      </c>
      <c r="H102" s="15" t="s">
        <v>203</v>
      </c>
    </row>
    <row r="103" customFormat="false" ht="21" hidden="false" customHeight="true" outlineLevel="0" collapsed="false">
      <c r="A103" s="13"/>
      <c r="B103" s="14" t="s">
        <v>222</v>
      </c>
      <c r="C103" s="15" t="s">
        <v>237</v>
      </c>
      <c r="D103" s="14"/>
      <c r="E103" s="16" t="s">
        <v>238</v>
      </c>
      <c r="F103" s="15"/>
      <c r="G103" s="15" t="s">
        <v>202</v>
      </c>
      <c r="H103" s="15" t="s">
        <v>203</v>
      </c>
    </row>
    <row r="104" customFormat="false" ht="21" hidden="false" customHeight="true" outlineLevel="0" collapsed="false">
      <c r="A104" s="13"/>
      <c r="B104" s="14" t="s">
        <v>222</v>
      </c>
      <c r="C104" s="15" t="s">
        <v>239</v>
      </c>
      <c r="D104" s="14"/>
      <c r="E104" s="16" t="s">
        <v>240</v>
      </c>
      <c r="F104" s="15"/>
      <c r="G104" s="15" t="s">
        <v>202</v>
      </c>
      <c r="H104" s="15" t="s">
        <v>203</v>
      </c>
    </row>
    <row r="105" customFormat="false" ht="21" hidden="false" customHeight="true" outlineLevel="0" collapsed="false">
      <c r="A105" s="13"/>
      <c r="B105" s="14" t="s">
        <v>15</v>
      </c>
      <c r="C105" s="15" t="s">
        <v>241</v>
      </c>
      <c r="D105" s="14"/>
      <c r="E105" s="16"/>
      <c r="F105" s="15"/>
      <c r="G105" s="15" t="s">
        <v>19</v>
      </c>
      <c r="H105" s="15" t="s">
        <v>242</v>
      </c>
    </row>
    <row r="106" customFormat="false" ht="21" hidden="false" customHeight="true" outlineLevel="0" collapsed="false">
      <c r="A106" s="13"/>
      <c r="B106" s="14" t="s">
        <v>15</v>
      </c>
      <c r="C106" s="15" t="s">
        <v>243</v>
      </c>
      <c r="D106" s="14"/>
      <c r="E106" s="16"/>
      <c r="F106" s="15"/>
      <c r="G106" s="15" t="s">
        <v>19</v>
      </c>
      <c r="H106" s="15" t="s">
        <v>242</v>
      </c>
    </row>
    <row r="107" customFormat="false" ht="21" hidden="false" customHeight="true" outlineLevel="0" collapsed="false">
      <c r="A107" s="13"/>
      <c r="B107" s="14" t="s">
        <v>244</v>
      </c>
      <c r="C107" s="15" t="s">
        <v>245</v>
      </c>
      <c r="D107" s="14"/>
      <c r="E107" s="16"/>
      <c r="F107" s="15"/>
      <c r="G107" s="15" t="s">
        <v>246</v>
      </c>
      <c r="H107" s="15" t="s">
        <v>247</v>
      </c>
    </row>
    <row r="108" customFormat="false" ht="21" hidden="false" customHeight="true" outlineLevel="0" collapsed="false">
      <c r="A108" s="13"/>
      <c r="B108" s="14" t="s">
        <v>244</v>
      </c>
      <c r="C108" s="15" t="s">
        <v>248</v>
      </c>
      <c r="D108" s="14"/>
      <c r="E108" s="16"/>
      <c r="F108" s="15"/>
      <c r="G108" s="15" t="s">
        <v>29</v>
      </c>
      <c r="H108" s="15" t="s">
        <v>249</v>
      </c>
    </row>
    <row r="109" customFormat="false" ht="21" hidden="false" customHeight="true" outlineLevel="0" collapsed="false">
      <c r="A109" s="13"/>
      <c r="B109" s="14" t="s">
        <v>250</v>
      </c>
      <c r="C109" s="15" t="s">
        <v>245</v>
      </c>
      <c r="D109" s="14"/>
      <c r="E109" s="16"/>
      <c r="F109" s="15"/>
      <c r="G109" s="15" t="s">
        <v>246</v>
      </c>
      <c r="H109" s="15" t="s">
        <v>247</v>
      </c>
    </row>
    <row r="110" customFormat="false" ht="21" hidden="false" customHeight="true" outlineLevel="0" collapsed="false">
      <c r="A110" s="13"/>
      <c r="B110" s="14" t="s">
        <v>251</v>
      </c>
      <c r="C110" s="15" t="s">
        <v>245</v>
      </c>
      <c r="D110" s="14"/>
      <c r="E110" s="16"/>
      <c r="F110" s="15"/>
      <c r="G110" s="15" t="s">
        <v>246</v>
      </c>
      <c r="H110" s="15" t="s">
        <v>247</v>
      </c>
    </row>
    <row r="111" customFormat="false" ht="21" hidden="false" customHeight="true" outlineLevel="0" collapsed="false">
      <c r="A111" s="13"/>
      <c r="B111" s="14" t="s">
        <v>252</v>
      </c>
      <c r="C111" s="15" t="s">
        <v>245</v>
      </c>
      <c r="D111" s="14"/>
      <c r="E111" s="16"/>
      <c r="F111" s="15"/>
      <c r="G111" s="15" t="s">
        <v>246</v>
      </c>
      <c r="H111" s="15" t="s">
        <v>247</v>
      </c>
    </row>
    <row r="112" customFormat="false" ht="21" hidden="false" customHeight="true" outlineLevel="0" collapsed="false">
      <c r="A112" s="13"/>
      <c r="B112" s="14" t="s">
        <v>253</v>
      </c>
      <c r="C112" s="15" t="s">
        <v>245</v>
      </c>
      <c r="D112" s="14"/>
      <c r="E112" s="16"/>
      <c r="F112" s="15"/>
      <c r="G112" s="15" t="s">
        <v>246</v>
      </c>
      <c r="H112" s="15" t="s">
        <v>247</v>
      </c>
    </row>
    <row r="113" customFormat="false" ht="21" hidden="false" customHeight="true" outlineLevel="0" collapsed="false">
      <c r="A113" s="13"/>
      <c r="B113" s="14" t="s">
        <v>254</v>
      </c>
      <c r="C113" s="15" t="s">
        <v>255</v>
      </c>
      <c r="D113" s="14"/>
      <c r="E113" s="16" t="s">
        <v>256</v>
      </c>
      <c r="F113" s="15"/>
      <c r="G113" s="15" t="s">
        <v>202</v>
      </c>
      <c r="H113" s="15" t="s">
        <v>203</v>
      </c>
    </row>
    <row r="114" customFormat="false" ht="21" hidden="false" customHeight="true" outlineLevel="0" collapsed="false">
      <c r="A114" s="13"/>
      <c r="B114" s="14" t="s">
        <v>254</v>
      </c>
      <c r="C114" s="15" t="s">
        <v>257</v>
      </c>
      <c r="D114" s="14"/>
      <c r="E114" s="16" t="s">
        <v>258</v>
      </c>
      <c r="F114" s="15"/>
      <c r="G114" s="15" t="s">
        <v>202</v>
      </c>
      <c r="H114" s="15" t="s">
        <v>203</v>
      </c>
    </row>
    <row r="115" customFormat="false" ht="21" hidden="false" customHeight="true" outlineLevel="0" collapsed="false">
      <c r="A115" s="13"/>
      <c r="B115" s="14" t="s">
        <v>254</v>
      </c>
      <c r="C115" s="15" t="s">
        <v>259</v>
      </c>
      <c r="D115" s="14"/>
      <c r="E115" s="16" t="s">
        <v>260</v>
      </c>
      <c r="F115" s="15"/>
      <c r="G115" s="15" t="s">
        <v>202</v>
      </c>
      <c r="H115" s="15" t="s">
        <v>203</v>
      </c>
    </row>
    <row r="116" customFormat="false" ht="21" hidden="false" customHeight="true" outlineLevel="0" collapsed="false">
      <c r="A116" s="13"/>
      <c r="B116" s="14" t="s">
        <v>254</v>
      </c>
      <c r="C116" s="15" t="s">
        <v>261</v>
      </c>
      <c r="D116" s="14"/>
      <c r="E116" s="16" t="s">
        <v>262</v>
      </c>
      <c r="F116" s="15"/>
      <c r="G116" s="15" t="s">
        <v>202</v>
      </c>
      <c r="H116" s="15" t="s">
        <v>203</v>
      </c>
    </row>
    <row r="117" customFormat="false" ht="21" hidden="false" customHeight="true" outlineLevel="0" collapsed="false">
      <c r="A117" s="13"/>
      <c r="B117" s="14" t="s">
        <v>254</v>
      </c>
      <c r="C117" s="15" t="s">
        <v>263</v>
      </c>
      <c r="D117" s="14"/>
      <c r="E117" s="16" t="s">
        <v>264</v>
      </c>
      <c r="F117" s="15"/>
      <c r="G117" s="15" t="s">
        <v>202</v>
      </c>
      <c r="H117" s="15" t="s">
        <v>203</v>
      </c>
    </row>
    <row r="118" customFormat="false" ht="21" hidden="false" customHeight="true" outlineLevel="0" collapsed="false">
      <c r="A118" s="13"/>
      <c r="B118" s="14" t="s">
        <v>254</v>
      </c>
      <c r="C118" s="15" t="s">
        <v>265</v>
      </c>
      <c r="D118" s="14"/>
      <c r="E118" s="16" t="s">
        <v>266</v>
      </c>
      <c r="F118" s="15"/>
      <c r="G118" s="15" t="s">
        <v>202</v>
      </c>
      <c r="H118" s="15" t="s">
        <v>203</v>
      </c>
    </row>
    <row r="119" customFormat="false" ht="21" hidden="false" customHeight="true" outlineLevel="0" collapsed="false">
      <c r="A119" s="13"/>
      <c r="B119" s="14" t="s">
        <v>254</v>
      </c>
      <c r="C119" s="15" t="s">
        <v>267</v>
      </c>
      <c r="D119" s="14"/>
      <c r="E119" s="16" t="s">
        <v>268</v>
      </c>
      <c r="F119" s="15"/>
      <c r="G119" s="15" t="s">
        <v>202</v>
      </c>
      <c r="H119" s="15" t="s">
        <v>203</v>
      </c>
    </row>
    <row r="120" customFormat="false" ht="21" hidden="false" customHeight="true" outlineLevel="0" collapsed="false">
      <c r="A120" s="13"/>
      <c r="B120" s="14" t="s">
        <v>254</v>
      </c>
      <c r="C120" s="15" t="s">
        <v>269</v>
      </c>
      <c r="D120" s="14"/>
      <c r="E120" s="16" t="s">
        <v>270</v>
      </c>
      <c r="F120" s="15"/>
      <c r="G120" s="15" t="s">
        <v>202</v>
      </c>
      <c r="H120" s="15" t="s">
        <v>203</v>
      </c>
    </row>
    <row r="121" customFormat="false" ht="21" hidden="false" customHeight="true" outlineLevel="0" collapsed="false">
      <c r="A121" s="13"/>
      <c r="B121" s="14" t="s">
        <v>254</v>
      </c>
      <c r="C121" s="15" t="s">
        <v>271</v>
      </c>
      <c r="D121" s="14"/>
      <c r="E121" s="16" t="s">
        <v>272</v>
      </c>
      <c r="F121" s="15"/>
      <c r="G121" s="15" t="s">
        <v>202</v>
      </c>
      <c r="H121" s="15" t="s">
        <v>203</v>
      </c>
    </row>
    <row r="122" customFormat="false" ht="21" hidden="false" customHeight="true" outlineLevel="0" collapsed="false">
      <c r="A122" s="13"/>
      <c r="B122" s="14" t="s">
        <v>254</v>
      </c>
      <c r="C122" s="15" t="s">
        <v>273</v>
      </c>
      <c r="D122" s="14"/>
      <c r="E122" s="16" t="s">
        <v>274</v>
      </c>
      <c r="F122" s="15"/>
      <c r="G122" s="15" t="s">
        <v>202</v>
      </c>
      <c r="H122" s="15" t="s">
        <v>203</v>
      </c>
    </row>
    <row r="123" customFormat="false" ht="21" hidden="false" customHeight="true" outlineLevel="0" collapsed="false">
      <c r="A123" s="13"/>
      <c r="B123" s="14" t="s">
        <v>254</v>
      </c>
      <c r="C123" s="15" t="s">
        <v>275</v>
      </c>
      <c r="D123" s="14"/>
      <c r="E123" s="16" t="s">
        <v>276</v>
      </c>
      <c r="F123" s="15"/>
      <c r="G123" s="15" t="s">
        <v>202</v>
      </c>
      <c r="H123" s="15" t="s">
        <v>203</v>
      </c>
    </row>
    <row r="124" customFormat="false" ht="21" hidden="false" customHeight="true" outlineLevel="0" collapsed="false">
      <c r="A124" s="13"/>
      <c r="B124" s="14" t="s">
        <v>254</v>
      </c>
      <c r="C124" s="15" t="s">
        <v>277</v>
      </c>
      <c r="D124" s="14"/>
      <c r="E124" s="16" t="s">
        <v>278</v>
      </c>
      <c r="F124" s="15"/>
      <c r="G124" s="15" t="s">
        <v>202</v>
      </c>
      <c r="H124" s="15" t="s">
        <v>203</v>
      </c>
    </row>
    <row r="125" customFormat="false" ht="21" hidden="false" customHeight="true" outlineLevel="0" collapsed="false">
      <c r="A125" s="13"/>
      <c r="B125" s="14" t="s">
        <v>254</v>
      </c>
      <c r="C125" s="15" t="s">
        <v>279</v>
      </c>
      <c r="D125" s="14"/>
      <c r="E125" s="16" t="s">
        <v>280</v>
      </c>
      <c r="F125" s="15"/>
      <c r="G125" s="15" t="s">
        <v>202</v>
      </c>
      <c r="H125" s="15" t="s">
        <v>203</v>
      </c>
    </row>
    <row r="126" customFormat="false" ht="21" hidden="false" customHeight="true" outlineLevel="0" collapsed="false">
      <c r="A126" s="13"/>
      <c r="B126" s="14" t="s">
        <v>254</v>
      </c>
      <c r="C126" s="15" t="s">
        <v>281</v>
      </c>
      <c r="D126" s="14"/>
      <c r="E126" s="16" t="s">
        <v>282</v>
      </c>
      <c r="F126" s="15"/>
      <c r="G126" s="15" t="s">
        <v>202</v>
      </c>
      <c r="H126" s="15" t="s">
        <v>203</v>
      </c>
    </row>
    <row r="127" customFormat="false" ht="21" hidden="false" customHeight="true" outlineLevel="0" collapsed="false">
      <c r="A127" s="13"/>
      <c r="B127" s="14" t="s">
        <v>254</v>
      </c>
      <c r="C127" s="15" t="s">
        <v>283</v>
      </c>
      <c r="D127" s="14"/>
      <c r="E127" s="16" t="s">
        <v>284</v>
      </c>
      <c r="F127" s="15"/>
      <c r="G127" s="15" t="s">
        <v>202</v>
      </c>
      <c r="H127" s="15" t="s">
        <v>203</v>
      </c>
    </row>
    <row r="128" customFormat="false" ht="21" hidden="false" customHeight="true" outlineLevel="0" collapsed="false">
      <c r="A128" s="13"/>
      <c r="B128" s="14" t="s">
        <v>254</v>
      </c>
      <c r="C128" s="15" t="s">
        <v>285</v>
      </c>
      <c r="D128" s="14"/>
      <c r="E128" s="16" t="s">
        <v>286</v>
      </c>
      <c r="F128" s="15"/>
      <c r="G128" s="15" t="s">
        <v>202</v>
      </c>
      <c r="H128" s="15" t="s">
        <v>203</v>
      </c>
    </row>
    <row r="129" customFormat="false" ht="21" hidden="false" customHeight="true" outlineLevel="0" collapsed="false">
      <c r="A129" s="13"/>
      <c r="B129" s="14" t="s">
        <v>254</v>
      </c>
      <c r="C129" s="15" t="s">
        <v>287</v>
      </c>
      <c r="D129" s="14"/>
      <c r="E129" s="16" t="s">
        <v>288</v>
      </c>
      <c r="F129" s="15"/>
      <c r="G129" s="15" t="s">
        <v>202</v>
      </c>
      <c r="H129" s="15" t="s">
        <v>203</v>
      </c>
    </row>
    <row r="130" customFormat="false" ht="21" hidden="false" customHeight="true" outlineLevel="0" collapsed="false">
      <c r="A130" s="13"/>
      <c r="B130" s="14" t="s">
        <v>254</v>
      </c>
      <c r="C130" s="15" t="s">
        <v>289</v>
      </c>
      <c r="D130" s="14"/>
      <c r="E130" s="16" t="s">
        <v>290</v>
      </c>
      <c r="F130" s="15"/>
      <c r="G130" s="15" t="s">
        <v>202</v>
      </c>
      <c r="H130" s="15" t="s">
        <v>203</v>
      </c>
    </row>
    <row r="131" customFormat="false" ht="21" hidden="false" customHeight="true" outlineLevel="0" collapsed="false">
      <c r="A131" s="13"/>
      <c r="B131" s="14" t="s">
        <v>254</v>
      </c>
      <c r="C131" s="15" t="s">
        <v>291</v>
      </c>
      <c r="D131" s="14"/>
      <c r="E131" s="16" t="s">
        <v>292</v>
      </c>
      <c r="F131" s="15"/>
      <c r="G131" s="15" t="s">
        <v>202</v>
      </c>
      <c r="H131" s="15" t="s">
        <v>203</v>
      </c>
    </row>
    <row r="132" customFormat="false" ht="21" hidden="false" customHeight="true" outlineLevel="0" collapsed="false">
      <c r="A132" s="13"/>
      <c r="B132" s="14" t="s">
        <v>254</v>
      </c>
      <c r="C132" s="15" t="s">
        <v>293</v>
      </c>
      <c r="D132" s="14"/>
      <c r="E132" s="16" t="s">
        <v>294</v>
      </c>
      <c r="F132" s="15"/>
      <c r="G132" s="15" t="s">
        <v>202</v>
      </c>
      <c r="H132" s="15" t="s">
        <v>203</v>
      </c>
    </row>
    <row r="133" customFormat="false" ht="21" hidden="false" customHeight="true" outlineLevel="0" collapsed="false">
      <c r="A133" s="13"/>
      <c r="B133" s="14" t="s">
        <v>254</v>
      </c>
      <c r="C133" s="15" t="s">
        <v>295</v>
      </c>
      <c r="D133" s="14"/>
      <c r="E133" s="16" t="s">
        <v>296</v>
      </c>
      <c r="F133" s="15"/>
      <c r="G133" s="15" t="s">
        <v>202</v>
      </c>
      <c r="H133" s="15" t="s">
        <v>203</v>
      </c>
    </row>
    <row r="134" customFormat="false" ht="21" hidden="false" customHeight="true" outlineLevel="0" collapsed="false">
      <c r="A134" s="13"/>
      <c r="B134" s="14" t="s">
        <v>254</v>
      </c>
      <c r="C134" s="15" t="s">
        <v>297</v>
      </c>
      <c r="D134" s="14"/>
      <c r="E134" s="16" t="s">
        <v>298</v>
      </c>
      <c r="F134" s="15" t="s">
        <v>299</v>
      </c>
      <c r="G134" s="15" t="s">
        <v>202</v>
      </c>
      <c r="H134" s="15" t="s">
        <v>300</v>
      </c>
    </row>
    <row r="135" customFormat="false" ht="21" hidden="false" customHeight="true" outlineLevel="0" collapsed="false">
      <c r="A135" s="13"/>
      <c r="B135" s="14" t="s">
        <v>254</v>
      </c>
      <c r="C135" s="15" t="s">
        <v>301</v>
      </c>
      <c r="D135" s="14"/>
      <c r="E135" s="16" t="s">
        <v>298</v>
      </c>
      <c r="F135" s="15" t="s">
        <v>299</v>
      </c>
      <c r="G135" s="15" t="s">
        <v>202</v>
      </c>
      <c r="H135" s="15" t="s">
        <v>300</v>
      </c>
    </row>
    <row r="136" customFormat="false" ht="21" hidden="false" customHeight="true" outlineLevel="0" collapsed="false">
      <c r="A136" s="13"/>
      <c r="B136" s="14" t="s">
        <v>254</v>
      </c>
      <c r="C136" s="15" t="s">
        <v>302</v>
      </c>
      <c r="D136" s="14"/>
      <c r="E136" s="16" t="s">
        <v>298</v>
      </c>
      <c r="F136" s="15" t="s">
        <v>299</v>
      </c>
      <c r="G136" s="15" t="s">
        <v>202</v>
      </c>
      <c r="H136" s="15" t="s">
        <v>300</v>
      </c>
    </row>
    <row r="137" customFormat="false" ht="21" hidden="false" customHeight="true" outlineLevel="0" collapsed="false">
      <c r="A137" s="13"/>
      <c r="B137" s="14" t="s">
        <v>254</v>
      </c>
      <c r="C137" s="15" t="s">
        <v>303</v>
      </c>
      <c r="D137" s="14"/>
      <c r="E137" s="16" t="s">
        <v>298</v>
      </c>
      <c r="F137" s="15" t="s">
        <v>299</v>
      </c>
      <c r="G137" s="15" t="s">
        <v>202</v>
      </c>
      <c r="H137" s="15" t="s">
        <v>300</v>
      </c>
    </row>
    <row r="138" customFormat="false" ht="21" hidden="false" customHeight="true" outlineLevel="0" collapsed="false">
      <c r="A138" s="13"/>
      <c r="B138" s="14" t="s">
        <v>254</v>
      </c>
      <c r="C138" s="15" t="s">
        <v>304</v>
      </c>
      <c r="D138" s="14"/>
      <c r="E138" s="16" t="s">
        <v>298</v>
      </c>
      <c r="F138" s="15" t="s">
        <v>305</v>
      </c>
      <c r="G138" s="15" t="s">
        <v>202</v>
      </c>
      <c r="H138" s="15" t="s">
        <v>306</v>
      </c>
    </row>
    <row r="139" customFormat="false" ht="21" hidden="false" customHeight="true" outlineLevel="0" collapsed="false">
      <c r="A139" s="13"/>
      <c r="B139" s="14" t="s">
        <v>105</v>
      </c>
      <c r="C139" s="15" t="s">
        <v>307</v>
      </c>
      <c r="D139" s="14"/>
      <c r="E139" s="16" t="s">
        <v>308</v>
      </c>
      <c r="F139" s="15"/>
      <c r="G139" s="15" t="s">
        <v>202</v>
      </c>
      <c r="H139" s="15"/>
    </row>
    <row r="140" customFormat="false" ht="21" hidden="false" customHeight="true" outlineLevel="0" collapsed="false">
      <c r="A140" s="13"/>
      <c r="B140" s="14" t="s">
        <v>105</v>
      </c>
      <c r="C140" s="15" t="s">
        <v>309</v>
      </c>
      <c r="D140" s="14"/>
      <c r="E140" s="16" t="s">
        <v>310</v>
      </c>
      <c r="F140" s="15"/>
      <c r="G140" s="15" t="s">
        <v>202</v>
      </c>
      <c r="H140" s="15"/>
    </row>
    <row r="141" customFormat="false" ht="21" hidden="false" customHeight="true" outlineLevel="0" collapsed="false">
      <c r="A141" s="13"/>
      <c r="B141" s="14" t="s">
        <v>105</v>
      </c>
      <c r="C141" s="15" t="s">
        <v>311</v>
      </c>
      <c r="D141" s="14"/>
      <c r="E141" s="16" t="s">
        <v>312</v>
      </c>
      <c r="F141" s="15"/>
      <c r="G141" s="15" t="s">
        <v>202</v>
      </c>
      <c r="H141" s="15"/>
    </row>
    <row r="142" customFormat="false" ht="21" hidden="false" customHeight="true" outlineLevel="0" collapsed="false">
      <c r="A142" s="13"/>
      <c r="B142" s="14" t="s">
        <v>105</v>
      </c>
      <c r="C142" s="15" t="s">
        <v>313</v>
      </c>
      <c r="D142" s="14"/>
      <c r="E142" s="16" t="s">
        <v>314</v>
      </c>
      <c r="F142" s="15"/>
      <c r="G142" s="15" t="s">
        <v>202</v>
      </c>
      <c r="H142" s="15"/>
    </row>
    <row r="143" customFormat="false" ht="21" hidden="false" customHeight="true" outlineLevel="0" collapsed="false">
      <c r="A143" s="13"/>
      <c r="B143" s="14" t="s">
        <v>315</v>
      </c>
      <c r="C143" s="15" t="s">
        <v>316</v>
      </c>
      <c r="D143" s="14"/>
      <c r="E143" s="16"/>
      <c r="F143" s="15"/>
      <c r="G143" s="15" t="s">
        <v>317</v>
      </c>
      <c r="H143" s="15"/>
    </row>
    <row r="144" customFormat="false" ht="21" hidden="false" customHeight="true" outlineLevel="0" collapsed="false">
      <c r="A144" s="13"/>
      <c r="B144" s="14" t="s">
        <v>315</v>
      </c>
      <c r="C144" s="15" t="s">
        <v>318</v>
      </c>
      <c r="D144" s="14"/>
      <c r="E144" s="16"/>
      <c r="F144" s="15"/>
      <c r="G144" s="15" t="s">
        <v>317</v>
      </c>
      <c r="H144" s="15"/>
    </row>
    <row r="145" customFormat="false" ht="21" hidden="false" customHeight="true" outlineLevel="0" collapsed="false">
      <c r="A145" s="13"/>
      <c r="B145" s="14" t="s">
        <v>315</v>
      </c>
      <c r="C145" s="15" t="s">
        <v>319</v>
      </c>
      <c r="D145" s="14"/>
      <c r="E145" s="16"/>
      <c r="F145" s="15"/>
      <c r="G145" s="15" t="s">
        <v>317</v>
      </c>
      <c r="H145" s="15"/>
    </row>
    <row r="146" customFormat="false" ht="21" hidden="false" customHeight="true" outlineLevel="0" collapsed="false">
      <c r="A146" s="13"/>
      <c r="B146" s="14" t="s">
        <v>315</v>
      </c>
      <c r="C146" s="15" t="s">
        <v>320</v>
      </c>
      <c r="D146" s="14"/>
      <c r="E146" s="16"/>
      <c r="F146" s="15"/>
      <c r="G146" s="15" t="s">
        <v>317</v>
      </c>
      <c r="H146" s="15"/>
    </row>
    <row r="147" customFormat="false" ht="21" hidden="false" customHeight="true" outlineLevel="0" collapsed="false">
      <c r="A147" s="13"/>
      <c r="B147" s="14" t="s">
        <v>315</v>
      </c>
      <c r="C147" s="15" t="s">
        <v>321</v>
      </c>
      <c r="D147" s="14"/>
      <c r="E147" s="16"/>
      <c r="F147" s="15"/>
      <c r="G147" s="15" t="s">
        <v>317</v>
      </c>
      <c r="H147" s="15"/>
    </row>
    <row r="148" customFormat="false" ht="21" hidden="false" customHeight="true" outlineLevel="0" collapsed="false">
      <c r="A148" s="13"/>
      <c r="B148" s="14" t="s">
        <v>315</v>
      </c>
      <c r="C148" s="15" t="s">
        <v>322</v>
      </c>
      <c r="D148" s="14"/>
      <c r="E148" s="16"/>
      <c r="F148" s="15"/>
      <c r="G148" s="15" t="s">
        <v>317</v>
      </c>
      <c r="H148" s="15"/>
    </row>
    <row r="149" customFormat="false" ht="21" hidden="false" customHeight="true" outlineLevel="0" collapsed="false">
      <c r="A149" s="13"/>
      <c r="B149" s="14" t="s">
        <v>315</v>
      </c>
      <c r="C149" s="15" t="s">
        <v>323</v>
      </c>
      <c r="D149" s="14"/>
      <c r="E149" s="16"/>
      <c r="F149" s="15"/>
      <c r="G149" s="15" t="s">
        <v>317</v>
      </c>
      <c r="H149" s="15"/>
    </row>
    <row r="150" customFormat="false" ht="21" hidden="false" customHeight="true" outlineLevel="0" collapsed="false">
      <c r="A150" s="13"/>
      <c r="B150" s="14" t="s">
        <v>315</v>
      </c>
      <c r="C150" s="15" t="s">
        <v>324</v>
      </c>
      <c r="D150" s="14"/>
      <c r="E150" s="16"/>
      <c r="F150" s="15"/>
      <c r="G150" s="15" t="s">
        <v>317</v>
      </c>
      <c r="H150" s="15"/>
    </row>
    <row r="151" customFormat="false" ht="21" hidden="false" customHeight="true" outlineLevel="0" collapsed="false">
      <c r="A151" s="13"/>
      <c r="B151" s="14" t="s">
        <v>315</v>
      </c>
      <c r="C151" s="15" t="s">
        <v>325</v>
      </c>
      <c r="D151" s="14"/>
      <c r="E151" s="16"/>
      <c r="F151" s="15"/>
      <c r="G151" s="15" t="s">
        <v>317</v>
      </c>
      <c r="H151" s="15"/>
    </row>
    <row r="152" customFormat="false" ht="21" hidden="false" customHeight="true" outlineLevel="0" collapsed="false">
      <c r="A152" s="13"/>
      <c r="B152" s="14" t="s">
        <v>315</v>
      </c>
      <c r="C152" s="15" t="s">
        <v>326</v>
      </c>
      <c r="D152" s="14"/>
      <c r="E152" s="16"/>
      <c r="F152" s="15"/>
      <c r="G152" s="15" t="s">
        <v>317</v>
      </c>
      <c r="H152" s="15"/>
    </row>
    <row r="153" customFormat="false" ht="21" hidden="false" customHeight="true" outlineLevel="0" collapsed="false">
      <c r="A153" s="13"/>
      <c r="B153" s="14" t="s">
        <v>315</v>
      </c>
      <c r="C153" s="15" t="s">
        <v>327</v>
      </c>
      <c r="D153" s="14"/>
      <c r="E153" s="16"/>
      <c r="F153" s="15"/>
      <c r="G153" s="15" t="s">
        <v>317</v>
      </c>
      <c r="H153" s="15"/>
    </row>
    <row r="154" customFormat="false" ht="21" hidden="false" customHeight="true" outlineLevel="0" collapsed="false">
      <c r="A154" s="13"/>
      <c r="B154" s="14" t="s">
        <v>315</v>
      </c>
      <c r="C154" s="15" t="s">
        <v>328</v>
      </c>
      <c r="D154" s="14"/>
      <c r="E154" s="16"/>
      <c r="F154" s="15"/>
      <c r="G154" s="15" t="s">
        <v>317</v>
      </c>
      <c r="H154" s="15"/>
    </row>
    <row r="155" customFormat="false" ht="21" hidden="false" customHeight="true" outlineLevel="0" collapsed="false">
      <c r="A155" s="13"/>
      <c r="B155" s="14" t="s">
        <v>315</v>
      </c>
      <c r="C155" s="15" t="s">
        <v>329</v>
      </c>
      <c r="D155" s="14"/>
      <c r="E155" s="16"/>
      <c r="F155" s="15"/>
      <c r="G155" s="15" t="s">
        <v>317</v>
      </c>
      <c r="H155" s="15"/>
    </row>
    <row r="156" customFormat="false" ht="21" hidden="false" customHeight="true" outlineLevel="0" collapsed="false">
      <c r="A156" s="13"/>
      <c r="B156" s="14" t="s">
        <v>315</v>
      </c>
      <c r="C156" s="15" t="s">
        <v>330</v>
      </c>
      <c r="D156" s="14"/>
      <c r="E156" s="16"/>
      <c r="F156" s="15"/>
      <c r="G156" s="15" t="s">
        <v>317</v>
      </c>
      <c r="H156" s="15"/>
    </row>
    <row r="157" customFormat="false" ht="21" hidden="false" customHeight="true" outlineLevel="0" collapsed="false">
      <c r="A157" s="13"/>
      <c r="B157" s="14" t="s">
        <v>315</v>
      </c>
      <c r="C157" s="15" t="s">
        <v>331</v>
      </c>
      <c r="D157" s="14"/>
      <c r="E157" s="16"/>
      <c r="F157" s="15"/>
      <c r="G157" s="15" t="s">
        <v>317</v>
      </c>
      <c r="H157" s="15"/>
    </row>
    <row r="158" customFormat="false" ht="21" hidden="false" customHeight="true" outlineLevel="0" collapsed="false">
      <c r="A158" s="13"/>
      <c r="B158" s="14" t="s">
        <v>315</v>
      </c>
      <c r="C158" s="15" t="s">
        <v>332</v>
      </c>
      <c r="D158" s="14"/>
      <c r="E158" s="16"/>
      <c r="F158" s="15"/>
      <c r="G158" s="15" t="s">
        <v>317</v>
      </c>
      <c r="H158" s="15"/>
    </row>
    <row r="159" customFormat="false" ht="21" hidden="false" customHeight="true" outlineLevel="0" collapsed="false">
      <c r="A159" s="13"/>
      <c r="B159" s="14" t="s">
        <v>315</v>
      </c>
      <c r="C159" s="15" t="s">
        <v>333</v>
      </c>
      <c r="D159" s="14"/>
      <c r="E159" s="16"/>
      <c r="F159" s="15"/>
      <c r="G159" s="15" t="s">
        <v>317</v>
      </c>
      <c r="H159" s="15"/>
    </row>
    <row r="160" customFormat="false" ht="21" hidden="false" customHeight="true" outlineLevel="0" collapsed="false">
      <c r="A160" s="13"/>
      <c r="B160" s="14" t="s">
        <v>315</v>
      </c>
      <c r="C160" s="15" t="s">
        <v>334</v>
      </c>
      <c r="D160" s="14"/>
      <c r="E160" s="16"/>
      <c r="F160" s="15"/>
      <c r="G160" s="15" t="s">
        <v>317</v>
      </c>
      <c r="H160" s="15"/>
    </row>
    <row r="161" customFormat="false" ht="21" hidden="false" customHeight="true" outlineLevel="0" collapsed="false">
      <c r="A161" s="13"/>
      <c r="B161" s="14" t="s">
        <v>315</v>
      </c>
      <c r="C161" s="15" t="s">
        <v>335</v>
      </c>
      <c r="D161" s="14"/>
      <c r="E161" s="16"/>
      <c r="F161" s="15"/>
      <c r="G161" s="15" t="s">
        <v>317</v>
      </c>
      <c r="H161" s="15"/>
    </row>
    <row r="162" customFormat="false" ht="21" hidden="false" customHeight="true" outlineLevel="0" collapsed="false">
      <c r="A162" s="13"/>
      <c r="B162" s="14" t="s">
        <v>315</v>
      </c>
      <c r="C162" s="15" t="s">
        <v>336</v>
      </c>
      <c r="D162" s="14"/>
      <c r="E162" s="16"/>
      <c r="F162" s="15"/>
      <c r="G162" s="15" t="s">
        <v>317</v>
      </c>
      <c r="H162" s="15"/>
    </row>
    <row r="163" customFormat="false" ht="21" hidden="false" customHeight="true" outlineLevel="0" collapsed="false">
      <c r="A163" s="13"/>
      <c r="B163" s="14" t="s">
        <v>315</v>
      </c>
      <c r="C163" s="15" t="s">
        <v>337</v>
      </c>
      <c r="D163" s="14"/>
      <c r="E163" s="16"/>
      <c r="F163" s="15"/>
      <c r="G163" s="15" t="s">
        <v>317</v>
      </c>
      <c r="H163" s="15"/>
    </row>
    <row r="164" customFormat="false" ht="21" hidden="false" customHeight="true" outlineLevel="0" collapsed="false">
      <c r="A164" s="13"/>
      <c r="B164" s="14" t="s">
        <v>315</v>
      </c>
      <c r="C164" s="15" t="s">
        <v>338</v>
      </c>
      <c r="D164" s="14"/>
      <c r="E164" s="16"/>
      <c r="F164" s="15"/>
      <c r="G164" s="15" t="s">
        <v>317</v>
      </c>
      <c r="H164" s="15"/>
    </row>
    <row r="165" customFormat="false" ht="21" hidden="false" customHeight="true" outlineLevel="0" collapsed="false">
      <c r="A165" s="13"/>
      <c r="B165" s="14" t="s">
        <v>315</v>
      </c>
      <c r="C165" s="15" t="s">
        <v>339</v>
      </c>
      <c r="D165" s="14"/>
      <c r="E165" s="16"/>
      <c r="F165" s="15"/>
      <c r="G165" s="15" t="s">
        <v>317</v>
      </c>
      <c r="H165" s="15"/>
    </row>
    <row r="166" customFormat="false" ht="21" hidden="false" customHeight="true" outlineLevel="0" collapsed="false">
      <c r="A166" s="13"/>
      <c r="B166" s="14" t="s">
        <v>315</v>
      </c>
      <c r="C166" s="15" t="s">
        <v>340</v>
      </c>
      <c r="D166" s="14"/>
      <c r="E166" s="16"/>
      <c r="F166" s="15"/>
      <c r="G166" s="15" t="s">
        <v>317</v>
      </c>
      <c r="H166" s="15"/>
    </row>
    <row r="167" customFormat="false" ht="21" hidden="false" customHeight="true" outlineLevel="0" collapsed="false">
      <c r="A167" s="13"/>
      <c r="B167" s="14" t="s">
        <v>315</v>
      </c>
      <c r="C167" s="15" t="s">
        <v>341</v>
      </c>
      <c r="D167" s="14"/>
      <c r="E167" s="16"/>
      <c r="F167" s="15"/>
      <c r="G167" s="15" t="s">
        <v>317</v>
      </c>
      <c r="H167" s="15"/>
    </row>
    <row r="168" customFormat="false" ht="21" hidden="false" customHeight="true" outlineLevel="0" collapsed="false">
      <c r="A168" s="13"/>
      <c r="B168" s="14" t="s">
        <v>315</v>
      </c>
      <c r="C168" s="15" t="s">
        <v>342</v>
      </c>
      <c r="D168" s="14"/>
      <c r="E168" s="16"/>
      <c r="F168" s="15"/>
      <c r="G168" s="15" t="s">
        <v>317</v>
      </c>
      <c r="H168" s="15"/>
    </row>
    <row r="169" customFormat="false" ht="21" hidden="false" customHeight="true" outlineLevel="0" collapsed="false">
      <c r="A169" s="13"/>
      <c r="B169" s="14" t="s">
        <v>315</v>
      </c>
      <c r="C169" s="15" t="s">
        <v>343</v>
      </c>
      <c r="D169" s="14"/>
      <c r="E169" s="16"/>
      <c r="F169" s="15"/>
      <c r="G169" s="15" t="s">
        <v>317</v>
      </c>
      <c r="H169" s="15"/>
    </row>
    <row r="170" customFormat="false" ht="21" hidden="false" customHeight="true" outlineLevel="0" collapsed="false">
      <c r="A170" s="13"/>
      <c r="B170" s="14" t="s">
        <v>315</v>
      </c>
      <c r="C170" s="15" t="s">
        <v>344</v>
      </c>
      <c r="D170" s="14"/>
      <c r="E170" s="16"/>
      <c r="F170" s="15"/>
      <c r="G170" s="15" t="s">
        <v>317</v>
      </c>
      <c r="H170" s="15"/>
    </row>
    <row r="171" customFormat="false" ht="21" hidden="false" customHeight="true" outlineLevel="0" collapsed="false">
      <c r="A171" s="13"/>
      <c r="B171" s="14" t="s">
        <v>315</v>
      </c>
      <c r="C171" s="15" t="s">
        <v>345</v>
      </c>
      <c r="D171" s="14"/>
      <c r="E171" s="16"/>
      <c r="F171" s="15"/>
      <c r="G171" s="15" t="s">
        <v>317</v>
      </c>
      <c r="H171" s="15"/>
    </row>
    <row r="172" customFormat="false" ht="21" hidden="false" customHeight="true" outlineLevel="0" collapsed="false">
      <c r="A172" s="13"/>
      <c r="B172" s="14" t="s">
        <v>315</v>
      </c>
      <c r="C172" s="15" t="s">
        <v>346</v>
      </c>
      <c r="D172" s="14"/>
      <c r="E172" s="16"/>
      <c r="F172" s="15"/>
      <c r="G172" s="15" t="s">
        <v>317</v>
      </c>
      <c r="H172" s="15"/>
    </row>
    <row r="173" customFormat="false" ht="21" hidden="false" customHeight="true" outlineLevel="0" collapsed="false">
      <c r="A173" s="13"/>
      <c r="B173" s="14" t="s">
        <v>315</v>
      </c>
      <c r="C173" s="15" t="s">
        <v>347</v>
      </c>
      <c r="D173" s="14"/>
      <c r="E173" s="16"/>
      <c r="F173" s="15"/>
      <c r="G173" s="15" t="s">
        <v>317</v>
      </c>
      <c r="H173" s="15"/>
    </row>
    <row r="174" customFormat="false" ht="21" hidden="false" customHeight="true" outlineLevel="0" collapsed="false">
      <c r="A174" s="13"/>
      <c r="B174" s="14" t="s">
        <v>315</v>
      </c>
      <c r="C174" s="15" t="s">
        <v>348</v>
      </c>
      <c r="D174" s="14"/>
      <c r="E174" s="16"/>
      <c r="F174" s="15"/>
      <c r="G174" s="15" t="s">
        <v>317</v>
      </c>
      <c r="H174" s="15"/>
    </row>
    <row r="175" customFormat="false" ht="21" hidden="false" customHeight="true" outlineLevel="0" collapsed="false">
      <c r="A175" s="13"/>
      <c r="B175" s="14" t="s">
        <v>315</v>
      </c>
      <c r="C175" s="15" t="s">
        <v>349</v>
      </c>
      <c r="D175" s="14"/>
      <c r="E175" s="16"/>
      <c r="F175" s="15"/>
      <c r="G175" s="15" t="s">
        <v>317</v>
      </c>
      <c r="H175" s="15"/>
    </row>
    <row r="176" customFormat="false" ht="21" hidden="false" customHeight="true" outlineLevel="0" collapsed="false">
      <c r="A176" s="13"/>
      <c r="B176" s="14" t="s">
        <v>315</v>
      </c>
      <c r="C176" s="15" t="s">
        <v>350</v>
      </c>
      <c r="D176" s="14"/>
      <c r="E176" s="16"/>
      <c r="F176" s="15"/>
      <c r="G176" s="15" t="s">
        <v>317</v>
      </c>
      <c r="H176" s="15"/>
    </row>
    <row r="177" customFormat="false" ht="21" hidden="false" customHeight="true" outlineLevel="0" collapsed="false">
      <c r="A177" s="13"/>
      <c r="B177" s="14" t="s">
        <v>351</v>
      </c>
      <c r="C177" s="15" t="s">
        <v>352</v>
      </c>
      <c r="D177" s="14"/>
      <c r="E177" s="16"/>
      <c r="F177" s="15"/>
      <c r="G177" s="15" t="s">
        <v>353</v>
      </c>
      <c r="H177" s="15"/>
    </row>
    <row r="178" customFormat="false" ht="21" hidden="false" customHeight="true" outlineLevel="0" collapsed="false">
      <c r="A178" s="13" t="n">
        <v>46258</v>
      </c>
      <c r="B178" s="14" t="s">
        <v>354</v>
      </c>
      <c r="C178" s="15" t="s">
        <v>355</v>
      </c>
      <c r="D178" s="14" t="s">
        <v>356</v>
      </c>
      <c r="E178" s="16" t="s">
        <v>357</v>
      </c>
      <c r="F178" s="15" t="s">
        <v>358</v>
      </c>
      <c r="G178" s="15" t="s">
        <v>359</v>
      </c>
      <c r="H178" s="15"/>
    </row>
    <row r="179" customFormat="false" ht="21" hidden="false" customHeight="true" outlineLevel="0" collapsed="false">
      <c r="A179" s="13" t="n">
        <v>46258</v>
      </c>
      <c r="B179" s="14" t="s">
        <v>354</v>
      </c>
      <c r="C179" s="15" t="s">
        <v>360</v>
      </c>
      <c r="D179" s="14" t="s">
        <v>356</v>
      </c>
      <c r="E179" s="16" t="s">
        <v>361</v>
      </c>
      <c r="F179" s="15" t="s">
        <v>358</v>
      </c>
      <c r="G179" s="15" t="s">
        <v>359</v>
      </c>
      <c r="H179" s="15"/>
    </row>
    <row r="180" customFormat="false" ht="21" hidden="false" customHeight="true" outlineLevel="0" collapsed="false">
      <c r="A180" s="13" t="n">
        <v>46259</v>
      </c>
      <c r="B180" s="14" t="s">
        <v>79</v>
      </c>
      <c r="C180" s="15" t="s">
        <v>362</v>
      </c>
      <c r="D180" s="14" t="s">
        <v>356</v>
      </c>
      <c r="E180" s="16" t="s">
        <v>363</v>
      </c>
      <c r="F180" s="15" t="s">
        <v>364</v>
      </c>
      <c r="G180" s="15" t="s">
        <v>38</v>
      </c>
      <c r="H180" s="15" t="s">
        <v>365</v>
      </c>
    </row>
    <row r="181" customFormat="false" ht="21" hidden="false" customHeight="true" outlineLevel="0" collapsed="false">
      <c r="A181" s="13" t="n">
        <v>46259</v>
      </c>
      <c r="B181" s="14" t="s">
        <v>79</v>
      </c>
      <c r="C181" s="15" t="s">
        <v>366</v>
      </c>
      <c r="D181" s="14" t="s">
        <v>356</v>
      </c>
      <c r="E181" s="16" t="s">
        <v>367</v>
      </c>
      <c r="F181" s="15" t="s">
        <v>364</v>
      </c>
      <c r="G181" s="15" t="s">
        <v>38</v>
      </c>
      <c r="H181" s="15" t="s">
        <v>365</v>
      </c>
    </row>
    <row r="182" customFormat="false" ht="21" hidden="false" customHeight="true" outlineLevel="0" collapsed="false">
      <c r="A182" s="13" t="n">
        <v>46259</v>
      </c>
      <c r="B182" s="14" t="s">
        <v>79</v>
      </c>
      <c r="C182" s="15" t="s">
        <v>368</v>
      </c>
      <c r="D182" s="14" t="s">
        <v>356</v>
      </c>
      <c r="E182" s="16"/>
      <c r="F182" s="15" t="s">
        <v>364</v>
      </c>
      <c r="G182" s="15" t="s">
        <v>38</v>
      </c>
      <c r="H182" s="15" t="s">
        <v>365</v>
      </c>
    </row>
    <row r="183" customFormat="false" ht="21" hidden="false" customHeight="true" outlineLevel="0" collapsed="false">
      <c r="A183" s="13" t="n">
        <v>46259</v>
      </c>
      <c r="B183" s="14" t="s">
        <v>79</v>
      </c>
      <c r="C183" s="15" t="s">
        <v>369</v>
      </c>
      <c r="D183" s="14" t="s">
        <v>356</v>
      </c>
      <c r="E183" s="16"/>
      <c r="F183" s="15" t="s">
        <v>364</v>
      </c>
      <c r="G183" s="15" t="s">
        <v>38</v>
      </c>
      <c r="H183" s="15" t="s">
        <v>365</v>
      </c>
    </row>
    <row r="184" customFormat="false" ht="21" hidden="false" customHeight="true" outlineLevel="0" collapsed="false">
      <c r="A184" s="13" t="n">
        <v>46259</v>
      </c>
      <c r="B184" s="14" t="s">
        <v>79</v>
      </c>
      <c r="C184" s="15" t="s">
        <v>370</v>
      </c>
      <c r="D184" s="14" t="s">
        <v>356</v>
      </c>
      <c r="E184" s="16"/>
      <c r="F184" s="15" t="s">
        <v>364</v>
      </c>
      <c r="G184" s="15" t="s">
        <v>38</v>
      </c>
      <c r="H184" s="15" t="s">
        <v>365</v>
      </c>
    </row>
    <row r="185" customFormat="false" ht="21" hidden="false" customHeight="true" outlineLevel="0" collapsed="false">
      <c r="A185" s="13" t="n">
        <v>46259</v>
      </c>
      <c r="B185" s="14" t="s">
        <v>354</v>
      </c>
      <c r="C185" s="15" t="s">
        <v>371</v>
      </c>
      <c r="D185" s="14" t="s">
        <v>356</v>
      </c>
      <c r="E185" s="16" t="s">
        <v>372</v>
      </c>
      <c r="F185" s="15" t="s">
        <v>358</v>
      </c>
      <c r="G185" s="15" t="s">
        <v>359</v>
      </c>
      <c r="H185" s="15"/>
    </row>
    <row r="186" customFormat="false" ht="21" hidden="false" customHeight="true" outlineLevel="0" collapsed="false">
      <c r="A186" s="13" t="n">
        <v>46259</v>
      </c>
      <c r="B186" s="14" t="s">
        <v>373</v>
      </c>
      <c r="C186" s="15" t="s">
        <v>374</v>
      </c>
      <c r="D186" s="14" t="s">
        <v>356</v>
      </c>
      <c r="E186" s="16"/>
      <c r="F186" s="15" t="s">
        <v>375</v>
      </c>
      <c r="G186" s="15" t="s">
        <v>143</v>
      </c>
      <c r="H186" s="15" t="s">
        <v>25</v>
      </c>
    </row>
    <row r="187" customFormat="false" ht="21" hidden="false" customHeight="true" outlineLevel="0" collapsed="false">
      <c r="A187" s="13" t="n">
        <v>46259</v>
      </c>
      <c r="B187" s="14" t="s">
        <v>373</v>
      </c>
      <c r="C187" s="15" t="s">
        <v>376</v>
      </c>
      <c r="D187" s="14" t="s">
        <v>356</v>
      </c>
      <c r="E187" s="16"/>
      <c r="F187" s="15" t="s">
        <v>375</v>
      </c>
      <c r="G187" s="15" t="s">
        <v>143</v>
      </c>
      <c r="H187" s="15" t="s">
        <v>25</v>
      </c>
    </row>
    <row r="188" customFormat="false" ht="21" hidden="false" customHeight="true" outlineLevel="0" collapsed="false">
      <c r="A188" s="13" t="n">
        <v>46260</v>
      </c>
      <c r="B188" s="14" t="s">
        <v>377</v>
      </c>
      <c r="C188" s="15" t="s">
        <v>378</v>
      </c>
      <c r="D188" s="14" t="s">
        <v>356</v>
      </c>
      <c r="E188" s="16" t="s">
        <v>379</v>
      </c>
      <c r="F188" s="15" t="s">
        <v>183</v>
      </c>
      <c r="G188" s="15" t="s">
        <v>176</v>
      </c>
      <c r="H188" s="15" t="s">
        <v>380</v>
      </c>
    </row>
    <row r="189" customFormat="false" ht="21" hidden="false" customHeight="true" outlineLevel="0" collapsed="false">
      <c r="A189" s="13" t="n">
        <v>46260</v>
      </c>
      <c r="B189" s="14" t="s">
        <v>15</v>
      </c>
      <c r="C189" s="15" t="s">
        <v>381</v>
      </c>
      <c r="D189" s="14" t="s">
        <v>356</v>
      </c>
      <c r="E189" s="16" t="s">
        <v>382</v>
      </c>
      <c r="F189" s="15" t="s">
        <v>71</v>
      </c>
      <c r="G189" s="15" t="s">
        <v>383</v>
      </c>
      <c r="H189" s="15"/>
    </row>
    <row r="190" customFormat="false" ht="21" hidden="false" customHeight="true" outlineLevel="0" collapsed="false">
      <c r="A190" s="13" t="n">
        <v>46260</v>
      </c>
      <c r="B190" s="14" t="s">
        <v>79</v>
      </c>
      <c r="C190" s="15" t="s">
        <v>384</v>
      </c>
      <c r="D190" s="14" t="s">
        <v>356</v>
      </c>
      <c r="E190" s="16"/>
      <c r="F190" s="15" t="s">
        <v>364</v>
      </c>
      <c r="G190" s="15" t="s">
        <v>38</v>
      </c>
      <c r="H190" s="15" t="s">
        <v>365</v>
      </c>
    </row>
    <row r="191" customFormat="false" ht="21" hidden="false" customHeight="true" outlineLevel="0" collapsed="false">
      <c r="A191" s="13" t="n">
        <v>46260</v>
      </c>
      <c r="B191" s="14" t="s">
        <v>79</v>
      </c>
      <c r="C191" s="15" t="s">
        <v>385</v>
      </c>
      <c r="D191" s="14" t="s">
        <v>356</v>
      </c>
      <c r="E191" s="16"/>
      <c r="F191" s="15" t="s">
        <v>364</v>
      </c>
      <c r="G191" s="15" t="s">
        <v>38</v>
      </c>
      <c r="H191" s="15" t="s">
        <v>365</v>
      </c>
    </row>
    <row r="192" customFormat="false" ht="21" hidden="false" customHeight="true" outlineLevel="0" collapsed="false">
      <c r="A192" s="13" t="n">
        <v>46260</v>
      </c>
      <c r="B192" s="14" t="s">
        <v>79</v>
      </c>
      <c r="C192" s="15" t="s">
        <v>386</v>
      </c>
      <c r="D192" s="14" t="s">
        <v>356</v>
      </c>
      <c r="E192" s="16"/>
      <c r="F192" s="15" t="s">
        <v>364</v>
      </c>
      <c r="G192" s="15" t="s">
        <v>38</v>
      </c>
      <c r="H192" s="15" t="s">
        <v>365</v>
      </c>
    </row>
    <row r="193" customFormat="false" ht="21" hidden="false" customHeight="true" outlineLevel="0" collapsed="false">
      <c r="A193" s="13" t="n">
        <v>46260</v>
      </c>
      <c r="B193" s="14" t="s">
        <v>79</v>
      </c>
      <c r="C193" s="15" t="s">
        <v>387</v>
      </c>
      <c r="D193" s="14" t="s">
        <v>356</v>
      </c>
      <c r="E193" s="16"/>
      <c r="F193" s="15" t="s">
        <v>364</v>
      </c>
      <c r="G193" s="15" t="s">
        <v>38</v>
      </c>
      <c r="H193" s="15" t="s">
        <v>365</v>
      </c>
    </row>
    <row r="194" customFormat="false" ht="21" hidden="false" customHeight="true" outlineLevel="0" collapsed="false">
      <c r="A194" s="13" t="n">
        <v>46260</v>
      </c>
      <c r="B194" s="14" t="s">
        <v>79</v>
      </c>
      <c r="C194" s="15" t="s">
        <v>388</v>
      </c>
      <c r="D194" s="14" t="s">
        <v>356</v>
      </c>
      <c r="E194" s="16"/>
      <c r="F194" s="15" t="s">
        <v>364</v>
      </c>
      <c r="G194" s="15" t="s">
        <v>38</v>
      </c>
      <c r="H194" s="15" t="s">
        <v>365</v>
      </c>
    </row>
    <row r="195" customFormat="false" ht="21" hidden="false" customHeight="true" outlineLevel="0" collapsed="false">
      <c r="A195" s="13" t="n">
        <v>46260</v>
      </c>
      <c r="B195" s="14" t="s">
        <v>354</v>
      </c>
      <c r="C195" s="15" t="s">
        <v>389</v>
      </c>
      <c r="D195" s="14" t="s">
        <v>356</v>
      </c>
      <c r="E195" s="16" t="s">
        <v>390</v>
      </c>
      <c r="F195" s="15" t="s">
        <v>358</v>
      </c>
      <c r="G195" s="15" t="s">
        <v>359</v>
      </c>
      <c r="H195" s="15"/>
    </row>
    <row r="196" customFormat="false" ht="21" hidden="false" customHeight="true" outlineLevel="0" collapsed="false">
      <c r="A196" s="13" t="n">
        <v>46260</v>
      </c>
      <c r="B196" s="14" t="s">
        <v>373</v>
      </c>
      <c r="C196" s="15" t="s">
        <v>391</v>
      </c>
      <c r="D196" s="14" t="s">
        <v>356</v>
      </c>
      <c r="E196" s="16"/>
      <c r="F196" s="15" t="s">
        <v>375</v>
      </c>
      <c r="G196" s="15" t="s">
        <v>143</v>
      </c>
      <c r="H196" s="15" t="s">
        <v>25</v>
      </c>
    </row>
    <row r="197" customFormat="false" ht="21" hidden="false" customHeight="true" outlineLevel="0" collapsed="false">
      <c r="A197" s="13" t="n">
        <v>46260</v>
      </c>
      <c r="B197" s="14" t="s">
        <v>373</v>
      </c>
      <c r="C197" s="15" t="s">
        <v>392</v>
      </c>
      <c r="D197" s="14" t="s">
        <v>356</v>
      </c>
      <c r="E197" s="16"/>
      <c r="F197" s="15" t="s">
        <v>375</v>
      </c>
      <c r="G197" s="15" t="s">
        <v>143</v>
      </c>
      <c r="H197" s="15" t="s">
        <v>25</v>
      </c>
    </row>
    <row r="198" customFormat="false" ht="21" hidden="false" customHeight="true" outlineLevel="0" collapsed="false">
      <c r="A198" s="13" t="n">
        <v>46261</v>
      </c>
      <c r="B198" s="14" t="s">
        <v>377</v>
      </c>
      <c r="C198" s="15" t="s">
        <v>393</v>
      </c>
      <c r="D198" s="14" t="s">
        <v>356</v>
      </c>
      <c r="E198" s="16" t="s">
        <v>379</v>
      </c>
      <c r="F198" s="15" t="s">
        <v>71</v>
      </c>
      <c r="G198" s="15" t="s">
        <v>176</v>
      </c>
      <c r="H198" s="15" t="s">
        <v>380</v>
      </c>
    </row>
    <row r="199" customFormat="false" ht="21" hidden="false" customHeight="true" outlineLevel="0" collapsed="false">
      <c r="A199" s="13" t="n">
        <v>46261</v>
      </c>
      <c r="B199" s="14" t="s">
        <v>15</v>
      </c>
      <c r="C199" s="15" t="s">
        <v>394</v>
      </c>
      <c r="D199" s="14" t="s">
        <v>356</v>
      </c>
      <c r="E199" s="16" t="s">
        <v>382</v>
      </c>
      <c r="F199" s="15" t="s">
        <v>71</v>
      </c>
      <c r="G199" s="15" t="s">
        <v>383</v>
      </c>
      <c r="H199" s="15"/>
    </row>
    <row r="200" customFormat="false" ht="21" hidden="false" customHeight="true" outlineLevel="0" collapsed="false">
      <c r="A200" s="13" t="n">
        <v>46261</v>
      </c>
      <c r="B200" s="14" t="s">
        <v>354</v>
      </c>
      <c r="C200" s="15" t="s">
        <v>395</v>
      </c>
      <c r="D200" s="14" t="s">
        <v>356</v>
      </c>
      <c r="E200" s="16" t="s">
        <v>396</v>
      </c>
      <c r="F200" s="15" t="s">
        <v>358</v>
      </c>
      <c r="G200" s="15" t="s">
        <v>359</v>
      </c>
      <c r="H200" s="15"/>
    </row>
    <row r="201" customFormat="false" ht="21" hidden="false" customHeight="true" outlineLevel="0" collapsed="false">
      <c r="A201" s="13" t="n">
        <v>46261</v>
      </c>
      <c r="B201" s="14" t="s">
        <v>354</v>
      </c>
      <c r="C201" s="15" t="s">
        <v>397</v>
      </c>
      <c r="D201" s="14" t="s">
        <v>356</v>
      </c>
      <c r="E201" s="16" t="s">
        <v>398</v>
      </c>
      <c r="F201" s="15" t="s">
        <v>358</v>
      </c>
      <c r="G201" s="15" t="s">
        <v>359</v>
      </c>
      <c r="H201" s="15"/>
    </row>
    <row r="202" customFormat="false" ht="21" hidden="false" customHeight="true" outlineLevel="0" collapsed="false">
      <c r="A202" s="13" t="n">
        <v>46261</v>
      </c>
      <c r="B202" s="14" t="s">
        <v>399</v>
      </c>
      <c r="C202" s="15" t="s">
        <v>400</v>
      </c>
      <c r="D202" s="14" t="s">
        <v>356</v>
      </c>
      <c r="E202" s="16"/>
      <c r="F202" s="15" t="s">
        <v>183</v>
      </c>
      <c r="G202" s="15" t="s">
        <v>176</v>
      </c>
      <c r="H202" s="15"/>
    </row>
    <row r="203" customFormat="false" ht="21" hidden="false" customHeight="true" outlineLevel="0" collapsed="false">
      <c r="A203" s="13" t="n">
        <v>46261</v>
      </c>
      <c r="B203" s="14" t="s">
        <v>105</v>
      </c>
      <c r="C203" s="15" t="s">
        <v>401</v>
      </c>
      <c r="D203" s="14" t="s">
        <v>356</v>
      </c>
      <c r="E203" s="16" t="s">
        <v>402</v>
      </c>
      <c r="F203" s="15" t="s">
        <v>71</v>
      </c>
      <c r="G203" s="15" t="s">
        <v>202</v>
      </c>
      <c r="H203" s="15"/>
    </row>
    <row r="204" customFormat="false" ht="21" hidden="false" customHeight="true" outlineLevel="0" collapsed="false">
      <c r="A204" s="13" t="n">
        <v>46261</v>
      </c>
      <c r="B204" s="14" t="s">
        <v>105</v>
      </c>
      <c r="C204" s="15" t="s">
        <v>403</v>
      </c>
      <c r="D204" s="14" t="s">
        <v>356</v>
      </c>
      <c r="E204" s="16" t="s">
        <v>308</v>
      </c>
      <c r="F204" s="15" t="s">
        <v>71</v>
      </c>
      <c r="G204" s="15" t="s">
        <v>403</v>
      </c>
      <c r="H204" s="15"/>
    </row>
    <row r="205" customFormat="false" ht="21" hidden="false" customHeight="true" outlineLevel="0" collapsed="false">
      <c r="A205" s="13" t="n">
        <v>46261</v>
      </c>
      <c r="B205" s="14" t="s">
        <v>373</v>
      </c>
      <c r="C205" s="15" t="s">
        <v>404</v>
      </c>
      <c r="D205" s="14" t="s">
        <v>356</v>
      </c>
      <c r="E205" s="16"/>
      <c r="F205" s="15" t="s">
        <v>375</v>
      </c>
      <c r="G205" s="15" t="s">
        <v>143</v>
      </c>
      <c r="H205" s="15" t="s">
        <v>25</v>
      </c>
    </row>
    <row r="206" customFormat="false" ht="21" hidden="false" customHeight="true" outlineLevel="0" collapsed="false">
      <c r="A206" s="13" t="n">
        <v>46261</v>
      </c>
      <c r="B206" s="14" t="s">
        <v>373</v>
      </c>
      <c r="C206" s="15" t="s">
        <v>405</v>
      </c>
      <c r="D206" s="14" t="s">
        <v>356</v>
      </c>
      <c r="E206" s="16"/>
      <c r="F206" s="15" t="s">
        <v>375</v>
      </c>
      <c r="G206" s="15" t="s">
        <v>143</v>
      </c>
      <c r="H206" s="15" t="s">
        <v>25</v>
      </c>
    </row>
    <row r="207" customFormat="false" ht="21" hidden="false" customHeight="true" outlineLevel="0" collapsed="false">
      <c r="A207" s="13" t="n">
        <v>46261</v>
      </c>
      <c r="B207" s="14" t="s">
        <v>373</v>
      </c>
      <c r="C207" s="15" t="s">
        <v>406</v>
      </c>
      <c r="D207" s="14" t="s">
        <v>356</v>
      </c>
      <c r="E207" s="16"/>
      <c r="F207" s="15" t="s">
        <v>375</v>
      </c>
      <c r="G207" s="15" t="s">
        <v>143</v>
      </c>
      <c r="H207" s="15" t="s">
        <v>25</v>
      </c>
    </row>
    <row r="208" customFormat="false" ht="21" hidden="false" customHeight="true" outlineLevel="0" collapsed="false">
      <c r="A208" s="13" t="n">
        <v>46262</v>
      </c>
      <c r="B208" s="14" t="s">
        <v>407</v>
      </c>
      <c r="C208" s="15" t="s">
        <v>408</v>
      </c>
      <c r="D208" s="14" t="s">
        <v>356</v>
      </c>
      <c r="E208" s="16"/>
      <c r="F208" s="15" t="s">
        <v>183</v>
      </c>
      <c r="G208" s="15" t="s">
        <v>176</v>
      </c>
      <c r="H208" s="15"/>
    </row>
    <row r="209" customFormat="false" ht="21" hidden="false" customHeight="true" outlineLevel="0" collapsed="false">
      <c r="A209" s="13" t="n">
        <v>46262</v>
      </c>
      <c r="B209" s="14" t="s">
        <v>377</v>
      </c>
      <c r="C209" s="15" t="s">
        <v>409</v>
      </c>
      <c r="D209" s="14" t="s">
        <v>356</v>
      </c>
      <c r="E209" s="16" t="s">
        <v>379</v>
      </c>
      <c r="F209" s="15" t="s">
        <v>71</v>
      </c>
      <c r="G209" s="15" t="s">
        <v>176</v>
      </c>
      <c r="H209" s="15" t="s">
        <v>380</v>
      </c>
    </row>
    <row r="210" customFormat="false" ht="21" hidden="false" customHeight="true" outlineLevel="0" collapsed="false">
      <c r="A210" s="13" t="n">
        <v>46262</v>
      </c>
      <c r="B210" s="14" t="s">
        <v>15</v>
      </c>
      <c r="C210" s="15" t="s">
        <v>410</v>
      </c>
      <c r="D210" s="14" t="s">
        <v>356</v>
      </c>
      <c r="E210" s="16" t="s">
        <v>382</v>
      </c>
      <c r="F210" s="15" t="s">
        <v>71</v>
      </c>
      <c r="G210" s="15" t="s">
        <v>383</v>
      </c>
      <c r="H210" s="15"/>
    </row>
    <row r="211" customFormat="false" ht="21" hidden="false" customHeight="true" outlineLevel="0" collapsed="false">
      <c r="A211" s="13" t="n">
        <v>46262</v>
      </c>
      <c r="B211" s="14" t="s">
        <v>15</v>
      </c>
      <c r="C211" s="15" t="s">
        <v>411</v>
      </c>
      <c r="D211" s="14" t="s">
        <v>356</v>
      </c>
      <c r="E211" s="16" t="s">
        <v>412</v>
      </c>
      <c r="F211" s="15" t="s">
        <v>71</v>
      </c>
      <c r="G211" s="15" t="s">
        <v>383</v>
      </c>
      <c r="H211" s="15"/>
    </row>
    <row r="212" customFormat="false" ht="21" hidden="false" customHeight="true" outlineLevel="0" collapsed="false">
      <c r="A212" s="13" t="n">
        <v>46262</v>
      </c>
      <c r="B212" s="14" t="s">
        <v>413</v>
      </c>
      <c r="C212" s="15" t="s">
        <v>414</v>
      </c>
      <c r="D212" s="14" t="s">
        <v>356</v>
      </c>
      <c r="E212" s="16"/>
      <c r="F212" s="15" t="s">
        <v>415</v>
      </c>
      <c r="G212" s="15" t="s">
        <v>414</v>
      </c>
      <c r="H212" s="15" t="s">
        <v>416</v>
      </c>
    </row>
    <row r="213" customFormat="false" ht="21" hidden="false" customHeight="true" outlineLevel="0" collapsed="false">
      <c r="A213" s="13" t="n">
        <v>46262</v>
      </c>
      <c r="B213" s="14" t="s">
        <v>417</v>
      </c>
      <c r="C213" s="15" t="s">
        <v>414</v>
      </c>
      <c r="D213" s="14" t="s">
        <v>356</v>
      </c>
      <c r="E213" s="16"/>
      <c r="F213" s="15" t="s">
        <v>415</v>
      </c>
      <c r="G213" s="15" t="s">
        <v>414</v>
      </c>
      <c r="H213" s="15" t="s">
        <v>416</v>
      </c>
    </row>
    <row r="214" customFormat="false" ht="21" hidden="false" customHeight="true" outlineLevel="0" collapsed="false">
      <c r="A214" s="13" t="n">
        <v>46262</v>
      </c>
      <c r="B214" s="14" t="s">
        <v>418</v>
      </c>
      <c r="C214" s="15" t="s">
        <v>419</v>
      </c>
      <c r="D214" s="14" t="s">
        <v>356</v>
      </c>
      <c r="E214" s="16"/>
      <c r="F214" s="15" t="s">
        <v>183</v>
      </c>
      <c r="G214" s="15" t="s">
        <v>420</v>
      </c>
      <c r="H214" s="15" t="s">
        <v>421</v>
      </c>
    </row>
    <row r="215" customFormat="false" ht="21" hidden="false" customHeight="true" outlineLevel="0" collapsed="false">
      <c r="A215" s="13" t="n">
        <v>46262</v>
      </c>
      <c r="B215" s="14" t="s">
        <v>68</v>
      </c>
      <c r="C215" s="15" t="s">
        <v>422</v>
      </c>
      <c r="D215" s="14" t="s">
        <v>356</v>
      </c>
      <c r="E215" s="16" t="s">
        <v>423</v>
      </c>
      <c r="F215" s="15" t="s">
        <v>183</v>
      </c>
      <c r="G215" s="15" t="s">
        <v>176</v>
      </c>
      <c r="H215" s="15"/>
    </row>
    <row r="216" customFormat="false" ht="21" hidden="false" customHeight="true" outlineLevel="0" collapsed="false">
      <c r="A216" s="13" t="n">
        <v>46262</v>
      </c>
      <c r="B216" s="14" t="s">
        <v>79</v>
      </c>
      <c r="C216" s="15" t="s">
        <v>424</v>
      </c>
      <c r="D216" s="14" t="s">
        <v>356</v>
      </c>
      <c r="E216" s="16"/>
      <c r="F216" s="15" t="s">
        <v>364</v>
      </c>
      <c r="G216" s="15" t="s">
        <v>38</v>
      </c>
      <c r="H216" s="15" t="s">
        <v>365</v>
      </c>
    </row>
    <row r="217" customFormat="false" ht="21" hidden="false" customHeight="true" outlineLevel="0" collapsed="false">
      <c r="A217" s="13" t="n">
        <v>46262</v>
      </c>
      <c r="B217" s="14" t="s">
        <v>79</v>
      </c>
      <c r="C217" s="15" t="s">
        <v>425</v>
      </c>
      <c r="D217" s="14" t="s">
        <v>356</v>
      </c>
      <c r="E217" s="16"/>
      <c r="F217" s="15" t="s">
        <v>364</v>
      </c>
      <c r="G217" s="15" t="s">
        <v>38</v>
      </c>
      <c r="H217" s="15" t="s">
        <v>365</v>
      </c>
    </row>
    <row r="218" customFormat="false" ht="21" hidden="false" customHeight="true" outlineLevel="0" collapsed="false">
      <c r="A218" s="13" t="n">
        <v>46262</v>
      </c>
      <c r="B218" s="14" t="s">
        <v>79</v>
      </c>
      <c r="C218" s="15" t="s">
        <v>426</v>
      </c>
      <c r="D218" s="14" t="s">
        <v>356</v>
      </c>
      <c r="E218" s="16"/>
      <c r="F218" s="15" t="s">
        <v>364</v>
      </c>
      <c r="G218" s="15" t="s">
        <v>38</v>
      </c>
      <c r="H218" s="15" t="s">
        <v>365</v>
      </c>
    </row>
    <row r="219" customFormat="false" ht="21" hidden="false" customHeight="true" outlineLevel="0" collapsed="false">
      <c r="A219" s="13" t="n">
        <v>46262</v>
      </c>
      <c r="B219" s="14" t="s">
        <v>79</v>
      </c>
      <c r="C219" s="15" t="s">
        <v>427</v>
      </c>
      <c r="D219" s="14" t="s">
        <v>356</v>
      </c>
      <c r="E219" s="16"/>
      <c r="F219" s="15" t="s">
        <v>364</v>
      </c>
      <c r="G219" s="15" t="s">
        <v>38</v>
      </c>
      <c r="H219" s="15" t="s">
        <v>365</v>
      </c>
    </row>
    <row r="220" customFormat="false" ht="21" hidden="false" customHeight="true" outlineLevel="0" collapsed="false">
      <c r="A220" s="13" t="n">
        <v>46262</v>
      </c>
      <c r="B220" s="14" t="s">
        <v>79</v>
      </c>
      <c r="C220" s="15" t="s">
        <v>428</v>
      </c>
      <c r="D220" s="14" t="s">
        <v>356</v>
      </c>
      <c r="E220" s="16"/>
      <c r="F220" s="15" t="s">
        <v>364</v>
      </c>
      <c r="G220" s="15" t="s">
        <v>38</v>
      </c>
      <c r="H220" s="15" t="s">
        <v>365</v>
      </c>
    </row>
    <row r="221" customFormat="false" ht="21" hidden="false" customHeight="true" outlineLevel="0" collapsed="false">
      <c r="A221" s="13" t="n">
        <v>46262</v>
      </c>
      <c r="B221" s="14" t="s">
        <v>429</v>
      </c>
      <c r="C221" s="15" t="s">
        <v>430</v>
      </c>
      <c r="D221" s="14" t="s">
        <v>356</v>
      </c>
      <c r="E221" s="16"/>
      <c r="F221" s="15" t="s">
        <v>71</v>
      </c>
      <c r="G221" s="15" t="s">
        <v>431</v>
      </c>
      <c r="H221" s="15"/>
    </row>
    <row r="222" customFormat="false" ht="21" hidden="false" customHeight="true" outlineLevel="0" collapsed="false">
      <c r="A222" s="13" t="n">
        <v>46262</v>
      </c>
      <c r="B222" s="14" t="s">
        <v>105</v>
      </c>
      <c r="C222" s="15" t="s">
        <v>432</v>
      </c>
      <c r="D222" s="14" t="s">
        <v>356</v>
      </c>
      <c r="E222" s="16"/>
      <c r="F222" s="15" t="s">
        <v>71</v>
      </c>
      <c r="G222" s="15" t="s">
        <v>403</v>
      </c>
      <c r="H222" s="15"/>
    </row>
    <row r="223" customFormat="false" ht="21" hidden="false" customHeight="true" outlineLevel="0" collapsed="false">
      <c r="A223" s="13" t="n">
        <v>46263</v>
      </c>
      <c r="B223" s="14" t="s">
        <v>377</v>
      </c>
      <c r="C223" s="15" t="s">
        <v>433</v>
      </c>
      <c r="D223" s="14" t="s">
        <v>356</v>
      </c>
      <c r="E223" s="16" t="s">
        <v>379</v>
      </c>
      <c r="F223" s="15" t="s">
        <v>71</v>
      </c>
      <c r="G223" s="15" t="s">
        <v>176</v>
      </c>
      <c r="H223" s="15" t="s">
        <v>380</v>
      </c>
    </row>
    <row r="224" customFormat="false" ht="21" hidden="false" customHeight="true" outlineLevel="0" collapsed="false">
      <c r="A224" s="13" t="n">
        <v>46263</v>
      </c>
      <c r="B224" s="14" t="s">
        <v>377</v>
      </c>
      <c r="C224" s="15" t="s">
        <v>434</v>
      </c>
      <c r="D224" s="14" t="s">
        <v>356</v>
      </c>
      <c r="E224" s="16" t="s">
        <v>379</v>
      </c>
      <c r="F224" s="15" t="s">
        <v>71</v>
      </c>
      <c r="G224" s="15" t="s">
        <v>176</v>
      </c>
      <c r="H224" s="15" t="s">
        <v>380</v>
      </c>
    </row>
    <row r="225" customFormat="false" ht="21" hidden="false" customHeight="true" outlineLevel="0" collapsed="false">
      <c r="A225" s="13" t="n">
        <v>46263</v>
      </c>
      <c r="B225" s="14" t="s">
        <v>26</v>
      </c>
      <c r="C225" s="15" t="s">
        <v>435</v>
      </c>
      <c r="D225" s="14" t="s">
        <v>356</v>
      </c>
      <c r="E225" s="16" t="s">
        <v>28</v>
      </c>
      <c r="F225" s="15" t="s">
        <v>18</v>
      </c>
      <c r="G225" s="15" t="s">
        <v>29</v>
      </c>
      <c r="H225" s="15" t="s">
        <v>30</v>
      </c>
    </row>
    <row r="226" customFormat="false" ht="21" hidden="false" customHeight="true" outlineLevel="0" collapsed="false">
      <c r="A226" s="13" t="n">
        <v>46263</v>
      </c>
      <c r="B226" s="14" t="s">
        <v>79</v>
      </c>
      <c r="C226" s="15" t="s">
        <v>436</v>
      </c>
      <c r="D226" s="14" t="s">
        <v>356</v>
      </c>
      <c r="E226" s="16"/>
      <c r="F226" s="15" t="s">
        <v>364</v>
      </c>
      <c r="G226" s="15" t="s">
        <v>38</v>
      </c>
      <c r="H226" s="15" t="s">
        <v>365</v>
      </c>
    </row>
    <row r="227" customFormat="false" ht="21" hidden="false" customHeight="true" outlineLevel="0" collapsed="false">
      <c r="A227" s="13" t="n">
        <v>46263</v>
      </c>
      <c r="B227" s="14" t="s">
        <v>79</v>
      </c>
      <c r="C227" s="15" t="s">
        <v>437</v>
      </c>
      <c r="D227" s="14" t="s">
        <v>356</v>
      </c>
      <c r="E227" s="16"/>
      <c r="F227" s="15" t="s">
        <v>364</v>
      </c>
      <c r="G227" s="15" t="s">
        <v>38</v>
      </c>
      <c r="H227" s="15" t="s">
        <v>365</v>
      </c>
    </row>
    <row r="228" customFormat="false" ht="21" hidden="false" customHeight="true" outlineLevel="0" collapsed="false">
      <c r="A228" s="13" t="n">
        <v>46263</v>
      </c>
      <c r="B228" s="14" t="s">
        <v>79</v>
      </c>
      <c r="C228" s="15" t="s">
        <v>438</v>
      </c>
      <c r="D228" s="14" t="s">
        <v>356</v>
      </c>
      <c r="E228" s="16"/>
      <c r="F228" s="15" t="s">
        <v>364</v>
      </c>
      <c r="G228" s="15" t="s">
        <v>38</v>
      </c>
      <c r="H228" s="15" t="s">
        <v>365</v>
      </c>
    </row>
    <row r="229" customFormat="false" ht="21" hidden="false" customHeight="true" outlineLevel="0" collapsed="false">
      <c r="A229" s="13" t="n">
        <v>46263</v>
      </c>
      <c r="B229" s="14" t="s">
        <v>79</v>
      </c>
      <c r="C229" s="15" t="s">
        <v>439</v>
      </c>
      <c r="D229" s="14" t="s">
        <v>356</v>
      </c>
      <c r="E229" s="16"/>
      <c r="F229" s="15" t="s">
        <v>364</v>
      </c>
      <c r="G229" s="15" t="s">
        <v>38</v>
      </c>
      <c r="H229" s="15" t="s">
        <v>365</v>
      </c>
    </row>
    <row r="230" customFormat="false" ht="21" hidden="false" customHeight="true" outlineLevel="0" collapsed="false">
      <c r="A230" s="13" t="n">
        <v>46263</v>
      </c>
      <c r="B230" s="14" t="s">
        <v>79</v>
      </c>
      <c r="C230" s="15" t="s">
        <v>440</v>
      </c>
      <c r="D230" s="14" t="s">
        <v>356</v>
      </c>
      <c r="E230" s="16"/>
      <c r="F230" s="15" t="s">
        <v>364</v>
      </c>
      <c r="G230" s="15" t="s">
        <v>38</v>
      </c>
      <c r="H230" s="15" t="s">
        <v>365</v>
      </c>
    </row>
    <row r="231" customFormat="false" ht="21" hidden="false" customHeight="true" outlineLevel="0" collapsed="false">
      <c r="A231" s="13" t="n">
        <v>46263</v>
      </c>
      <c r="B231" s="14" t="s">
        <v>354</v>
      </c>
      <c r="C231" s="15" t="s">
        <v>441</v>
      </c>
      <c r="D231" s="14" t="s">
        <v>356</v>
      </c>
      <c r="E231" s="16" t="s">
        <v>398</v>
      </c>
      <c r="F231" s="15" t="s">
        <v>358</v>
      </c>
      <c r="G231" s="15" t="s">
        <v>359</v>
      </c>
      <c r="H231" s="15"/>
    </row>
    <row r="232" customFormat="false" ht="21" hidden="false" customHeight="true" outlineLevel="0" collapsed="false">
      <c r="A232" s="13" t="n">
        <v>46263</v>
      </c>
      <c r="B232" s="14" t="s">
        <v>354</v>
      </c>
      <c r="C232" s="15" t="s">
        <v>442</v>
      </c>
      <c r="D232" s="14" t="s">
        <v>356</v>
      </c>
      <c r="E232" s="16" t="s">
        <v>398</v>
      </c>
      <c r="F232" s="15" t="s">
        <v>358</v>
      </c>
      <c r="G232" s="15" t="s">
        <v>359</v>
      </c>
      <c r="H232" s="15"/>
    </row>
    <row r="233" customFormat="false" ht="21" hidden="false" customHeight="true" outlineLevel="0" collapsed="false">
      <c r="A233" s="13" t="n">
        <v>46263</v>
      </c>
      <c r="B233" s="14" t="s">
        <v>105</v>
      </c>
      <c r="C233" s="15" t="s">
        <v>443</v>
      </c>
      <c r="D233" s="14" t="s">
        <v>356</v>
      </c>
      <c r="E233" s="16"/>
      <c r="F233" s="15" t="s">
        <v>71</v>
      </c>
      <c r="G233" s="15" t="s">
        <v>403</v>
      </c>
      <c r="H233" s="15"/>
    </row>
    <row r="234" customFormat="false" ht="21" hidden="false" customHeight="true" outlineLevel="0" collapsed="false">
      <c r="A234" s="13" t="n">
        <v>46264</v>
      </c>
      <c r="B234" s="14" t="s">
        <v>444</v>
      </c>
      <c r="C234" s="15" t="s">
        <v>408</v>
      </c>
      <c r="D234" s="14" t="s">
        <v>356</v>
      </c>
      <c r="E234" s="16"/>
      <c r="F234" s="15" t="s">
        <v>183</v>
      </c>
      <c r="G234" s="15" t="s">
        <v>176</v>
      </c>
      <c r="H234" s="15"/>
    </row>
    <row r="235" customFormat="false" ht="21" hidden="false" customHeight="true" outlineLevel="0" collapsed="false">
      <c r="A235" s="13" t="n">
        <v>46265</v>
      </c>
      <c r="B235" s="14" t="s">
        <v>26</v>
      </c>
      <c r="C235" s="15" t="s">
        <v>445</v>
      </c>
      <c r="D235" s="14" t="s">
        <v>356</v>
      </c>
      <c r="E235" s="16" t="s">
        <v>28</v>
      </c>
      <c r="F235" s="15" t="s">
        <v>18</v>
      </c>
      <c r="G235" s="15" t="s">
        <v>29</v>
      </c>
      <c r="H235" s="15" t="s">
        <v>33</v>
      </c>
    </row>
    <row r="236" customFormat="false" ht="21" hidden="false" customHeight="true" outlineLevel="0" collapsed="false">
      <c r="A236" s="13" t="n">
        <v>46265</v>
      </c>
      <c r="B236" s="14" t="s">
        <v>26</v>
      </c>
      <c r="C236" s="15" t="s">
        <v>446</v>
      </c>
      <c r="D236" s="14" t="s">
        <v>356</v>
      </c>
      <c r="E236" s="16" t="s">
        <v>28</v>
      </c>
      <c r="F236" s="15" t="s">
        <v>18</v>
      </c>
      <c r="G236" s="15" t="s">
        <v>29</v>
      </c>
      <c r="H236" s="15" t="s">
        <v>33</v>
      </c>
    </row>
    <row r="237" customFormat="false" ht="21" hidden="false" customHeight="true" outlineLevel="0" collapsed="false">
      <c r="A237" s="13" t="n">
        <v>46265</v>
      </c>
      <c r="B237" s="14" t="s">
        <v>68</v>
      </c>
      <c r="C237" s="15" t="s">
        <v>447</v>
      </c>
      <c r="D237" s="14" t="s">
        <v>356</v>
      </c>
      <c r="E237" s="16" t="s">
        <v>448</v>
      </c>
      <c r="F237" s="15" t="s">
        <v>53</v>
      </c>
      <c r="G237" s="15" t="s">
        <v>72</v>
      </c>
      <c r="H237" s="15"/>
    </row>
    <row r="238" customFormat="false" ht="21" hidden="false" customHeight="true" outlineLevel="0" collapsed="false">
      <c r="A238" s="13" t="n">
        <v>46265</v>
      </c>
      <c r="B238" s="14" t="s">
        <v>68</v>
      </c>
      <c r="C238" s="15" t="s">
        <v>449</v>
      </c>
      <c r="D238" s="14" t="s">
        <v>356</v>
      </c>
      <c r="E238" s="16" t="s">
        <v>450</v>
      </c>
      <c r="F238" s="15" t="s">
        <v>53</v>
      </c>
      <c r="G238" s="15" t="s">
        <v>72</v>
      </c>
      <c r="H238" s="15"/>
    </row>
    <row r="239" customFormat="false" ht="21" hidden="false" customHeight="true" outlineLevel="0" collapsed="false">
      <c r="A239" s="13" t="n">
        <v>46265</v>
      </c>
      <c r="B239" s="14" t="s">
        <v>68</v>
      </c>
      <c r="C239" s="15" t="s">
        <v>451</v>
      </c>
      <c r="D239" s="14" t="s">
        <v>356</v>
      </c>
      <c r="E239" s="16" t="s">
        <v>450</v>
      </c>
      <c r="F239" s="15" t="s">
        <v>53</v>
      </c>
      <c r="G239" s="15" t="s">
        <v>72</v>
      </c>
      <c r="H239" s="15"/>
    </row>
    <row r="240" customFormat="false" ht="21" hidden="false" customHeight="true" outlineLevel="0" collapsed="false">
      <c r="A240" s="13" t="n">
        <v>46265</v>
      </c>
      <c r="B240" s="14" t="s">
        <v>68</v>
      </c>
      <c r="C240" s="15" t="s">
        <v>452</v>
      </c>
      <c r="D240" s="14" t="s">
        <v>356</v>
      </c>
      <c r="E240" s="16" t="s">
        <v>453</v>
      </c>
      <c r="F240" s="15" t="s">
        <v>53</v>
      </c>
      <c r="G240" s="15" t="s">
        <v>72</v>
      </c>
      <c r="H240" s="15"/>
    </row>
    <row r="241" customFormat="false" ht="21" hidden="false" customHeight="true" outlineLevel="0" collapsed="false">
      <c r="A241" s="13" t="n">
        <v>46265</v>
      </c>
      <c r="B241" s="14" t="s">
        <v>68</v>
      </c>
      <c r="C241" s="15" t="s">
        <v>454</v>
      </c>
      <c r="D241" s="14" t="s">
        <v>356</v>
      </c>
      <c r="E241" s="16" t="s">
        <v>455</v>
      </c>
      <c r="F241" s="15" t="s">
        <v>71</v>
      </c>
      <c r="G241" s="15" t="s">
        <v>72</v>
      </c>
      <c r="H241" s="15"/>
    </row>
    <row r="242" customFormat="false" ht="21" hidden="false" customHeight="true" outlineLevel="0" collapsed="false">
      <c r="A242" s="13" t="n">
        <v>46265</v>
      </c>
      <c r="B242" s="14" t="s">
        <v>68</v>
      </c>
      <c r="C242" s="15" t="s">
        <v>456</v>
      </c>
      <c r="D242" s="14" t="s">
        <v>356</v>
      </c>
      <c r="E242" s="16" t="s">
        <v>457</v>
      </c>
      <c r="F242" s="15" t="s">
        <v>71</v>
      </c>
      <c r="G242" s="15" t="s">
        <v>72</v>
      </c>
      <c r="H242" s="15"/>
    </row>
    <row r="243" customFormat="false" ht="21" hidden="false" customHeight="true" outlineLevel="0" collapsed="false">
      <c r="A243" s="13" t="n">
        <v>46265</v>
      </c>
      <c r="B243" s="14" t="s">
        <v>68</v>
      </c>
      <c r="C243" s="15" t="s">
        <v>458</v>
      </c>
      <c r="D243" s="14" t="s">
        <v>356</v>
      </c>
      <c r="E243" s="16" t="s">
        <v>459</v>
      </c>
      <c r="F243" s="15" t="s">
        <v>71</v>
      </c>
      <c r="G243" s="15" t="s">
        <v>72</v>
      </c>
      <c r="H243" s="15"/>
    </row>
    <row r="244" customFormat="false" ht="21" hidden="false" customHeight="true" outlineLevel="0" collapsed="false">
      <c r="A244" s="13" t="n">
        <v>46265</v>
      </c>
      <c r="B244" s="14" t="s">
        <v>68</v>
      </c>
      <c r="C244" s="15" t="s">
        <v>460</v>
      </c>
      <c r="D244" s="14" t="s">
        <v>356</v>
      </c>
      <c r="E244" s="16" t="s">
        <v>461</v>
      </c>
      <c r="F244" s="15" t="s">
        <v>71</v>
      </c>
      <c r="G244" s="15" t="s">
        <v>72</v>
      </c>
      <c r="H244" s="15"/>
    </row>
    <row r="245" customFormat="false" ht="21" hidden="false" customHeight="true" outlineLevel="0" collapsed="false">
      <c r="A245" s="13" t="n">
        <v>46265</v>
      </c>
      <c r="B245" s="14" t="s">
        <v>68</v>
      </c>
      <c r="C245" s="15" t="s">
        <v>462</v>
      </c>
      <c r="D245" s="14" t="s">
        <v>356</v>
      </c>
      <c r="E245" s="16" t="s">
        <v>463</v>
      </c>
      <c r="F245" s="15" t="s">
        <v>71</v>
      </c>
      <c r="G245" s="15" t="s">
        <v>72</v>
      </c>
      <c r="H245" s="15"/>
    </row>
    <row r="246" customFormat="false" ht="21" hidden="false" customHeight="true" outlineLevel="0" collapsed="false">
      <c r="A246" s="13" t="n">
        <v>46265</v>
      </c>
      <c r="B246" s="14" t="s">
        <v>68</v>
      </c>
      <c r="C246" s="15" t="s">
        <v>464</v>
      </c>
      <c r="D246" s="14" t="s">
        <v>356</v>
      </c>
      <c r="E246" s="16" t="s">
        <v>465</v>
      </c>
      <c r="F246" s="15" t="s">
        <v>71</v>
      </c>
      <c r="G246" s="15" t="s">
        <v>72</v>
      </c>
      <c r="H246" s="15"/>
    </row>
    <row r="247" customFormat="false" ht="21" hidden="false" customHeight="true" outlineLevel="0" collapsed="false">
      <c r="A247" s="13" t="n">
        <v>46265</v>
      </c>
      <c r="B247" s="14" t="s">
        <v>68</v>
      </c>
      <c r="C247" s="15" t="s">
        <v>466</v>
      </c>
      <c r="D247" s="14" t="s">
        <v>356</v>
      </c>
      <c r="E247" s="16" t="s">
        <v>70</v>
      </c>
      <c r="F247" s="15" t="s">
        <v>71</v>
      </c>
      <c r="G247" s="15" t="s">
        <v>72</v>
      </c>
      <c r="H247" s="15"/>
    </row>
    <row r="248" customFormat="false" ht="21" hidden="false" customHeight="true" outlineLevel="0" collapsed="false">
      <c r="A248" s="13" t="n">
        <v>46265</v>
      </c>
      <c r="B248" s="14" t="s">
        <v>467</v>
      </c>
      <c r="C248" s="15" t="s">
        <v>468</v>
      </c>
      <c r="D248" s="14" t="s">
        <v>356</v>
      </c>
      <c r="E248" s="16" t="s">
        <v>469</v>
      </c>
      <c r="F248" s="15" t="s">
        <v>470</v>
      </c>
      <c r="G248" s="15" t="s">
        <v>471</v>
      </c>
      <c r="H248" s="15"/>
    </row>
    <row r="249" customFormat="false" ht="21" hidden="false" customHeight="true" outlineLevel="0" collapsed="false">
      <c r="A249" s="13" t="n">
        <v>46266</v>
      </c>
      <c r="B249" s="14" t="s">
        <v>26</v>
      </c>
      <c r="C249" s="15" t="s">
        <v>472</v>
      </c>
      <c r="D249" s="14" t="s">
        <v>356</v>
      </c>
      <c r="E249" s="16" t="s">
        <v>28</v>
      </c>
      <c r="F249" s="15" t="s">
        <v>18</v>
      </c>
      <c r="G249" s="15" t="s">
        <v>29</v>
      </c>
      <c r="H249" s="15" t="s">
        <v>33</v>
      </c>
    </row>
    <row r="250" customFormat="false" ht="21" hidden="false" customHeight="true" outlineLevel="0" collapsed="false">
      <c r="A250" s="13" t="n">
        <v>46266</v>
      </c>
      <c r="B250" s="14" t="s">
        <v>26</v>
      </c>
      <c r="C250" s="15" t="s">
        <v>473</v>
      </c>
      <c r="D250" s="14" t="s">
        <v>356</v>
      </c>
      <c r="E250" s="16" t="s">
        <v>28</v>
      </c>
      <c r="F250" s="15" t="s">
        <v>18</v>
      </c>
      <c r="G250" s="15" t="s">
        <v>29</v>
      </c>
      <c r="H250" s="15" t="s">
        <v>33</v>
      </c>
    </row>
    <row r="251" customFormat="false" ht="21" hidden="false" customHeight="true" outlineLevel="0" collapsed="false">
      <c r="A251" s="13" t="n">
        <v>46266</v>
      </c>
      <c r="B251" s="14" t="s">
        <v>68</v>
      </c>
      <c r="C251" s="15" t="s">
        <v>474</v>
      </c>
      <c r="D251" s="14" t="s">
        <v>356</v>
      </c>
      <c r="E251" s="16" t="s">
        <v>475</v>
      </c>
      <c r="F251" s="15" t="s">
        <v>71</v>
      </c>
      <c r="G251" s="15" t="s">
        <v>72</v>
      </c>
      <c r="H251" s="15"/>
    </row>
    <row r="252" customFormat="false" ht="21" hidden="false" customHeight="true" outlineLevel="0" collapsed="false">
      <c r="A252" s="13" t="n">
        <v>46266</v>
      </c>
      <c r="B252" s="14" t="s">
        <v>68</v>
      </c>
      <c r="C252" s="15" t="s">
        <v>476</v>
      </c>
      <c r="D252" s="14" t="s">
        <v>356</v>
      </c>
      <c r="E252" s="16" t="s">
        <v>477</v>
      </c>
      <c r="F252" s="15" t="s">
        <v>71</v>
      </c>
      <c r="G252" s="15" t="s">
        <v>72</v>
      </c>
      <c r="H252" s="15"/>
    </row>
    <row r="253" customFormat="false" ht="21" hidden="false" customHeight="true" outlineLevel="0" collapsed="false">
      <c r="A253" s="13" t="n">
        <v>46266</v>
      </c>
      <c r="B253" s="14" t="s">
        <v>68</v>
      </c>
      <c r="C253" s="15" t="s">
        <v>478</v>
      </c>
      <c r="D253" s="14" t="s">
        <v>356</v>
      </c>
      <c r="E253" s="16" t="s">
        <v>479</v>
      </c>
      <c r="F253" s="15" t="s">
        <v>53</v>
      </c>
      <c r="G253" s="15" t="s">
        <v>72</v>
      </c>
      <c r="H253" s="15"/>
    </row>
    <row r="254" customFormat="false" ht="21" hidden="false" customHeight="true" outlineLevel="0" collapsed="false">
      <c r="A254" s="13" t="n">
        <v>46266</v>
      </c>
      <c r="B254" s="14" t="s">
        <v>68</v>
      </c>
      <c r="C254" s="15" t="s">
        <v>480</v>
      </c>
      <c r="D254" s="14" t="s">
        <v>356</v>
      </c>
      <c r="E254" s="16" t="s">
        <v>481</v>
      </c>
      <c r="F254" s="15" t="s">
        <v>53</v>
      </c>
      <c r="G254" s="15" t="s">
        <v>72</v>
      </c>
      <c r="H254" s="15"/>
    </row>
    <row r="255" customFormat="false" ht="21" hidden="false" customHeight="true" outlineLevel="0" collapsed="false">
      <c r="A255" s="13" t="n">
        <v>46266</v>
      </c>
      <c r="B255" s="14" t="s">
        <v>68</v>
      </c>
      <c r="C255" s="15" t="s">
        <v>482</v>
      </c>
      <c r="D255" s="14" t="s">
        <v>356</v>
      </c>
      <c r="E255" s="16" t="s">
        <v>77</v>
      </c>
      <c r="F255" s="15" t="s">
        <v>53</v>
      </c>
      <c r="G255" s="15" t="s">
        <v>72</v>
      </c>
      <c r="H255" s="15"/>
    </row>
    <row r="256" customFormat="false" ht="21" hidden="false" customHeight="true" outlineLevel="0" collapsed="false">
      <c r="A256" s="13" t="n">
        <v>46266</v>
      </c>
      <c r="B256" s="14" t="s">
        <v>68</v>
      </c>
      <c r="C256" s="15" t="s">
        <v>483</v>
      </c>
      <c r="D256" s="14" t="s">
        <v>356</v>
      </c>
      <c r="E256" s="16" t="s">
        <v>77</v>
      </c>
      <c r="F256" s="15" t="s">
        <v>53</v>
      </c>
      <c r="G256" s="15" t="s">
        <v>72</v>
      </c>
      <c r="H256" s="15"/>
    </row>
    <row r="257" customFormat="false" ht="21" hidden="false" customHeight="true" outlineLevel="0" collapsed="false">
      <c r="A257" s="13" t="n">
        <v>46266</v>
      </c>
      <c r="B257" s="14" t="s">
        <v>68</v>
      </c>
      <c r="C257" s="15" t="s">
        <v>484</v>
      </c>
      <c r="D257" s="14" t="s">
        <v>356</v>
      </c>
      <c r="E257" s="16" t="s">
        <v>423</v>
      </c>
      <c r="F257" s="15" t="s">
        <v>183</v>
      </c>
      <c r="G257" s="15" t="s">
        <v>72</v>
      </c>
      <c r="H257" s="15"/>
    </row>
    <row r="258" customFormat="false" ht="21" hidden="false" customHeight="true" outlineLevel="0" collapsed="false">
      <c r="A258" s="13" t="n">
        <v>46267</v>
      </c>
      <c r="B258" s="14" t="s">
        <v>26</v>
      </c>
      <c r="C258" s="15" t="s">
        <v>485</v>
      </c>
      <c r="D258" s="14" t="s">
        <v>356</v>
      </c>
      <c r="E258" s="16" t="s">
        <v>486</v>
      </c>
      <c r="F258" s="15" t="s">
        <v>183</v>
      </c>
      <c r="G258" s="15" t="s">
        <v>487</v>
      </c>
      <c r="H258" s="15"/>
    </row>
    <row r="259" customFormat="false" ht="21" hidden="false" customHeight="true" outlineLevel="0" collapsed="false">
      <c r="A259" s="13" t="n">
        <v>46267</v>
      </c>
      <c r="B259" s="14" t="s">
        <v>34</v>
      </c>
      <c r="C259" s="15" t="s">
        <v>488</v>
      </c>
      <c r="D259" s="14" t="s">
        <v>356</v>
      </c>
      <c r="E259" s="16" t="s">
        <v>489</v>
      </c>
      <c r="F259" s="15" t="s">
        <v>490</v>
      </c>
      <c r="G259" s="15" t="s">
        <v>143</v>
      </c>
      <c r="H259" s="15"/>
    </row>
    <row r="260" customFormat="false" ht="21" hidden="false" customHeight="true" outlineLevel="0" collapsed="false">
      <c r="A260" s="13" t="n">
        <v>46267</v>
      </c>
      <c r="B260" s="14" t="s">
        <v>184</v>
      </c>
      <c r="C260" s="15" t="s">
        <v>491</v>
      </c>
      <c r="D260" s="14" t="s">
        <v>356</v>
      </c>
      <c r="E260" s="16"/>
      <c r="F260" s="15" t="s">
        <v>138</v>
      </c>
      <c r="G260" s="15" t="s">
        <v>139</v>
      </c>
      <c r="H260" s="15" t="s">
        <v>492</v>
      </c>
    </row>
    <row r="261" customFormat="false" ht="21" hidden="false" customHeight="true" outlineLevel="0" collapsed="false">
      <c r="A261" s="13"/>
      <c r="B261" s="14"/>
      <c r="C261" s="15"/>
      <c r="D261" s="14"/>
      <c r="E261" s="16"/>
      <c r="F261" s="15"/>
      <c r="G261" s="15"/>
      <c r="H261" s="15"/>
    </row>
    <row r="262" customFormat="false" ht="21" hidden="false" customHeight="true" outlineLevel="0" collapsed="false">
      <c r="A262" s="13"/>
      <c r="B262" s="14"/>
      <c r="C262" s="15"/>
      <c r="D262" s="14"/>
      <c r="E262" s="16"/>
      <c r="F262" s="15"/>
      <c r="G262" s="15"/>
      <c r="H262" s="15"/>
    </row>
    <row r="263" customFormat="false" ht="21" hidden="false" customHeight="true" outlineLevel="0" collapsed="false">
      <c r="A263" s="13"/>
      <c r="B263" s="14"/>
      <c r="C263" s="15"/>
      <c r="D263" s="14"/>
      <c r="E263" s="16"/>
      <c r="F263" s="15"/>
      <c r="G263" s="15"/>
      <c r="H263" s="15"/>
    </row>
    <row r="264" customFormat="false" ht="21" hidden="false" customHeight="true" outlineLevel="0" collapsed="false">
      <c r="A264" s="13"/>
      <c r="B264" s="14"/>
      <c r="C264" s="15"/>
      <c r="D264" s="14"/>
      <c r="E264" s="16"/>
      <c r="F264" s="15"/>
      <c r="G264" s="15"/>
      <c r="H264" s="15"/>
    </row>
    <row r="265" customFormat="false" ht="21" hidden="false" customHeight="true" outlineLevel="0" collapsed="false">
      <c r="A265" s="13"/>
      <c r="B265" s="14"/>
      <c r="C265" s="15"/>
      <c r="D265" s="14"/>
      <c r="E265" s="16"/>
      <c r="F265" s="15"/>
      <c r="G265" s="15"/>
      <c r="H265" s="15"/>
    </row>
    <row r="266" customFormat="false" ht="21" hidden="false" customHeight="true" outlineLevel="0" collapsed="false">
      <c r="A266" s="13"/>
      <c r="B266" s="14"/>
      <c r="C266" s="15"/>
      <c r="D266" s="14"/>
      <c r="E266" s="16"/>
      <c r="F266" s="15"/>
      <c r="G266" s="15"/>
      <c r="H266" s="15"/>
    </row>
    <row r="267" customFormat="false" ht="21" hidden="false" customHeight="true" outlineLevel="0" collapsed="false">
      <c r="A267" s="13"/>
      <c r="B267" s="14"/>
      <c r="C267" s="15"/>
      <c r="D267" s="14"/>
      <c r="E267" s="16"/>
      <c r="F267" s="15"/>
      <c r="G267" s="15"/>
      <c r="H267" s="15"/>
    </row>
    <row r="268" customFormat="false" ht="21" hidden="false" customHeight="true" outlineLevel="0" collapsed="false">
      <c r="A268" s="13"/>
      <c r="B268" s="14"/>
      <c r="C268" s="15"/>
      <c r="D268" s="14"/>
      <c r="E268" s="16"/>
      <c r="F268" s="15"/>
      <c r="G268" s="15"/>
      <c r="H268" s="15"/>
    </row>
    <row r="269" customFormat="false" ht="21" hidden="false" customHeight="true" outlineLevel="0" collapsed="false">
      <c r="A269" s="13"/>
      <c r="B269" s="14"/>
      <c r="C269" s="15"/>
      <c r="D269" s="14"/>
      <c r="E269" s="16"/>
      <c r="F269" s="15"/>
      <c r="G269" s="15"/>
      <c r="H269" s="15"/>
    </row>
    <row r="270" customFormat="false" ht="21" hidden="false" customHeight="true" outlineLevel="0" collapsed="false">
      <c r="A270" s="13"/>
      <c r="B270" s="14"/>
      <c r="C270" s="15"/>
      <c r="D270" s="14"/>
      <c r="E270" s="16"/>
      <c r="F270" s="15"/>
      <c r="G270" s="15"/>
      <c r="H270" s="15"/>
    </row>
    <row r="271" customFormat="false" ht="21" hidden="false" customHeight="true" outlineLevel="0" collapsed="false">
      <c r="A271" s="13"/>
      <c r="B271" s="14"/>
      <c r="C271" s="15"/>
      <c r="D271" s="14"/>
      <c r="E271" s="16"/>
      <c r="F271" s="15"/>
      <c r="G271" s="15"/>
      <c r="H271" s="15"/>
    </row>
    <row r="272" customFormat="false" ht="21" hidden="false" customHeight="true" outlineLevel="0" collapsed="false">
      <c r="A272" s="13"/>
      <c r="B272" s="14"/>
      <c r="C272" s="15"/>
      <c r="D272" s="14"/>
      <c r="E272" s="16"/>
      <c r="F272" s="15"/>
      <c r="G272" s="15"/>
      <c r="H272" s="15"/>
    </row>
    <row r="273" customFormat="false" ht="21" hidden="false" customHeight="true" outlineLevel="0" collapsed="false">
      <c r="A273" s="13"/>
      <c r="B273" s="14"/>
      <c r="C273" s="15"/>
      <c r="D273" s="14"/>
      <c r="E273" s="16"/>
      <c r="F273" s="15"/>
      <c r="G273" s="15"/>
      <c r="H273" s="15"/>
    </row>
    <row r="274" customFormat="false" ht="21" hidden="false" customHeight="true" outlineLevel="0" collapsed="false">
      <c r="A274" s="13"/>
      <c r="B274" s="14"/>
      <c r="C274" s="15"/>
      <c r="D274" s="14"/>
      <c r="E274" s="16"/>
      <c r="F274" s="15"/>
      <c r="G274" s="15"/>
      <c r="H274" s="15"/>
    </row>
    <row r="275" customFormat="false" ht="21" hidden="false" customHeight="true" outlineLevel="0" collapsed="false">
      <c r="A275" s="13"/>
      <c r="B275" s="14"/>
      <c r="C275" s="15"/>
      <c r="D275" s="14"/>
      <c r="E275" s="16"/>
      <c r="F275" s="15"/>
      <c r="G275" s="15"/>
      <c r="H275" s="15"/>
    </row>
    <row r="276" customFormat="false" ht="21" hidden="false" customHeight="true" outlineLevel="0" collapsed="false">
      <c r="A276" s="13"/>
      <c r="B276" s="14"/>
      <c r="C276" s="15"/>
      <c r="D276" s="14"/>
      <c r="E276" s="16"/>
      <c r="F276" s="15"/>
      <c r="G276" s="15"/>
      <c r="H276" s="15"/>
    </row>
    <row r="277" customFormat="false" ht="21" hidden="false" customHeight="true" outlineLevel="0" collapsed="false">
      <c r="A277" s="13"/>
      <c r="B277" s="14"/>
      <c r="C277" s="15"/>
      <c r="D277" s="14"/>
      <c r="E277" s="16"/>
      <c r="F277" s="15"/>
      <c r="G277" s="15"/>
      <c r="H277" s="15"/>
    </row>
    <row r="278" customFormat="false" ht="21" hidden="false" customHeight="true" outlineLevel="0" collapsed="false">
      <c r="A278" s="13"/>
      <c r="B278" s="14"/>
      <c r="C278" s="15"/>
      <c r="D278" s="14"/>
      <c r="E278" s="16"/>
      <c r="F278" s="15"/>
      <c r="G278" s="15"/>
      <c r="H278" s="15"/>
    </row>
    <row r="279" customFormat="false" ht="21" hidden="false" customHeight="true" outlineLevel="0" collapsed="false">
      <c r="A279" s="13"/>
      <c r="B279" s="14"/>
      <c r="C279" s="15"/>
      <c r="D279" s="14"/>
      <c r="E279" s="16"/>
      <c r="F279" s="15"/>
      <c r="G279" s="15"/>
      <c r="H279" s="15"/>
    </row>
    <row r="280" customFormat="false" ht="21" hidden="false" customHeight="true" outlineLevel="0" collapsed="false">
      <c r="A280" s="13"/>
      <c r="B280" s="14"/>
      <c r="C280" s="15"/>
      <c r="D280" s="14"/>
      <c r="E280" s="16"/>
      <c r="F280" s="15"/>
      <c r="G280" s="15"/>
      <c r="H280" s="15"/>
    </row>
    <row r="281" customFormat="false" ht="21" hidden="false" customHeight="true" outlineLevel="0" collapsed="false">
      <c r="A281" s="13"/>
      <c r="B281" s="14"/>
      <c r="C281" s="15"/>
      <c r="D281" s="14"/>
      <c r="E281" s="16"/>
      <c r="F281" s="15"/>
      <c r="G281" s="15"/>
      <c r="H281" s="15"/>
    </row>
    <row r="282" customFormat="false" ht="21" hidden="false" customHeight="true" outlineLevel="0" collapsed="false">
      <c r="A282" s="13"/>
      <c r="B282" s="14"/>
      <c r="C282" s="15"/>
      <c r="D282" s="14"/>
      <c r="E282" s="16"/>
      <c r="F282" s="15"/>
      <c r="G282" s="15"/>
      <c r="H282" s="15"/>
    </row>
    <row r="283" customFormat="false" ht="21" hidden="false" customHeight="true" outlineLevel="0" collapsed="false">
      <c r="A283" s="13"/>
      <c r="B283" s="14"/>
      <c r="C283" s="15"/>
      <c r="D283" s="14"/>
      <c r="E283" s="16"/>
      <c r="F283" s="15"/>
      <c r="G283" s="15"/>
      <c r="H283" s="15"/>
    </row>
    <row r="284" customFormat="false" ht="21" hidden="false" customHeight="true" outlineLevel="0" collapsed="false">
      <c r="A284" s="13"/>
      <c r="B284" s="14"/>
      <c r="C284" s="15"/>
      <c r="D284" s="14"/>
      <c r="E284" s="16"/>
      <c r="F284" s="15"/>
      <c r="G284" s="15"/>
      <c r="H284" s="15"/>
    </row>
    <row r="285" customFormat="false" ht="21" hidden="false" customHeight="true" outlineLevel="0" collapsed="false">
      <c r="A285" s="13"/>
      <c r="B285" s="14"/>
      <c r="C285" s="15"/>
      <c r="D285" s="14"/>
      <c r="E285" s="16"/>
      <c r="F285" s="15"/>
      <c r="G285" s="15"/>
      <c r="H285" s="15"/>
    </row>
    <row r="286" customFormat="false" ht="21" hidden="false" customHeight="true" outlineLevel="0" collapsed="false">
      <c r="A286" s="13"/>
      <c r="B286" s="14"/>
      <c r="C286" s="15"/>
      <c r="D286" s="14"/>
      <c r="E286" s="16"/>
      <c r="F286" s="15"/>
      <c r="G286" s="15"/>
      <c r="H286" s="15"/>
    </row>
    <row r="287" customFormat="false" ht="21" hidden="false" customHeight="true" outlineLevel="0" collapsed="false">
      <c r="A287" s="13"/>
      <c r="B287" s="14"/>
      <c r="C287" s="15"/>
      <c r="D287" s="14"/>
      <c r="E287" s="16"/>
      <c r="F287" s="15"/>
      <c r="G287" s="15"/>
      <c r="H287" s="15"/>
    </row>
    <row r="288" customFormat="false" ht="21" hidden="false" customHeight="true" outlineLevel="0" collapsed="false">
      <c r="A288" s="13"/>
      <c r="B288" s="14"/>
      <c r="C288" s="15"/>
      <c r="D288" s="14"/>
      <c r="E288" s="16"/>
      <c r="F288" s="15"/>
      <c r="G288" s="15"/>
      <c r="H288" s="15"/>
    </row>
    <row r="289" customFormat="false" ht="21" hidden="false" customHeight="true" outlineLevel="0" collapsed="false">
      <c r="A289" s="13"/>
      <c r="B289" s="14"/>
      <c r="C289" s="15"/>
      <c r="D289" s="14"/>
      <c r="E289" s="16"/>
      <c r="F289" s="15"/>
      <c r="G289" s="15"/>
      <c r="H289" s="15"/>
    </row>
    <row r="290" customFormat="false" ht="21" hidden="false" customHeight="true" outlineLevel="0" collapsed="false">
      <c r="A290" s="13"/>
      <c r="B290" s="14"/>
      <c r="C290" s="15"/>
      <c r="D290" s="14"/>
      <c r="E290" s="16"/>
      <c r="F290" s="15"/>
      <c r="G290" s="15"/>
      <c r="H290" s="15"/>
    </row>
    <row r="291" customFormat="false" ht="21" hidden="false" customHeight="true" outlineLevel="0" collapsed="false">
      <c r="A291" s="13"/>
      <c r="B291" s="14"/>
      <c r="C291" s="15"/>
      <c r="D291" s="14"/>
      <c r="E291" s="16"/>
      <c r="F291" s="15"/>
      <c r="G291" s="15"/>
      <c r="H291" s="15"/>
    </row>
    <row r="292" customFormat="false" ht="21" hidden="false" customHeight="true" outlineLevel="0" collapsed="false">
      <c r="A292" s="13"/>
      <c r="B292" s="14"/>
      <c r="C292" s="15"/>
      <c r="D292" s="14"/>
      <c r="E292" s="16"/>
      <c r="F292" s="15"/>
      <c r="G292" s="15"/>
      <c r="H292" s="15"/>
    </row>
    <row r="293" customFormat="false" ht="21" hidden="false" customHeight="true" outlineLevel="0" collapsed="false">
      <c r="A293" s="13"/>
      <c r="B293" s="14"/>
      <c r="C293" s="15"/>
      <c r="D293" s="14"/>
      <c r="E293" s="16"/>
      <c r="F293" s="15"/>
      <c r="G293" s="15"/>
      <c r="H293" s="15"/>
    </row>
    <row r="294" customFormat="false" ht="21" hidden="false" customHeight="true" outlineLevel="0" collapsed="false">
      <c r="A294" s="13"/>
      <c r="B294" s="14"/>
      <c r="C294" s="15"/>
      <c r="D294" s="14"/>
      <c r="E294" s="16"/>
      <c r="F294" s="15"/>
      <c r="G294" s="15"/>
      <c r="H294" s="15"/>
    </row>
    <row r="295" customFormat="false" ht="21" hidden="false" customHeight="true" outlineLevel="0" collapsed="false">
      <c r="A295" s="13"/>
      <c r="B295" s="14"/>
      <c r="C295" s="15"/>
      <c r="D295" s="14"/>
      <c r="E295" s="16"/>
      <c r="F295" s="15"/>
      <c r="G295" s="15"/>
      <c r="H295" s="15"/>
    </row>
    <row r="296" customFormat="false" ht="21" hidden="false" customHeight="true" outlineLevel="0" collapsed="false">
      <c r="A296" s="13"/>
      <c r="B296" s="14"/>
      <c r="C296" s="15"/>
      <c r="D296" s="14"/>
      <c r="E296" s="16"/>
      <c r="F296" s="15"/>
      <c r="G296" s="15"/>
      <c r="H296" s="15"/>
    </row>
    <row r="297" customFormat="false" ht="21" hidden="false" customHeight="true" outlineLevel="0" collapsed="false">
      <c r="A297" s="13"/>
      <c r="B297" s="14"/>
      <c r="C297" s="15"/>
      <c r="D297" s="14"/>
      <c r="E297" s="16"/>
      <c r="F297" s="15"/>
      <c r="G297" s="15"/>
      <c r="H297" s="15"/>
    </row>
    <row r="298" customFormat="false" ht="21" hidden="false" customHeight="true" outlineLevel="0" collapsed="false">
      <c r="A298" s="13"/>
      <c r="B298" s="14"/>
      <c r="C298" s="15"/>
      <c r="D298" s="14"/>
      <c r="E298" s="16"/>
      <c r="F298" s="15"/>
      <c r="G298" s="15"/>
      <c r="H298" s="15"/>
    </row>
    <row r="299" customFormat="false" ht="21" hidden="false" customHeight="true" outlineLevel="0" collapsed="false">
      <c r="A299" s="13"/>
      <c r="B299" s="14"/>
      <c r="C299" s="15"/>
      <c r="D299" s="14"/>
      <c r="E299" s="16"/>
      <c r="F299" s="15"/>
      <c r="G299" s="15"/>
      <c r="H299" s="15"/>
    </row>
    <row r="300" customFormat="false" ht="21" hidden="false" customHeight="true" outlineLevel="0" collapsed="false">
      <c r="A300" s="13"/>
      <c r="B300" s="14"/>
      <c r="C300" s="15"/>
      <c r="D300" s="14"/>
      <c r="E300" s="16"/>
      <c r="F300" s="15"/>
      <c r="G300" s="15"/>
      <c r="H300" s="15"/>
    </row>
    <row r="301" customFormat="false" ht="21" hidden="false" customHeight="true" outlineLevel="0" collapsed="false">
      <c r="A301" s="13"/>
      <c r="B301" s="14"/>
      <c r="C301" s="15"/>
      <c r="D301" s="14"/>
      <c r="E301" s="16"/>
      <c r="F301" s="15"/>
      <c r="G301" s="15"/>
      <c r="H301" s="15"/>
    </row>
    <row r="302" customFormat="false" ht="21" hidden="false" customHeight="true" outlineLevel="0" collapsed="false">
      <c r="A302" s="13"/>
      <c r="B302" s="14"/>
      <c r="C302" s="15"/>
      <c r="D302" s="14"/>
      <c r="E302" s="16"/>
      <c r="F302" s="15"/>
      <c r="G302" s="15"/>
      <c r="H302" s="15"/>
    </row>
    <row r="303" customFormat="false" ht="21" hidden="false" customHeight="true" outlineLevel="0" collapsed="false">
      <c r="A303" s="13"/>
      <c r="B303" s="14"/>
      <c r="C303" s="15"/>
      <c r="D303" s="14"/>
      <c r="E303" s="16"/>
      <c r="F303" s="15"/>
      <c r="G303" s="15"/>
      <c r="H303" s="15"/>
    </row>
    <row r="304" customFormat="false" ht="21" hidden="false" customHeight="true" outlineLevel="0" collapsed="false">
      <c r="A304" s="13"/>
      <c r="B304" s="14"/>
      <c r="C304" s="15"/>
      <c r="D304" s="14"/>
      <c r="E304" s="16"/>
      <c r="F304" s="15"/>
      <c r="G304" s="15"/>
      <c r="H304" s="15"/>
    </row>
    <row r="305" customFormat="false" ht="21" hidden="false" customHeight="true" outlineLevel="0" collapsed="false">
      <c r="A305" s="13"/>
      <c r="B305" s="14"/>
      <c r="C305" s="15"/>
      <c r="D305" s="14"/>
      <c r="E305" s="16"/>
      <c r="F305" s="15"/>
      <c r="G305" s="15"/>
      <c r="H305" s="15"/>
    </row>
    <row r="306" customFormat="false" ht="21" hidden="false" customHeight="true" outlineLevel="0" collapsed="false">
      <c r="A306" s="13"/>
      <c r="B306" s="14"/>
      <c r="C306" s="15"/>
      <c r="D306" s="14"/>
      <c r="E306" s="16"/>
      <c r="F306" s="15"/>
      <c r="G306" s="15"/>
      <c r="H306" s="15"/>
    </row>
    <row r="307" customFormat="false" ht="21" hidden="false" customHeight="true" outlineLevel="0" collapsed="false">
      <c r="A307" s="13"/>
      <c r="B307" s="14"/>
      <c r="C307" s="15"/>
      <c r="D307" s="14"/>
      <c r="E307" s="16"/>
      <c r="F307" s="15"/>
      <c r="G307" s="15"/>
      <c r="H307" s="15"/>
    </row>
    <row r="308" customFormat="false" ht="21" hidden="false" customHeight="true" outlineLevel="0" collapsed="false">
      <c r="A308" s="13"/>
      <c r="B308" s="14"/>
      <c r="C308" s="15"/>
      <c r="D308" s="14"/>
      <c r="E308" s="16"/>
      <c r="F308" s="15"/>
      <c r="G308" s="15"/>
      <c r="H308" s="15"/>
    </row>
    <row r="309" customFormat="false" ht="21" hidden="false" customHeight="true" outlineLevel="0" collapsed="false">
      <c r="A309" s="13"/>
      <c r="B309" s="14"/>
      <c r="C309" s="15"/>
      <c r="D309" s="14"/>
      <c r="E309" s="16"/>
      <c r="F309" s="15"/>
      <c r="G309" s="15"/>
      <c r="H309" s="15"/>
    </row>
    <row r="310" customFormat="false" ht="21" hidden="false" customHeight="true" outlineLevel="0" collapsed="false">
      <c r="A310" s="13"/>
      <c r="B310" s="14"/>
      <c r="C310" s="15"/>
      <c r="D310" s="14"/>
      <c r="E310" s="16"/>
      <c r="F310" s="15"/>
      <c r="G310" s="15"/>
      <c r="H310" s="15"/>
    </row>
    <row r="311" customFormat="false" ht="21" hidden="false" customHeight="true" outlineLevel="0" collapsed="false">
      <c r="A311" s="13"/>
      <c r="B311" s="14"/>
      <c r="C311" s="15"/>
      <c r="D311" s="14"/>
      <c r="E311" s="16"/>
      <c r="F311" s="15"/>
      <c r="G311" s="15"/>
      <c r="H311" s="15"/>
    </row>
    <row r="312" customFormat="false" ht="21" hidden="false" customHeight="true" outlineLevel="0" collapsed="false">
      <c r="A312" s="13"/>
      <c r="B312" s="14"/>
      <c r="C312" s="15"/>
      <c r="D312" s="14"/>
      <c r="E312" s="16"/>
      <c r="F312" s="15"/>
      <c r="G312" s="15"/>
      <c r="H312" s="15"/>
    </row>
    <row r="313" customFormat="false" ht="21" hidden="false" customHeight="true" outlineLevel="0" collapsed="false">
      <c r="A313" s="13"/>
      <c r="B313" s="14"/>
      <c r="C313" s="15"/>
      <c r="D313" s="14"/>
      <c r="E313" s="16"/>
      <c r="F313" s="15"/>
      <c r="G313" s="15"/>
      <c r="H313" s="15"/>
    </row>
    <row r="314" customFormat="false" ht="21" hidden="false" customHeight="true" outlineLevel="0" collapsed="false">
      <c r="A314" s="13"/>
      <c r="B314" s="14"/>
      <c r="C314" s="15"/>
      <c r="D314" s="14"/>
      <c r="E314" s="16"/>
      <c r="F314" s="15"/>
      <c r="G314" s="15"/>
      <c r="H314" s="15"/>
    </row>
    <row r="315" customFormat="false" ht="21" hidden="false" customHeight="true" outlineLevel="0" collapsed="false">
      <c r="A315" s="13"/>
      <c r="B315" s="14"/>
      <c r="C315" s="15"/>
      <c r="D315" s="14"/>
      <c r="E315" s="16"/>
      <c r="F315" s="15"/>
      <c r="G315" s="15"/>
      <c r="H315" s="15"/>
    </row>
    <row r="316" customFormat="false" ht="21" hidden="false" customHeight="true" outlineLevel="0" collapsed="false">
      <c r="A316" s="13"/>
      <c r="B316" s="14"/>
      <c r="C316" s="15"/>
      <c r="D316" s="14"/>
      <c r="E316" s="16"/>
      <c r="F316" s="15"/>
      <c r="G316" s="15"/>
      <c r="H316" s="15"/>
    </row>
    <row r="317" customFormat="false" ht="21" hidden="false" customHeight="true" outlineLevel="0" collapsed="false">
      <c r="A317" s="13"/>
      <c r="B317" s="14"/>
      <c r="C317" s="15"/>
      <c r="D317" s="14"/>
      <c r="E317" s="16"/>
      <c r="F317" s="15"/>
      <c r="G317" s="15"/>
      <c r="H317" s="15"/>
    </row>
    <row r="318" customFormat="false" ht="21" hidden="false" customHeight="true" outlineLevel="0" collapsed="false">
      <c r="A318" s="13"/>
      <c r="B318" s="14"/>
      <c r="C318" s="15"/>
      <c r="D318" s="14"/>
      <c r="E318" s="16"/>
      <c r="F318" s="15"/>
      <c r="G318" s="15"/>
      <c r="H318" s="15"/>
    </row>
    <row r="319" customFormat="false" ht="21" hidden="false" customHeight="true" outlineLevel="0" collapsed="false">
      <c r="A319" s="13"/>
      <c r="B319" s="14"/>
      <c r="C319" s="15"/>
      <c r="D319" s="14"/>
      <c r="E319" s="16"/>
      <c r="F319" s="15"/>
      <c r="G319" s="15"/>
      <c r="H319" s="15"/>
    </row>
    <row r="320" customFormat="false" ht="21" hidden="false" customHeight="true" outlineLevel="0" collapsed="false">
      <c r="A320" s="13"/>
      <c r="B320" s="14"/>
      <c r="C320" s="15"/>
      <c r="D320" s="14"/>
      <c r="E320" s="16"/>
      <c r="F320" s="15"/>
      <c r="G320" s="15"/>
      <c r="H320" s="15"/>
    </row>
    <row r="321" customFormat="false" ht="21" hidden="false" customHeight="true" outlineLevel="0" collapsed="false">
      <c r="A321" s="13"/>
      <c r="B321" s="14"/>
      <c r="C321" s="15"/>
      <c r="D321" s="14"/>
      <c r="E321" s="16"/>
      <c r="F321" s="15"/>
      <c r="G321" s="15"/>
      <c r="H321" s="15"/>
    </row>
    <row r="322" customFormat="false" ht="21" hidden="false" customHeight="true" outlineLevel="0" collapsed="false">
      <c r="A322" s="13"/>
      <c r="B322" s="14"/>
      <c r="C322" s="15"/>
      <c r="D322" s="14"/>
      <c r="E322" s="16"/>
      <c r="F322" s="15"/>
      <c r="G322" s="15"/>
      <c r="H322" s="15"/>
    </row>
    <row r="323" customFormat="false" ht="21" hidden="false" customHeight="true" outlineLevel="0" collapsed="false">
      <c r="A323" s="13"/>
      <c r="B323" s="14"/>
      <c r="C323" s="15"/>
      <c r="D323" s="14"/>
      <c r="E323" s="16"/>
      <c r="F323" s="15"/>
      <c r="G323" s="15"/>
      <c r="H323" s="15"/>
    </row>
    <row r="324" customFormat="false" ht="21" hidden="false" customHeight="true" outlineLevel="0" collapsed="false">
      <c r="A324" s="13"/>
      <c r="B324" s="14"/>
      <c r="C324" s="15"/>
      <c r="D324" s="14"/>
      <c r="E324" s="16"/>
      <c r="F324" s="15"/>
      <c r="G324" s="15"/>
      <c r="H324" s="15"/>
    </row>
    <row r="325" customFormat="false" ht="21" hidden="false" customHeight="true" outlineLevel="0" collapsed="false">
      <c r="A325" s="13"/>
      <c r="B325" s="14"/>
      <c r="C325" s="15"/>
      <c r="D325" s="14"/>
      <c r="E325" s="16"/>
      <c r="F325" s="15"/>
      <c r="G325" s="15"/>
      <c r="H325" s="15"/>
    </row>
    <row r="326" customFormat="false" ht="21" hidden="false" customHeight="true" outlineLevel="0" collapsed="false">
      <c r="A326" s="13"/>
      <c r="B326" s="14"/>
      <c r="C326" s="15"/>
      <c r="D326" s="14"/>
      <c r="E326" s="16"/>
      <c r="F326" s="15"/>
      <c r="G326" s="15"/>
      <c r="H326" s="15"/>
    </row>
    <row r="327" customFormat="false" ht="21" hidden="false" customHeight="true" outlineLevel="0" collapsed="false">
      <c r="A327" s="13"/>
      <c r="B327" s="14"/>
      <c r="C327" s="15"/>
      <c r="D327" s="14"/>
      <c r="E327" s="16"/>
      <c r="F327" s="15"/>
      <c r="G327" s="15"/>
      <c r="H327" s="15"/>
    </row>
    <row r="328" customFormat="false" ht="21" hidden="false" customHeight="true" outlineLevel="0" collapsed="false">
      <c r="A328" s="13"/>
      <c r="B328" s="14"/>
      <c r="C328" s="15"/>
      <c r="D328" s="14"/>
      <c r="E328" s="16"/>
      <c r="F328" s="15"/>
      <c r="G328" s="15"/>
      <c r="H328" s="15"/>
    </row>
    <row r="329" customFormat="false" ht="21" hidden="false" customHeight="true" outlineLevel="0" collapsed="false">
      <c r="A329" s="13"/>
      <c r="B329" s="14"/>
      <c r="C329" s="15"/>
      <c r="D329" s="14"/>
      <c r="E329" s="16"/>
      <c r="F329" s="15"/>
      <c r="G329" s="15"/>
      <c r="H329" s="15"/>
    </row>
    <row r="330" customFormat="false" ht="21" hidden="false" customHeight="true" outlineLevel="0" collapsed="false">
      <c r="A330" s="13"/>
      <c r="B330" s="14"/>
      <c r="C330" s="15"/>
      <c r="D330" s="14"/>
      <c r="E330" s="16"/>
      <c r="F330" s="15"/>
      <c r="G330" s="15"/>
      <c r="H330" s="15"/>
    </row>
    <row r="331" customFormat="false" ht="21" hidden="false" customHeight="true" outlineLevel="0" collapsed="false">
      <c r="A331" s="13"/>
      <c r="B331" s="14"/>
      <c r="C331" s="15"/>
      <c r="D331" s="14"/>
      <c r="E331" s="16"/>
      <c r="F331" s="15"/>
      <c r="G331" s="15"/>
      <c r="H331" s="15"/>
    </row>
    <row r="332" customFormat="false" ht="21" hidden="false" customHeight="true" outlineLevel="0" collapsed="false">
      <c r="A332" s="13"/>
      <c r="B332" s="14"/>
      <c r="C332" s="15"/>
      <c r="D332" s="14"/>
      <c r="E332" s="16"/>
      <c r="F332" s="15"/>
      <c r="G332" s="15"/>
      <c r="H332" s="15"/>
    </row>
    <row r="333" customFormat="false" ht="21" hidden="false" customHeight="true" outlineLevel="0" collapsed="false">
      <c r="A333" s="13"/>
      <c r="B333" s="14"/>
      <c r="C333" s="15"/>
      <c r="D333" s="14"/>
      <c r="E333" s="16"/>
      <c r="F333" s="15"/>
      <c r="G333" s="15"/>
      <c r="H333" s="15"/>
    </row>
    <row r="334" customFormat="false" ht="21" hidden="false" customHeight="true" outlineLevel="0" collapsed="false">
      <c r="A334" s="13"/>
      <c r="B334" s="14"/>
      <c r="C334" s="15"/>
      <c r="D334" s="14"/>
      <c r="E334" s="16"/>
      <c r="F334" s="15"/>
      <c r="G334" s="15"/>
      <c r="H334" s="15"/>
    </row>
    <row r="335" customFormat="false" ht="21" hidden="false" customHeight="true" outlineLevel="0" collapsed="false">
      <c r="A335" s="13"/>
      <c r="B335" s="14"/>
      <c r="C335" s="15"/>
      <c r="D335" s="14"/>
      <c r="E335" s="16"/>
      <c r="F335" s="15"/>
      <c r="G335" s="15"/>
      <c r="H335" s="15"/>
    </row>
    <row r="336" customFormat="false" ht="21" hidden="false" customHeight="true" outlineLevel="0" collapsed="false">
      <c r="A336" s="13"/>
      <c r="B336" s="14"/>
      <c r="C336" s="15"/>
      <c r="D336" s="14"/>
      <c r="E336" s="16"/>
      <c r="F336" s="15"/>
      <c r="G336" s="15"/>
      <c r="H336" s="15"/>
    </row>
    <row r="337" customFormat="false" ht="21" hidden="false" customHeight="true" outlineLevel="0" collapsed="false">
      <c r="A337" s="13"/>
      <c r="B337" s="14"/>
      <c r="C337" s="15"/>
      <c r="D337" s="14"/>
      <c r="E337" s="16"/>
      <c r="F337" s="15"/>
      <c r="G337" s="15"/>
      <c r="H337" s="15"/>
    </row>
    <row r="338" customFormat="false" ht="21" hidden="false" customHeight="true" outlineLevel="0" collapsed="false">
      <c r="A338" s="13"/>
      <c r="B338" s="14"/>
      <c r="C338" s="15"/>
      <c r="D338" s="14"/>
      <c r="E338" s="16"/>
      <c r="F338" s="15"/>
      <c r="G338" s="15"/>
      <c r="H338" s="15"/>
    </row>
    <row r="339" customFormat="false" ht="21" hidden="false" customHeight="true" outlineLevel="0" collapsed="false">
      <c r="A339" s="13"/>
      <c r="B339" s="14"/>
      <c r="C339" s="15"/>
      <c r="D339" s="14"/>
      <c r="E339" s="16"/>
      <c r="F339" s="15"/>
      <c r="G339" s="15"/>
      <c r="H339" s="15"/>
    </row>
    <row r="340" customFormat="false" ht="21" hidden="false" customHeight="true" outlineLevel="0" collapsed="false">
      <c r="A340" s="13"/>
      <c r="B340" s="14"/>
      <c r="C340" s="15"/>
      <c r="D340" s="14"/>
      <c r="E340" s="16"/>
      <c r="F340" s="15"/>
      <c r="G340" s="15"/>
      <c r="H340" s="15"/>
    </row>
    <row r="341" customFormat="false" ht="21" hidden="false" customHeight="true" outlineLevel="0" collapsed="false">
      <c r="A341" s="13"/>
      <c r="B341" s="14"/>
      <c r="C341" s="15"/>
      <c r="D341" s="14"/>
      <c r="E341" s="16"/>
      <c r="F341" s="15"/>
      <c r="G341" s="15"/>
      <c r="H341" s="15"/>
    </row>
    <row r="342" customFormat="false" ht="21" hidden="false" customHeight="true" outlineLevel="0" collapsed="false">
      <c r="A342" s="13"/>
      <c r="B342" s="14"/>
      <c r="C342" s="15"/>
      <c r="D342" s="14"/>
      <c r="E342" s="16"/>
      <c r="F342" s="15"/>
      <c r="G342" s="15"/>
      <c r="H342" s="15"/>
    </row>
    <row r="343" customFormat="false" ht="21" hidden="false" customHeight="true" outlineLevel="0" collapsed="false">
      <c r="A343" s="13"/>
      <c r="B343" s="14"/>
      <c r="C343" s="15"/>
      <c r="D343" s="14"/>
      <c r="E343" s="16"/>
      <c r="F343" s="15"/>
      <c r="G343" s="15"/>
      <c r="H343" s="15"/>
    </row>
    <row r="344" customFormat="false" ht="21" hidden="false" customHeight="true" outlineLevel="0" collapsed="false">
      <c r="A344" s="13"/>
      <c r="B344" s="14"/>
      <c r="C344" s="15"/>
      <c r="D344" s="14"/>
      <c r="E344" s="16"/>
      <c r="F344" s="15"/>
      <c r="G344" s="15"/>
      <c r="H344" s="15"/>
    </row>
    <row r="345" customFormat="false" ht="21" hidden="false" customHeight="true" outlineLevel="0" collapsed="false">
      <c r="A345" s="13"/>
      <c r="B345" s="14"/>
      <c r="C345" s="15"/>
      <c r="D345" s="14"/>
      <c r="E345" s="16"/>
      <c r="F345" s="15"/>
      <c r="G345" s="15"/>
      <c r="H345" s="15"/>
    </row>
    <row r="346" customFormat="false" ht="21" hidden="false" customHeight="true" outlineLevel="0" collapsed="false">
      <c r="A346" s="13"/>
      <c r="B346" s="14"/>
      <c r="C346" s="15"/>
      <c r="D346" s="14"/>
      <c r="E346" s="16"/>
      <c r="F346" s="15"/>
      <c r="G346" s="15"/>
      <c r="H346" s="15"/>
    </row>
    <row r="347" customFormat="false" ht="21" hidden="false" customHeight="true" outlineLevel="0" collapsed="false">
      <c r="A347" s="13"/>
      <c r="B347" s="14"/>
      <c r="C347" s="15"/>
      <c r="D347" s="14"/>
      <c r="E347" s="16"/>
      <c r="F347" s="15"/>
      <c r="G347" s="15"/>
      <c r="H347" s="15"/>
    </row>
    <row r="348" customFormat="false" ht="21" hidden="false" customHeight="true" outlineLevel="0" collapsed="false">
      <c r="A348" s="13"/>
      <c r="B348" s="14"/>
      <c r="C348" s="15"/>
      <c r="D348" s="14"/>
      <c r="E348" s="16"/>
      <c r="F348" s="15"/>
      <c r="G348" s="15"/>
      <c r="H348" s="15"/>
    </row>
    <row r="349" customFormat="false" ht="21" hidden="false" customHeight="true" outlineLevel="0" collapsed="false">
      <c r="A349" s="13"/>
      <c r="B349" s="14"/>
      <c r="C349" s="15"/>
      <c r="D349" s="14"/>
      <c r="E349" s="16"/>
      <c r="F349" s="15"/>
      <c r="G349" s="15"/>
      <c r="H349" s="15"/>
    </row>
    <row r="350" customFormat="false" ht="21" hidden="false" customHeight="true" outlineLevel="0" collapsed="false">
      <c r="A350" s="13"/>
      <c r="B350" s="14"/>
      <c r="C350" s="15"/>
      <c r="D350" s="14"/>
      <c r="E350" s="16"/>
      <c r="F350" s="15"/>
      <c r="G350" s="15"/>
      <c r="H350" s="15"/>
    </row>
    <row r="351" customFormat="false" ht="21" hidden="false" customHeight="true" outlineLevel="0" collapsed="false">
      <c r="A351" s="13"/>
      <c r="B351" s="14"/>
      <c r="C351" s="15"/>
      <c r="D351" s="14"/>
      <c r="E351" s="16"/>
      <c r="F351" s="15"/>
      <c r="G351" s="15"/>
      <c r="H351" s="15"/>
    </row>
    <row r="352" customFormat="false" ht="21" hidden="false" customHeight="true" outlineLevel="0" collapsed="false">
      <c r="A352" s="13"/>
      <c r="B352" s="14"/>
      <c r="C352" s="15"/>
      <c r="D352" s="14"/>
      <c r="E352" s="16"/>
      <c r="F352" s="15"/>
      <c r="G352" s="15"/>
      <c r="H352" s="15"/>
    </row>
    <row r="353" customFormat="false" ht="21" hidden="false" customHeight="true" outlineLevel="0" collapsed="false">
      <c r="A353" s="13"/>
      <c r="B353" s="14"/>
      <c r="C353" s="15"/>
      <c r="D353" s="14"/>
      <c r="E353" s="16"/>
      <c r="F353" s="15"/>
      <c r="G353" s="15"/>
      <c r="H353" s="15"/>
    </row>
    <row r="354" customFormat="false" ht="21" hidden="false" customHeight="true" outlineLevel="0" collapsed="false">
      <c r="A354" s="13"/>
      <c r="B354" s="14"/>
      <c r="C354" s="15"/>
      <c r="D354" s="14"/>
      <c r="E354" s="16"/>
      <c r="F354" s="15"/>
      <c r="G354" s="15"/>
      <c r="H354" s="15"/>
    </row>
    <row r="355" customFormat="false" ht="21" hidden="false" customHeight="true" outlineLevel="0" collapsed="false">
      <c r="A355" s="13"/>
      <c r="B355" s="14"/>
      <c r="C355" s="15"/>
      <c r="D355" s="14"/>
      <c r="E355" s="16"/>
      <c r="F355" s="15"/>
      <c r="G355" s="15"/>
      <c r="H355" s="15"/>
    </row>
    <row r="356" customFormat="false" ht="21" hidden="false" customHeight="true" outlineLevel="0" collapsed="false">
      <c r="A356" s="13"/>
      <c r="B356" s="14"/>
      <c r="C356" s="15"/>
      <c r="D356" s="14"/>
      <c r="E356" s="16"/>
      <c r="F356" s="15"/>
      <c r="G356" s="15"/>
      <c r="H356" s="15"/>
    </row>
    <row r="357" customFormat="false" ht="21" hidden="false" customHeight="true" outlineLevel="0" collapsed="false">
      <c r="A357" s="13"/>
      <c r="B357" s="14"/>
      <c r="C357" s="15"/>
      <c r="D357" s="14"/>
      <c r="E357" s="16"/>
      <c r="F357" s="15"/>
      <c r="G357" s="15"/>
      <c r="H357" s="15"/>
    </row>
    <row r="358" customFormat="false" ht="21" hidden="false" customHeight="true" outlineLevel="0" collapsed="false">
      <c r="A358" s="13"/>
      <c r="B358" s="14"/>
      <c r="C358" s="15"/>
      <c r="D358" s="14"/>
      <c r="E358" s="16"/>
      <c r="F358" s="15"/>
      <c r="G358" s="15"/>
      <c r="H358" s="15"/>
    </row>
    <row r="359" customFormat="false" ht="21" hidden="false" customHeight="true" outlineLevel="0" collapsed="false">
      <c r="A359" s="13"/>
      <c r="B359" s="14"/>
      <c r="C359" s="15"/>
      <c r="D359" s="14"/>
      <c r="E359" s="16"/>
      <c r="F359" s="15"/>
      <c r="G359" s="15"/>
      <c r="H359" s="15"/>
    </row>
    <row r="360" customFormat="false" ht="21" hidden="false" customHeight="true" outlineLevel="0" collapsed="false">
      <c r="A360" s="13"/>
      <c r="B360" s="14"/>
      <c r="C360" s="15"/>
      <c r="D360" s="14"/>
      <c r="E360" s="16"/>
      <c r="F360" s="15"/>
      <c r="G360" s="15"/>
      <c r="H360" s="15"/>
    </row>
    <row r="361" customFormat="false" ht="21" hidden="false" customHeight="true" outlineLevel="0" collapsed="false">
      <c r="A361" s="13"/>
      <c r="B361" s="14"/>
      <c r="C361" s="15"/>
      <c r="D361" s="14"/>
      <c r="E361" s="16"/>
      <c r="F361" s="15"/>
      <c r="G361" s="15"/>
      <c r="H361" s="15"/>
    </row>
    <row r="362" customFormat="false" ht="21" hidden="false" customHeight="true" outlineLevel="0" collapsed="false">
      <c r="A362" s="13"/>
      <c r="B362" s="14"/>
      <c r="C362" s="15"/>
      <c r="D362" s="14"/>
      <c r="E362" s="16"/>
      <c r="F362" s="15"/>
      <c r="G362" s="15"/>
      <c r="H362" s="15"/>
    </row>
    <row r="363" customFormat="false" ht="21" hidden="false" customHeight="true" outlineLevel="0" collapsed="false">
      <c r="A363" s="13"/>
      <c r="B363" s="14"/>
      <c r="C363" s="15"/>
      <c r="D363" s="14"/>
      <c r="E363" s="16"/>
      <c r="F363" s="15"/>
      <c r="G363" s="15"/>
      <c r="H363" s="15"/>
    </row>
    <row r="364" customFormat="false" ht="21" hidden="false" customHeight="true" outlineLevel="0" collapsed="false">
      <c r="A364" s="13"/>
      <c r="B364" s="14"/>
      <c r="C364" s="15"/>
      <c r="D364" s="14"/>
      <c r="E364" s="16"/>
      <c r="F364" s="15"/>
      <c r="G364" s="15"/>
      <c r="H364" s="15"/>
    </row>
    <row r="365" customFormat="false" ht="21" hidden="false" customHeight="true" outlineLevel="0" collapsed="false">
      <c r="A365" s="13"/>
      <c r="B365" s="14"/>
      <c r="C365" s="15"/>
      <c r="D365" s="14"/>
      <c r="E365" s="16"/>
      <c r="F365" s="15"/>
      <c r="G365" s="15"/>
      <c r="H365" s="15"/>
    </row>
    <row r="366" customFormat="false" ht="21" hidden="false" customHeight="true" outlineLevel="0" collapsed="false">
      <c r="A366" s="13"/>
      <c r="B366" s="14"/>
      <c r="C366" s="15"/>
      <c r="D366" s="14"/>
      <c r="E366" s="16"/>
      <c r="F366" s="15"/>
      <c r="G366" s="15"/>
      <c r="H366" s="15"/>
    </row>
    <row r="367" customFormat="false" ht="21" hidden="false" customHeight="true" outlineLevel="0" collapsed="false">
      <c r="A367" s="13"/>
      <c r="B367" s="14"/>
      <c r="C367" s="15"/>
      <c r="D367" s="14"/>
      <c r="E367" s="16"/>
      <c r="F367" s="15"/>
      <c r="G367" s="15"/>
      <c r="H367" s="15"/>
    </row>
    <row r="368" customFormat="false" ht="21" hidden="false" customHeight="true" outlineLevel="0" collapsed="false">
      <c r="A368" s="13"/>
      <c r="B368" s="14"/>
      <c r="C368" s="15"/>
      <c r="D368" s="14"/>
      <c r="E368" s="16"/>
      <c r="F368" s="15"/>
      <c r="G368" s="15"/>
      <c r="H368" s="15"/>
    </row>
    <row r="369" customFormat="false" ht="21" hidden="false" customHeight="true" outlineLevel="0" collapsed="false">
      <c r="A369" s="13"/>
      <c r="B369" s="14"/>
      <c r="C369" s="15"/>
      <c r="D369" s="14"/>
      <c r="E369" s="16"/>
      <c r="F369" s="15"/>
      <c r="G369" s="15"/>
      <c r="H369" s="15"/>
    </row>
    <row r="370" customFormat="false" ht="21" hidden="false" customHeight="true" outlineLevel="0" collapsed="false">
      <c r="A370" s="13"/>
      <c r="B370" s="14"/>
      <c r="C370" s="15"/>
      <c r="D370" s="14"/>
      <c r="E370" s="16"/>
      <c r="F370" s="15"/>
      <c r="G370" s="15"/>
      <c r="H370" s="15"/>
    </row>
    <row r="371" customFormat="false" ht="21" hidden="false" customHeight="true" outlineLevel="0" collapsed="false">
      <c r="A371" s="13"/>
      <c r="B371" s="14"/>
      <c r="C371" s="15"/>
      <c r="D371" s="14"/>
      <c r="E371" s="16"/>
      <c r="F371" s="15"/>
      <c r="G371" s="15"/>
      <c r="H371" s="15"/>
    </row>
    <row r="372" customFormat="false" ht="21" hidden="false" customHeight="true" outlineLevel="0" collapsed="false">
      <c r="A372" s="13"/>
      <c r="B372" s="14"/>
      <c r="C372" s="15"/>
      <c r="D372" s="14"/>
      <c r="E372" s="16"/>
      <c r="F372" s="15"/>
      <c r="G372" s="15"/>
      <c r="H372" s="15"/>
    </row>
    <row r="373" customFormat="false" ht="21" hidden="false" customHeight="true" outlineLevel="0" collapsed="false">
      <c r="A373" s="13"/>
      <c r="B373" s="14"/>
      <c r="C373" s="15"/>
      <c r="D373" s="14"/>
      <c r="E373" s="16"/>
      <c r="F373" s="15"/>
      <c r="G373" s="15"/>
      <c r="H373" s="15"/>
    </row>
    <row r="374" customFormat="false" ht="21" hidden="false" customHeight="true" outlineLevel="0" collapsed="false">
      <c r="A374" s="13"/>
      <c r="B374" s="14"/>
      <c r="C374" s="15"/>
      <c r="D374" s="14"/>
      <c r="E374" s="16"/>
      <c r="F374" s="15"/>
      <c r="G374" s="15"/>
      <c r="H374" s="15"/>
    </row>
    <row r="375" customFormat="false" ht="21" hidden="false" customHeight="true" outlineLevel="0" collapsed="false">
      <c r="A375" s="13"/>
      <c r="B375" s="14"/>
      <c r="C375" s="15"/>
      <c r="D375" s="14"/>
      <c r="E375" s="16"/>
      <c r="F375" s="15"/>
      <c r="G375" s="15"/>
      <c r="H375" s="15"/>
    </row>
    <row r="376" customFormat="false" ht="21" hidden="false" customHeight="true" outlineLevel="0" collapsed="false">
      <c r="A376" s="13"/>
      <c r="B376" s="14"/>
      <c r="C376" s="15"/>
      <c r="D376" s="14"/>
      <c r="E376" s="16"/>
      <c r="F376" s="15"/>
      <c r="G376" s="15"/>
      <c r="H376" s="15"/>
    </row>
    <row r="377" customFormat="false" ht="21" hidden="false" customHeight="true" outlineLevel="0" collapsed="false">
      <c r="A377" s="13"/>
      <c r="B377" s="14"/>
      <c r="C377" s="15"/>
      <c r="D377" s="14"/>
      <c r="E377" s="16"/>
      <c r="F377" s="15"/>
      <c r="G377" s="15"/>
      <c r="H377" s="15"/>
    </row>
    <row r="378" customFormat="false" ht="21" hidden="false" customHeight="true" outlineLevel="0" collapsed="false">
      <c r="A378" s="13"/>
      <c r="B378" s="14"/>
      <c r="C378" s="15"/>
      <c r="D378" s="14"/>
      <c r="E378" s="16"/>
      <c r="F378" s="15"/>
      <c r="G378" s="15"/>
      <c r="H378" s="15"/>
    </row>
    <row r="379" customFormat="false" ht="21" hidden="false" customHeight="true" outlineLevel="0" collapsed="false">
      <c r="A379" s="13"/>
      <c r="B379" s="14"/>
      <c r="C379" s="15"/>
      <c r="D379" s="14"/>
      <c r="E379" s="16"/>
      <c r="F379" s="15"/>
      <c r="G379" s="15"/>
      <c r="H379" s="15"/>
    </row>
    <row r="380" customFormat="false" ht="21" hidden="false" customHeight="true" outlineLevel="0" collapsed="false">
      <c r="A380" s="13"/>
      <c r="B380" s="14"/>
      <c r="C380" s="15"/>
      <c r="D380" s="14"/>
      <c r="E380" s="16"/>
      <c r="F380" s="15"/>
      <c r="G380" s="15"/>
      <c r="H380" s="15"/>
    </row>
    <row r="381" customFormat="false" ht="21" hidden="false" customHeight="true" outlineLevel="0" collapsed="false">
      <c r="A381" s="13"/>
      <c r="B381" s="14"/>
      <c r="C381" s="15"/>
      <c r="D381" s="14"/>
      <c r="E381" s="16"/>
      <c r="F381" s="15"/>
      <c r="G381" s="15"/>
      <c r="H381" s="15"/>
    </row>
    <row r="382" customFormat="false" ht="21" hidden="false" customHeight="true" outlineLevel="0" collapsed="false">
      <c r="A382" s="13"/>
      <c r="B382" s="14"/>
      <c r="C382" s="15"/>
      <c r="D382" s="14"/>
      <c r="E382" s="16"/>
      <c r="F382" s="15"/>
      <c r="G382" s="15"/>
      <c r="H382" s="15"/>
    </row>
    <row r="383" customFormat="false" ht="21" hidden="false" customHeight="true" outlineLevel="0" collapsed="false">
      <c r="A383" s="13"/>
      <c r="B383" s="14"/>
      <c r="C383" s="15"/>
      <c r="D383" s="14"/>
      <c r="E383" s="16"/>
      <c r="F383" s="15"/>
      <c r="G383" s="15"/>
      <c r="H383" s="15"/>
    </row>
    <row r="384" customFormat="false" ht="21" hidden="false" customHeight="true" outlineLevel="0" collapsed="false">
      <c r="A384" s="13"/>
      <c r="B384" s="14"/>
      <c r="C384" s="15"/>
      <c r="D384" s="14"/>
      <c r="E384" s="16"/>
      <c r="F384" s="15"/>
      <c r="G384" s="15"/>
      <c r="H384" s="15"/>
    </row>
    <row r="385" customFormat="false" ht="21" hidden="false" customHeight="true" outlineLevel="0" collapsed="false">
      <c r="A385" s="13"/>
      <c r="B385" s="14"/>
      <c r="C385" s="15"/>
      <c r="D385" s="14"/>
      <c r="E385" s="16"/>
      <c r="F385" s="15"/>
      <c r="G385" s="15"/>
      <c r="H385" s="15"/>
    </row>
    <row r="386" customFormat="false" ht="21" hidden="false" customHeight="true" outlineLevel="0" collapsed="false">
      <c r="A386" s="13"/>
      <c r="B386" s="14"/>
      <c r="C386" s="15"/>
      <c r="D386" s="14"/>
      <c r="E386" s="16"/>
      <c r="F386" s="15"/>
      <c r="G386" s="15"/>
      <c r="H386" s="15"/>
    </row>
    <row r="387" customFormat="false" ht="21" hidden="false" customHeight="true" outlineLevel="0" collapsed="false">
      <c r="A387" s="13"/>
      <c r="B387" s="14"/>
      <c r="C387" s="15"/>
      <c r="D387" s="14"/>
      <c r="E387" s="16"/>
      <c r="F387" s="15"/>
      <c r="G387" s="15"/>
      <c r="H387" s="15"/>
    </row>
    <row r="388" customFormat="false" ht="21" hidden="false" customHeight="true" outlineLevel="0" collapsed="false">
      <c r="A388" s="13"/>
      <c r="B388" s="14"/>
      <c r="C388" s="15"/>
      <c r="D388" s="14"/>
      <c r="E388" s="16"/>
      <c r="F388" s="15"/>
      <c r="G388" s="15"/>
      <c r="H388" s="15"/>
    </row>
    <row r="389" customFormat="false" ht="21" hidden="false" customHeight="true" outlineLevel="0" collapsed="false">
      <c r="A389" s="13"/>
      <c r="B389" s="14"/>
      <c r="C389" s="15"/>
      <c r="D389" s="14"/>
      <c r="E389" s="16"/>
      <c r="F389" s="15"/>
      <c r="G389" s="15"/>
      <c r="H389" s="15"/>
    </row>
    <row r="390" customFormat="false" ht="21" hidden="false" customHeight="true" outlineLevel="0" collapsed="false">
      <c r="A390" s="13"/>
      <c r="B390" s="14"/>
      <c r="C390" s="15"/>
      <c r="D390" s="14"/>
      <c r="E390" s="16"/>
      <c r="F390" s="15"/>
      <c r="G390" s="15"/>
      <c r="H390" s="15"/>
    </row>
    <row r="391" customFormat="false" ht="21" hidden="false" customHeight="true" outlineLevel="0" collapsed="false">
      <c r="A391" s="13"/>
      <c r="B391" s="14"/>
      <c r="C391" s="15"/>
      <c r="D391" s="14"/>
      <c r="E391" s="16"/>
      <c r="F391" s="15"/>
      <c r="G391" s="15"/>
      <c r="H391" s="15"/>
    </row>
    <row r="392" customFormat="false" ht="21" hidden="false" customHeight="true" outlineLevel="0" collapsed="false">
      <c r="A392" s="13"/>
      <c r="B392" s="14"/>
      <c r="C392" s="15"/>
      <c r="D392" s="14"/>
      <c r="E392" s="16"/>
      <c r="F392" s="15"/>
      <c r="G392" s="15"/>
      <c r="H392" s="15"/>
    </row>
    <row r="393" customFormat="false" ht="21" hidden="false" customHeight="true" outlineLevel="0" collapsed="false">
      <c r="A393" s="13"/>
      <c r="B393" s="14"/>
      <c r="C393" s="15"/>
      <c r="D393" s="14"/>
      <c r="E393" s="16"/>
      <c r="F393" s="15"/>
      <c r="G393" s="15"/>
      <c r="H393" s="15"/>
    </row>
    <row r="394" customFormat="false" ht="21" hidden="false" customHeight="true" outlineLevel="0" collapsed="false">
      <c r="A394" s="13"/>
      <c r="B394" s="14"/>
      <c r="C394" s="15"/>
      <c r="D394" s="14"/>
      <c r="E394" s="16"/>
      <c r="F394" s="15"/>
      <c r="G394" s="15"/>
      <c r="H394" s="15"/>
    </row>
    <row r="395" customFormat="false" ht="21" hidden="false" customHeight="true" outlineLevel="0" collapsed="false">
      <c r="A395" s="13"/>
      <c r="B395" s="14"/>
      <c r="C395" s="15"/>
      <c r="D395" s="14"/>
      <c r="E395" s="16"/>
      <c r="F395" s="15"/>
      <c r="G395" s="15"/>
      <c r="H395" s="15"/>
    </row>
    <row r="396" customFormat="false" ht="21" hidden="false" customHeight="true" outlineLevel="0" collapsed="false">
      <c r="A396" s="13"/>
      <c r="B396" s="14"/>
      <c r="C396" s="15"/>
      <c r="D396" s="14"/>
      <c r="E396" s="16"/>
      <c r="F396" s="15"/>
      <c r="G396" s="15"/>
      <c r="H396" s="15"/>
    </row>
    <row r="397" customFormat="false" ht="21" hidden="false" customHeight="true" outlineLevel="0" collapsed="false">
      <c r="A397" s="13"/>
      <c r="B397" s="14"/>
      <c r="C397" s="15"/>
      <c r="D397" s="14"/>
      <c r="E397" s="16"/>
      <c r="F397" s="15"/>
      <c r="G397" s="15"/>
      <c r="H397" s="15"/>
    </row>
    <row r="398" customFormat="false" ht="21" hidden="false" customHeight="true" outlineLevel="0" collapsed="false">
      <c r="A398" s="13"/>
      <c r="B398" s="14"/>
      <c r="C398" s="15"/>
      <c r="D398" s="14"/>
      <c r="E398" s="16"/>
      <c r="F398" s="15"/>
      <c r="G398" s="15"/>
      <c r="H398" s="15"/>
    </row>
    <row r="399" customFormat="false" ht="21" hidden="false" customHeight="true" outlineLevel="0" collapsed="false">
      <c r="A399" s="13"/>
      <c r="B399" s="14"/>
      <c r="C399" s="15"/>
      <c r="D399" s="14"/>
      <c r="E399" s="16"/>
      <c r="F399" s="15"/>
      <c r="G399" s="15"/>
      <c r="H399" s="15"/>
    </row>
    <row r="400" customFormat="false" ht="21" hidden="false" customHeight="true" outlineLevel="0" collapsed="false">
      <c r="A400" s="13"/>
      <c r="B400" s="14"/>
      <c r="C400" s="15"/>
      <c r="D400" s="14"/>
      <c r="E400" s="16"/>
      <c r="F400" s="15"/>
      <c r="G400" s="15"/>
      <c r="H400" s="15"/>
    </row>
    <row r="401" customFormat="false" ht="21" hidden="false" customHeight="true" outlineLevel="0" collapsed="false">
      <c r="A401" s="13"/>
      <c r="B401" s="14"/>
      <c r="C401" s="15"/>
      <c r="D401" s="14"/>
      <c r="E401" s="16"/>
      <c r="F401" s="15"/>
      <c r="G401" s="15"/>
      <c r="H401" s="15"/>
    </row>
    <row r="402" customFormat="false" ht="21" hidden="false" customHeight="true" outlineLevel="0" collapsed="false">
      <c r="A402" s="13"/>
      <c r="B402" s="14"/>
      <c r="C402" s="15"/>
      <c r="D402" s="14"/>
      <c r="E402" s="16"/>
      <c r="F402" s="15"/>
      <c r="G402" s="15"/>
      <c r="H402" s="15"/>
    </row>
    <row r="403" customFormat="false" ht="21" hidden="false" customHeight="true" outlineLevel="0" collapsed="false">
      <c r="A403" s="13"/>
      <c r="B403" s="14"/>
      <c r="C403" s="15"/>
      <c r="D403" s="14"/>
      <c r="E403" s="16"/>
      <c r="F403" s="15"/>
      <c r="G403" s="15"/>
      <c r="H403" s="15"/>
    </row>
    <row r="404" customFormat="false" ht="21" hidden="false" customHeight="true" outlineLevel="0" collapsed="false">
      <c r="A404" s="13"/>
      <c r="B404" s="14"/>
      <c r="C404" s="15"/>
      <c r="D404" s="14"/>
      <c r="E404" s="16"/>
      <c r="F404" s="15"/>
      <c r="G404" s="15"/>
      <c r="H404" s="15"/>
    </row>
    <row r="405" customFormat="false" ht="21" hidden="false" customHeight="true" outlineLevel="0" collapsed="false">
      <c r="A405" s="13"/>
      <c r="B405" s="14"/>
      <c r="C405" s="15"/>
      <c r="D405" s="14"/>
      <c r="E405" s="16"/>
      <c r="F405" s="15"/>
      <c r="G405" s="15"/>
      <c r="H405" s="15"/>
    </row>
    <row r="406" customFormat="false" ht="21" hidden="false" customHeight="true" outlineLevel="0" collapsed="false">
      <c r="A406" s="13"/>
      <c r="B406" s="14"/>
      <c r="C406" s="15"/>
      <c r="D406" s="14"/>
      <c r="E406" s="16"/>
      <c r="F406" s="15"/>
      <c r="G406" s="15"/>
      <c r="H406" s="15"/>
    </row>
    <row r="407" customFormat="false" ht="21" hidden="false" customHeight="true" outlineLevel="0" collapsed="false">
      <c r="A407" s="13"/>
      <c r="B407" s="14"/>
      <c r="C407" s="15"/>
      <c r="D407" s="14"/>
      <c r="E407" s="16"/>
      <c r="F407" s="15"/>
      <c r="G407" s="15"/>
      <c r="H407" s="15"/>
    </row>
    <row r="408" customFormat="false" ht="21" hidden="false" customHeight="true" outlineLevel="0" collapsed="false">
      <c r="A408" s="13"/>
      <c r="B408" s="14"/>
      <c r="C408" s="15"/>
      <c r="D408" s="14"/>
      <c r="E408" s="16"/>
      <c r="F408" s="15"/>
      <c r="G408" s="15"/>
      <c r="H408" s="15"/>
    </row>
    <row r="409" customFormat="false" ht="21" hidden="false" customHeight="true" outlineLevel="0" collapsed="false">
      <c r="A409" s="13"/>
      <c r="B409" s="14"/>
      <c r="C409" s="15"/>
      <c r="D409" s="14"/>
      <c r="E409" s="16"/>
      <c r="F409" s="15"/>
      <c r="G409" s="15"/>
      <c r="H409" s="15"/>
    </row>
    <row r="410" customFormat="false" ht="21" hidden="false" customHeight="true" outlineLevel="0" collapsed="false">
      <c r="A410" s="13"/>
      <c r="B410" s="14"/>
      <c r="C410" s="15"/>
      <c r="D410" s="14"/>
      <c r="E410" s="16"/>
      <c r="F410" s="15"/>
      <c r="G410" s="15"/>
      <c r="H410" s="15"/>
    </row>
    <row r="411" customFormat="false" ht="21" hidden="false" customHeight="true" outlineLevel="0" collapsed="false">
      <c r="A411" s="13"/>
      <c r="B411" s="14"/>
      <c r="C411" s="15"/>
      <c r="D411" s="14"/>
      <c r="E411" s="16"/>
      <c r="F411" s="15"/>
      <c r="G411" s="15"/>
      <c r="H411" s="15"/>
    </row>
    <row r="412" customFormat="false" ht="21" hidden="false" customHeight="true" outlineLevel="0" collapsed="false">
      <c r="A412" s="13"/>
      <c r="B412" s="14"/>
      <c r="C412" s="15"/>
      <c r="D412" s="14"/>
      <c r="E412" s="16"/>
      <c r="F412" s="15"/>
      <c r="G412" s="15"/>
      <c r="H412" s="15"/>
    </row>
    <row r="413" customFormat="false" ht="21" hidden="false" customHeight="true" outlineLevel="0" collapsed="false">
      <c r="A413" s="13"/>
      <c r="B413" s="14"/>
      <c r="C413" s="15"/>
      <c r="D413" s="14"/>
      <c r="E413" s="16"/>
      <c r="F413" s="15"/>
      <c r="G413" s="15"/>
      <c r="H413" s="15"/>
    </row>
    <row r="414" customFormat="false" ht="21" hidden="false" customHeight="true" outlineLevel="0" collapsed="false">
      <c r="A414" s="13"/>
      <c r="B414" s="14"/>
      <c r="C414" s="15"/>
      <c r="D414" s="14"/>
      <c r="E414" s="16"/>
      <c r="F414" s="15"/>
      <c r="G414" s="15"/>
      <c r="H414" s="15"/>
    </row>
    <row r="415" customFormat="false" ht="21" hidden="false" customHeight="true" outlineLevel="0" collapsed="false">
      <c r="A415" s="13"/>
      <c r="B415" s="14"/>
      <c r="C415" s="15"/>
      <c r="D415" s="14"/>
      <c r="E415" s="16"/>
      <c r="F415" s="15"/>
      <c r="G415" s="15"/>
      <c r="H415" s="15"/>
    </row>
    <row r="416" customFormat="false" ht="21" hidden="false" customHeight="true" outlineLevel="0" collapsed="false">
      <c r="A416" s="13"/>
      <c r="B416" s="14"/>
      <c r="C416" s="15"/>
      <c r="D416" s="14"/>
      <c r="E416" s="16"/>
      <c r="F416" s="15"/>
      <c r="G416" s="15"/>
      <c r="H416" s="15"/>
    </row>
    <row r="417" customFormat="false" ht="21" hidden="false" customHeight="true" outlineLevel="0" collapsed="false">
      <c r="A417" s="13"/>
      <c r="B417" s="14"/>
      <c r="C417" s="15"/>
      <c r="D417" s="14"/>
      <c r="E417" s="16"/>
      <c r="F417" s="15"/>
      <c r="G417" s="15"/>
      <c r="H417" s="15"/>
    </row>
    <row r="418" customFormat="false" ht="21" hidden="false" customHeight="true" outlineLevel="0" collapsed="false">
      <c r="A418" s="13"/>
      <c r="B418" s="14"/>
      <c r="C418" s="15"/>
      <c r="D418" s="14"/>
      <c r="E418" s="16"/>
      <c r="F418" s="15"/>
      <c r="G418" s="15"/>
      <c r="H418" s="15"/>
    </row>
    <row r="419" customFormat="false" ht="21" hidden="false" customHeight="true" outlineLevel="0" collapsed="false">
      <c r="A419" s="13"/>
      <c r="B419" s="14"/>
      <c r="C419" s="15"/>
      <c r="D419" s="14"/>
      <c r="E419" s="16"/>
      <c r="F419" s="15"/>
      <c r="G419" s="15"/>
      <c r="H419" s="15"/>
    </row>
    <row r="420" customFormat="false" ht="21" hidden="false" customHeight="true" outlineLevel="0" collapsed="false">
      <c r="A420" s="13"/>
      <c r="B420" s="14"/>
      <c r="C420" s="15"/>
      <c r="D420" s="14"/>
      <c r="E420" s="16"/>
      <c r="F420" s="15"/>
      <c r="G420" s="15"/>
      <c r="H420" s="15"/>
    </row>
    <row r="421" customFormat="false" ht="21" hidden="false" customHeight="true" outlineLevel="0" collapsed="false">
      <c r="A421" s="13"/>
      <c r="B421" s="14"/>
      <c r="C421" s="15"/>
      <c r="D421" s="14"/>
      <c r="E421" s="16"/>
      <c r="F421" s="15"/>
      <c r="G421" s="15"/>
      <c r="H421" s="15"/>
    </row>
    <row r="422" customFormat="false" ht="21" hidden="false" customHeight="true" outlineLevel="0" collapsed="false">
      <c r="A422" s="13"/>
      <c r="B422" s="14"/>
      <c r="C422" s="15"/>
      <c r="D422" s="14"/>
      <c r="E422" s="16"/>
      <c r="F422" s="15"/>
      <c r="G422" s="15"/>
      <c r="H422" s="15"/>
    </row>
    <row r="423" customFormat="false" ht="21" hidden="false" customHeight="true" outlineLevel="0" collapsed="false">
      <c r="A423" s="13"/>
      <c r="B423" s="14"/>
      <c r="C423" s="15"/>
      <c r="D423" s="14"/>
      <c r="E423" s="16"/>
      <c r="F423" s="15"/>
      <c r="G423" s="15"/>
      <c r="H423" s="15"/>
    </row>
    <row r="424" customFormat="false" ht="21" hidden="false" customHeight="true" outlineLevel="0" collapsed="false">
      <c r="A424" s="13"/>
      <c r="B424" s="14"/>
      <c r="C424" s="15"/>
      <c r="D424" s="14"/>
      <c r="E424" s="16"/>
      <c r="F424" s="15"/>
      <c r="G424" s="15"/>
      <c r="H424" s="15"/>
    </row>
    <row r="425" customFormat="false" ht="21" hidden="false" customHeight="true" outlineLevel="0" collapsed="false">
      <c r="A425" s="13"/>
      <c r="B425" s="14"/>
      <c r="C425" s="15"/>
      <c r="D425" s="14"/>
      <c r="E425" s="16"/>
      <c r="F425" s="15"/>
      <c r="G425" s="15"/>
      <c r="H425" s="15"/>
    </row>
    <row r="426" customFormat="false" ht="21" hidden="false" customHeight="true" outlineLevel="0" collapsed="false">
      <c r="A426" s="13"/>
      <c r="B426" s="14"/>
      <c r="C426" s="15"/>
      <c r="D426" s="14"/>
      <c r="E426" s="16"/>
      <c r="F426" s="15"/>
      <c r="G426" s="15"/>
      <c r="H426" s="15"/>
    </row>
    <row r="427" customFormat="false" ht="21" hidden="false" customHeight="true" outlineLevel="0" collapsed="false">
      <c r="A427" s="13"/>
      <c r="B427" s="14"/>
      <c r="C427" s="15"/>
      <c r="D427" s="14"/>
      <c r="E427" s="16"/>
      <c r="F427" s="15"/>
      <c r="G427" s="15"/>
      <c r="H427" s="15"/>
    </row>
    <row r="428" customFormat="false" ht="21" hidden="false" customHeight="true" outlineLevel="0" collapsed="false">
      <c r="A428" s="13"/>
      <c r="B428" s="14"/>
      <c r="C428" s="15"/>
      <c r="D428" s="14"/>
      <c r="E428" s="16"/>
      <c r="F428" s="15"/>
      <c r="G428" s="15"/>
      <c r="H428" s="15"/>
    </row>
    <row r="429" customFormat="false" ht="21" hidden="false" customHeight="true" outlineLevel="0" collapsed="false">
      <c r="A429" s="13"/>
      <c r="B429" s="14"/>
      <c r="C429" s="15"/>
      <c r="D429" s="14"/>
      <c r="E429" s="16"/>
      <c r="F429" s="15"/>
      <c r="G429" s="15"/>
      <c r="H429" s="15"/>
    </row>
    <row r="430" customFormat="false" ht="21" hidden="false" customHeight="true" outlineLevel="0" collapsed="false">
      <c r="A430" s="13"/>
      <c r="B430" s="14"/>
      <c r="C430" s="15"/>
      <c r="D430" s="14"/>
      <c r="E430" s="16"/>
      <c r="F430" s="15"/>
      <c r="G430" s="15"/>
      <c r="H430" s="15"/>
    </row>
    <row r="431" customFormat="false" ht="21" hidden="false" customHeight="true" outlineLevel="0" collapsed="false">
      <c r="A431" s="13"/>
      <c r="B431" s="14"/>
      <c r="C431" s="15"/>
      <c r="D431" s="14"/>
      <c r="E431" s="16"/>
      <c r="F431" s="15"/>
      <c r="G431" s="15"/>
      <c r="H431" s="15"/>
    </row>
    <row r="432" customFormat="false" ht="21" hidden="false" customHeight="true" outlineLevel="0" collapsed="false">
      <c r="A432" s="13"/>
      <c r="B432" s="14"/>
      <c r="C432" s="15"/>
      <c r="D432" s="14"/>
      <c r="E432" s="16"/>
      <c r="F432" s="15"/>
      <c r="G432" s="15"/>
      <c r="H432" s="15"/>
    </row>
    <row r="433" customFormat="false" ht="21" hidden="false" customHeight="true" outlineLevel="0" collapsed="false">
      <c r="A433" s="13"/>
      <c r="B433" s="14"/>
      <c r="C433" s="15"/>
      <c r="D433" s="14"/>
      <c r="E433" s="16"/>
      <c r="F433" s="15"/>
      <c r="G433" s="15"/>
      <c r="H433" s="15"/>
    </row>
    <row r="434" customFormat="false" ht="21" hidden="false" customHeight="true" outlineLevel="0" collapsed="false">
      <c r="A434" s="13"/>
      <c r="B434" s="14"/>
      <c r="C434" s="15"/>
      <c r="D434" s="14"/>
      <c r="E434" s="16"/>
      <c r="F434" s="15"/>
      <c r="G434" s="15"/>
      <c r="H434" s="15"/>
    </row>
    <row r="435" customFormat="false" ht="21" hidden="false" customHeight="true" outlineLevel="0" collapsed="false">
      <c r="A435" s="13"/>
      <c r="B435" s="14"/>
      <c r="C435" s="15"/>
      <c r="D435" s="14"/>
      <c r="E435" s="16"/>
      <c r="F435" s="15"/>
      <c r="G435" s="15"/>
      <c r="H435" s="15"/>
    </row>
    <row r="436" customFormat="false" ht="21" hidden="false" customHeight="true" outlineLevel="0" collapsed="false">
      <c r="A436" s="13"/>
      <c r="B436" s="14"/>
      <c r="C436" s="15"/>
      <c r="D436" s="14"/>
      <c r="E436" s="16"/>
      <c r="F436" s="15"/>
      <c r="G436" s="15"/>
      <c r="H436" s="15"/>
    </row>
    <row r="437" customFormat="false" ht="21" hidden="false" customHeight="true" outlineLevel="0" collapsed="false">
      <c r="A437" s="13"/>
      <c r="B437" s="14"/>
      <c r="C437" s="15"/>
      <c r="D437" s="14"/>
      <c r="E437" s="16"/>
      <c r="F437" s="15"/>
      <c r="G437" s="15"/>
      <c r="H437" s="15"/>
    </row>
    <row r="438" customFormat="false" ht="21" hidden="false" customHeight="true" outlineLevel="0" collapsed="false">
      <c r="A438" s="13"/>
      <c r="B438" s="14"/>
      <c r="C438" s="15"/>
      <c r="D438" s="14"/>
      <c r="E438" s="16"/>
      <c r="F438" s="15"/>
      <c r="G438" s="15"/>
      <c r="H438" s="15"/>
    </row>
    <row r="439" customFormat="false" ht="21" hidden="false" customHeight="true" outlineLevel="0" collapsed="false">
      <c r="A439" s="13"/>
      <c r="B439" s="14"/>
      <c r="C439" s="15"/>
      <c r="D439" s="14"/>
      <c r="E439" s="16"/>
      <c r="F439" s="15"/>
      <c r="G439" s="15"/>
      <c r="H439" s="15"/>
    </row>
    <row r="440" customFormat="false" ht="21" hidden="false" customHeight="true" outlineLevel="0" collapsed="false">
      <c r="A440" s="13"/>
      <c r="B440" s="14"/>
      <c r="C440" s="15"/>
      <c r="D440" s="14"/>
      <c r="E440" s="16"/>
      <c r="F440" s="15"/>
      <c r="G440" s="15"/>
      <c r="H440" s="15"/>
    </row>
    <row r="441" customFormat="false" ht="21" hidden="false" customHeight="true" outlineLevel="0" collapsed="false">
      <c r="A441" s="13"/>
      <c r="B441" s="14"/>
      <c r="C441" s="15"/>
      <c r="D441" s="14"/>
      <c r="E441" s="16"/>
      <c r="F441" s="15"/>
      <c r="G441" s="15"/>
      <c r="H441" s="15"/>
    </row>
    <row r="442" customFormat="false" ht="21" hidden="false" customHeight="true" outlineLevel="0" collapsed="false">
      <c r="A442" s="13"/>
      <c r="B442" s="14"/>
      <c r="C442" s="15"/>
      <c r="D442" s="14"/>
      <c r="E442" s="16"/>
      <c r="F442" s="15"/>
      <c r="G442" s="15"/>
      <c r="H442" s="15"/>
    </row>
    <row r="443" customFormat="false" ht="21" hidden="false" customHeight="true" outlineLevel="0" collapsed="false">
      <c r="A443" s="13"/>
      <c r="B443" s="14"/>
      <c r="C443" s="15"/>
      <c r="D443" s="14"/>
      <c r="E443" s="16"/>
      <c r="F443" s="15"/>
      <c r="G443" s="15"/>
      <c r="H443" s="15"/>
    </row>
    <row r="444" customFormat="false" ht="21" hidden="false" customHeight="true" outlineLevel="0" collapsed="false">
      <c r="A444" s="13"/>
      <c r="B444" s="14"/>
      <c r="C444" s="15"/>
      <c r="D444" s="14"/>
      <c r="E444" s="16"/>
      <c r="F444" s="15"/>
      <c r="G444" s="15"/>
      <c r="H444" s="15"/>
    </row>
    <row r="445" customFormat="false" ht="21" hidden="false" customHeight="true" outlineLevel="0" collapsed="false">
      <c r="A445" s="13"/>
      <c r="B445" s="14"/>
      <c r="C445" s="15"/>
      <c r="D445" s="14"/>
      <c r="E445" s="16"/>
      <c r="F445" s="15"/>
      <c r="G445" s="15"/>
      <c r="H445" s="15"/>
    </row>
    <row r="446" customFormat="false" ht="21" hidden="false" customHeight="true" outlineLevel="0" collapsed="false">
      <c r="A446" s="13"/>
      <c r="B446" s="14"/>
      <c r="C446" s="15"/>
      <c r="D446" s="14"/>
      <c r="E446" s="16"/>
      <c r="F446" s="15"/>
      <c r="G446" s="15"/>
      <c r="H446" s="15"/>
    </row>
    <row r="447" customFormat="false" ht="21" hidden="false" customHeight="true" outlineLevel="0" collapsed="false">
      <c r="A447" s="13"/>
      <c r="B447" s="14"/>
      <c r="C447" s="15"/>
      <c r="D447" s="14"/>
      <c r="E447" s="16"/>
      <c r="F447" s="15"/>
      <c r="G447" s="15"/>
      <c r="H447" s="15"/>
    </row>
    <row r="448" customFormat="false" ht="21" hidden="false" customHeight="true" outlineLevel="0" collapsed="false">
      <c r="A448" s="13"/>
      <c r="B448" s="14"/>
      <c r="C448" s="15"/>
      <c r="D448" s="14"/>
      <c r="E448" s="16"/>
      <c r="F448" s="15"/>
      <c r="G448" s="15"/>
      <c r="H448" s="15"/>
    </row>
    <row r="449" customFormat="false" ht="21" hidden="false" customHeight="true" outlineLevel="0" collapsed="false">
      <c r="A449" s="13"/>
      <c r="B449" s="14"/>
      <c r="C449" s="15"/>
      <c r="D449" s="14"/>
      <c r="E449" s="16"/>
      <c r="F449" s="15"/>
      <c r="G449" s="15"/>
      <c r="H449" s="15"/>
    </row>
    <row r="450" customFormat="false" ht="21" hidden="false" customHeight="true" outlineLevel="0" collapsed="false">
      <c r="A450" s="13"/>
      <c r="B450" s="14"/>
      <c r="C450" s="15"/>
      <c r="D450" s="14"/>
      <c r="E450" s="16"/>
      <c r="F450" s="15"/>
      <c r="G450" s="15"/>
      <c r="H450" s="15"/>
    </row>
    <row r="451" customFormat="false" ht="21" hidden="false" customHeight="true" outlineLevel="0" collapsed="false">
      <c r="A451" s="13"/>
      <c r="B451" s="14"/>
      <c r="C451" s="15"/>
      <c r="D451" s="14"/>
      <c r="E451" s="16"/>
      <c r="F451" s="15"/>
      <c r="G451" s="15"/>
      <c r="H451" s="15"/>
    </row>
    <row r="452" customFormat="false" ht="21" hidden="false" customHeight="true" outlineLevel="0" collapsed="false">
      <c r="A452" s="13"/>
      <c r="B452" s="14"/>
      <c r="C452" s="15"/>
      <c r="D452" s="14"/>
      <c r="E452" s="16"/>
      <c r="F452" s="15"/>
      <c r="G452" s="15"/>
      <c r="H452" s="15"/>
    </row>
    <row r="453" customFormat="false" ht="21" hidden="false" customHeight="true" outlineLevel="0" collapsed="false">
      <c r="A453" s="13"/>
      <c r="B453" s="14"/>
      <c r="C453" s="15"/>
      <c r="D453" s="14"/>
      <c r="E453" s="16"/>
      <c r="F453" s="15"/>
      <c r="G453" s="15"/>
      <c r="H453" s="15"/>
    </row>
    <row r="454" customFormat="false" ht="21" hidden="false" customHeight="true" outlineLevel="0" collapsed="false">
      <c r="A454" s="13"/>
      <c r="B454" s="14"/>
      <c r="C454" s="15"/>
      <c r="D454" s="14"/>
      <c r="E454" s="16"/>
      <c r="F454" s="15"/>
      <c r="G454" s="15"/>
      <c r="H454" s="15"/>
    </row>
    <row r="455" customFormat="false" ht="21" hidden="false" customHeight="true" outlineLevel="0" collapsed="false">
      <c r="A455" s="13"/>
      <c r="B455" s="14"/>
      <c r="C455" s="15"/>
      <c r="D455" s="14"/>
      <c r="E455" s="16"/>
      <c r="F455" s="15"/>
      <c r="G455" s="15"/>
      <c r="H455" s="15"/>
    </row>
    <row r="456" customFormat="false" ht="21" hidden="false" customHeight="true" outlineLevel="0" collapsed="false">
      <c r="A456" s="13"/>
      <c r="B456" s="14"/>
      <c r="C456" s="15"/>
      <c r="D456" s="14"/>
      <c r="E456" s="16"/>
      <c r="F456" s="15"/>
      <c r="G456" s="15"/>
      <c r="H456" s="15"/>
    </row>
    <row r="457" customFormat="false" ht="21" hidden="false" customHeight="true" outlineLevel="0" collapsed="false">
      <c r="A457" s="13"/>
      <c r="B457" s="14"/>
      <c r="C457" s="15"/>
      <c r="D457" s="14"/>
      <c r="E457" s="16"/>
      <c r="F457" s="15"/>
      <c r="G457" s="15"/>
      <c r="H457" s="15"/>
    </row>
    <row r="458" customFormat="false" ht="21" hidden="false" customHeight="true" outlineLevel="0" collapsed="false">
      <c r="A458" s="13"/>
      <c r="B458" s="14"/>
      <c r="C458" s="15"/>
      <c r="D458" s="14"/>
      <c r="E458" s="16"/>
      <c r="F458" s="15"/>
      <c r="G458" s="15"/>
      <c r="H458" s="15"/>
    </row>
    <row r="459" customFormat="false" ht="21" hidden="false" customHeight="true" outlineLevel="0" collapsed="false">
      <c r="A459" s="13"/>
      <c r="B459" s="14"/>
      <c r="C459" s="15"/>
      <c r="D459" s="14"/>
      <c r="E459" s="16"/>
      <c r="F459" s="15"/>
      <c r="G459" s="15"/>
      <c r="H459" s="15"/>
    </row>
    <row r="460" customFormat="false" ht="21" hidden="false" customHeight="true" outlineLevel="0" collapsed="false">
      <c r="A460" s="13"/>
      <c r="B460" s="14"/>
      <c r="C460" s="15"/>
      <c r="D460" s="14"/>
      <c r="E460" s="16"/>
      <c r="F460" s="15"/>
      <c r="G460" s="15"/>
      <c r="H460" s="15"/>
    </row>
    <row r="461" customFormat="false" ht="21" hidden="false" customHeight="true" outlineLevel="0" collapsed="false">
      <c r="A461" s="13"/>
      <c r="B461" s="14"/>
      <c r="C461" s="15"/>
      <c r="D461" s="14"/>
      <c r="E461" s="16"/>
      <c r="F461" s="15"/>
      <c r="G461" s="15"/>
      <c r="H461" s="15"/>
    </row>
    <row r="462" customFormat="false" ht="21" hidden="false" customHeight="true" outlineLevel="0" collapsed="false">
      <c r="A462" s="13"/>
      <c r="B462" s="14"/>
      <c r="C462" s="15"/>
      <c r="D462" s="14"/>
      <c r="E462" s="16"/>
      <c r="F462" s="15"/>
      <c r="G462" s="15"/>
      <c r="H462" s="15"/>
    </row>
    <row r="463" customFormat="false" ht="21" hidden="false" customHeight="true" outlineLevel="0" collapsed="false">
      <c r="A463" s="13"/>
      <c r="B463" s="14"/>
      <c r="C463" s="15"/>
      <c r="D463" s="14"/>
      <c r="E463" s="16"/>
      <c r="F463" s="15"/>
      <c r="G463" s="15"/>
      <c r="H463" s="15"/>
    </row>
    <row r="464" customFormat="false" ht="21" hidden="false" customHeight="true" outlineLevel="0" collapsed="false">
      <c r="A464" s="13"/>
      <c r="B464" s="14"/>
      <c r="C464" s="15"/>
      <c r="D464" s="14"/>
      <c r="E464" s="16"/>
      <c r="F464" s="15"/>
      <c r="G464" s="15"/>
      <c r="H464" s="15"/>
    </row>
    <row r="465" customFormat="false" ht="21" hidden="false" customHeight="true" outlineLevel="0" collapsed="false">
      <c r="A465" s="13"/>
      <c r="B465" s="14"/>
      <c r="C465" s="15"/>
      <c r="D465" s="14"/>
      <c r="E465" s="16"/>
      <c r="F465" s="15"/>
      <c r="G465" s="15"/>
      <c r="H465" s="15"/>
    </row>
    <row r="466" customFormat="false" ht="21" hidden="false" customHeight="true" outlineLevel="0" collapsed="false">
      <c r="A466" s="13"/>
      <c r="B466" s="14"/>
      <c r="C466" s="15"/>
      <c r="D466" s="14"/>
      <c r="E466" s="16"/>
      <c r="F466" s="15"/>
      <c r="G466" s="15"/>
      <c r="H466" s="15"/>
    </row>
    <row r="467" customFormat="false" ht="21" hidden="false" customHeight="true" outlineLevel="0" collapsed="false">
      <c r="A467" s="13"/>
      <c r="B467" s="14"/>
      <c r="C467" s="15"/>
      <c r="D467" s="14"/>
      <c r="E467" s="16"/>
      <c r="F467" s="15"/>
      <c r="G467" s="15"/>
      <c r="H467" s="15"/>
    </row>
    <row r="468" customFormat="false" ht="21" hidden="false" customHeight="true" outlineLevel="0" collapsed="false">
      <c r="A468" s="13"/>
      <c r="B468" s="14"/>
      <c r="C468" s="15"/>
      <c r="D468" s="14"/>
      <c r="E468" s="16"/>
      <c r="F468" s="15"/>
      <c r="G468" s="15"/>
      <c r="H468" s="15"/>
    </row>
    <row r="469" customFormat="false" ht="21" hidden="false" customHeight="true" outlineLevel="0" collapsed="false">
      <c r="A469" s="13"/>
      <c r="B469" s="14"/>
      <c r="C469" s="15"/>
      <c r="D469" s="14"/>
      <c r="E469" s="16"/>
      <c r="F469" s="15"/>
      <c r="G469" s="15"/>
      <c r="H469" s="15"/>
    </row>
    <row r="470" customFormat="false" ht="21" hidden="false" customHeight="true" outlineLevel="0" collapsed="false">
      <c r="A470" s="13"/>
      <c r="B470" s="14"/>
      <c r="C470" s="15"/>
      <c r="D470" s="14"/>
      <c r="E470" s="16"/>
      <c r="F470" s="15"/>
      <c r="G470" s="15"/>
      <c r="H470" s="15"/>
    </row>
    <row r="471" customFormat="false" ht="21" hidden="false" customHeight="true" outlineLevel="0" collapsed="false">
      <c r="A471" s="13"/>
      <c r="B471" s="14"/>
      <c r="C471" s="15"/>
      <c r="D471" s="14"/>
      <c r="E471" s="16"/>
      <c r="F471" s="15"/>
      <c r="G471" s="15"/>
      <c r="H471" s="15"/>
    </row>
    <row r="472" customFormat="false" ht="21" hidden="false" customHeight="true" outlineLevel="0" collapsed="false">
      <c r="A472" s="13"/>
      <c r="B472" s="14"/>
      <c r="C472" s="15"/>
      <c r="D472" s="14"/>
      <c r="E472" s="16"/>
      <c r="F472" s="15"/>
      <c r="G472" s="15"/>
      <c r="H472" s="15"/>
    </row>
    <row r="473" customFormat="false" ht="21" hidden="false" customHeight="true" outlineLevel="0" collapsed="false">
      <c r="A473" s="13"/>
      <c r="B473" s="14"/>
      <c r="C473" s="15"/>
      <c r="D473" s="14"/>
      <c r="E473" s="16"/>
      <c r="F473" s="15"/>
      <c r="G473" s="15"/>
      <c r="H473" s="15"/>
    </row>
    <row r="474" customFormat="false" ht="21" hidden="false" customHeight="true" outlineLevel="0" collapsed="false">
      <c r="A474" s="13"/>
      <c r="B474" s="14"/>
      <c r="C474" s="15"/>
      <c r="D474" s="14"/>
      <c r="E474" s="16"/>
      <c r="F474" s="15"/>
      <c r="G474" s="15"/>
      <c r="H474" s="15"/>
    </row>
    <row r="475" customFormat="false" ht="21" hidden="false" customHeight="true" outlineLevel="0" collapsed="false">
      <c r="A475" s="13"/>
      <c r="B475" s="14"/>
      <c r="C475" s="15"/>
      <c r="D475" s="14"/>
      <c r="E475" s="16"/>
      <c r="F475" s="15"/>
      <c r="G475" s="15"/>
      <c r="H475" s="15"/>
    </row>
    <row r="476" customFormat="false" ht="21" hidden="false" customHeight="true" outlineLevel="0" collapsed="false">
      <c r="A476" s="13"/>
      <c r="B476" s="14"/>
      <c r="C476" s="15"/>
      <c r="D476" s="14"/>
      <c r="E476" s="16"/>
      <c r="F476" s="15"/>
      <c r="G476" s="15"/>
      <c r="H476" s="15"/>
    </row>
    <row r="477" customFormat="false" ht="21" hidden="false" customHeight="true" outlineLevel="0" collapsed="false">
      <c r="A477" s="13"/>
      <c r="B477" s="14"/>
      <c r="C477" s="15"/>
      <c r="D477" s="14"/>
      <c r="E477" s="16"/>
      <c r="F477" s="15"/>
      <c r="G477" s="15"/>
      <c r="H477" s="15"/>
    </row>
    <row r="478" customFormat="false" ht="21" hidden="false" customHeight="true" outlineLevel="0" collapsed="false">
      <c r="A478" s="13"/>
      <c r="B478" s="14"/>
      <c r="C478" s="15"/>
      <c r="D478" s="14"/>
      <c r="E478" s="16"/>
      <c r="F478" s="15"/>
      <c r="G478" s="15"/>
      <c r="H478" s="15"/>
    </row>
    <row r="479" customFormat="false" ht="21" hidden="false" customHeight="true" outlineLevel="0" collapsed="false">
      <c r="A479" s="13"/>
      <c r="B479" s="14"/>
      <c r="C479" s="15"/>
      <c r="D479" s="14"/>
      <c r="E479" s="16"/>
      <c r="F479" s="15"/>
      <c r="G479" s="15"/>
      <c r="H479" s="15"/>
    </row>
    <row r="480" customFormat="false" ht="21" hidden="false" customHeight="true" outlineLevel="0" collapsed="false">
      <c r="A480" s="13"/>
      <c r="B480" s="14"/>
      <c r="C480" s="15"/>
      <c r="D480" s="14"/>
      <c r="E480" s="16"/>
      <c r="F480" s="15"/>
      <c r="G480" s="15"/>
      <c r="H480" s="15"/>
    </row>
    <row r="481" customFormat="false" ht="21" hidden="false" customHeight="true" outlineLevel="0" collapsed="false">
      <c r="A481" s="13"/>
      <c r="B481" s="14"/>
      <c r="C481" s="15"/>
      <c r="D481" s="14"/>
      <c r="E481" s="16"/>
      <c r="F481" s="15"/>
      <c r="G481" s="15"/>
      <c r="H481" s="15"/>
    </row>
    <row r="482" customFormat="false" ht="21" hidden="false" customHeight="true" outlineLevel="0" collapsed="false">
      <c r="A482" s="13"/>
      <c r="B482" s="14"/>
      <c r="C482" s="15"/>
      <c r="D482" s="14"/>
      <c r="E482" s="16"/>
      <c r="F482" s="15"/>
      <c r="G482" s="15"/>
      <c r="H482" s="15"/>
    </row>
    <row r="483" customFormat="false" ht="21" hidden="false" customHeight="true" outlineLevel="0" collapsed="false">
      <c r="A483" s="13"/>
      <c r="B483" s="14"/>
      <c r="C483" s="15"/>
      <c r="D483" s="14"/>
      <c r="E483" s="16"/>
      <c r="F483" s="15"/>
      <c r="G483" s="15"/>
      <c r="H483" s="15"/>
    </row>
    <row r="484" customFormat="false" ht="21" hidden="false" customHeight="true" outlineLevel="0" collapsed="false">
      <c r="A484" s="13"/>
      <c r="B484" s="14"/>
      <c r="C484" s="15"/>
      <c r="D484" s="14"/>
      <c r="E484" s="16"/>
      <c r="F484" s="15"/>
      <c r="G484" s="15"/>
      <c r="H484" s="15"/>
    </row>
    <row r="485" customFormat="false" ht="21" hidden="false" customHeight="true" outlineLevel="0" collapsed="false">
      <c r="A485" s="13"/>
      <c r="B485" s="14"/>
      <c r="C485" s="15"/>
      <c r="D485" s="14"/>
      <c r="E485" s="16"/>
      <c r="F485" s="15"/>
      <c r="G485" s="15"/>
      <c r="H485" s="15"/>
    </row>
    <row r="486" customFormat="false" ht="21" hidden="false" customHeight="true" outlineLevel="0" collapsed="false">
      <c r="A486" s="13"/>
      <c r="B486" s="14"/>
      <c r="C486" s="15"/>
      <c r="D486" s="14"/>
      <c r="E486" s="16"/>
      <c r="F486" s="15"/>
      <c r="G486" s="15"/>
      <c r="H486" s="15"/>
    </row>
    <row r="487" customFormat="false" ht="21" hidden="false" customHeight="true" outlineLevel="0" collapsed="false">
      <c r="A487" s="13"/>
      <c r="B487" s="14"/>
      <c r="C487" s="15"/>
      <c r="D487" s="14"/>
      <c r="E487" s="16"/>
      <c r="F487" s="15"/>
      <c r="G487" s="15"/>
      <c r="H487" s="15"/>
    </row>
    <row r="488" customFormat="false" ht="21" hidden="false" customHeight="true" outlineLevel="0" collapsed="false">
      <c r="A488" s="13"/>
      <c r="B488" s="14"/>
      <c r="C488" s="15"/>
      <c r="D488" s="14"/>
      <c r="E488" s="16"/>
      <c r="F488" s="15"/>
      <c r="G488" s="15"/>
      <c r="H488" s="15"/>
    </row>
    <row r="489" customFormat="false" ht="21" hidden="false" customHeight="true" outlineLevel="0" collapsed="false">
      <c r="A489" s="13"/>
      <c r="B489" s="14"/>
      <c r="C489" s="15"/>
      <c r="D489" s="14"/>
      <c r="E489" s="16"/>
      <c r="F489" s="15"/>
      <c r="G489" s="15"/>
      <c r="H489" s="15"/>
    </row>
    <row r="490" customFormat="false" ht="21" hidden="false" customHeight="true" outlineLevel="0" collapsed="false">
      <c r="A490" s="13"/>
      <c r="B490" s="14"/>
      <c r="C490" s="15"/>
      <c r="D490" s="14"/>
      <c r="E490" s="16"/>
      <c r="F490" s="15"/>
      <c r="G490" s="15"/>
      <c r="H490" s="15"/>
    </row>
    <row r="491" customFormat="false" ht="21" hidden="false" customHeight="true" outlineLevel="0" collapsed="false">
      <c r="A491" s="13"/>
      <c r="B491" s="14"/>
      <c r="C491" s="15"/>
      <c r="D491" s="14"/>
      <c r="E491" s="16"/>
      <c r="F491" s="15"/>
      <c r="G491" s="15"/>
      <c r="H491" s="15"/>
    </row>
    <row r="492" customFormat="false" ht="21" hidden="false" customHeight="true" outlineLevel="0" collapsed="false">
      <c r="A492" s="13"/>
      <c r="B492" s="14"/>
      <c r="C492" s="15"/>
      <c r="D492" s="14"/>
      <c r="E492" s="16"/>
      <c r="F492" s="15"/>
      <c r="G492" s="15"/>
      <c r="H492" s="15"/>
    </row>
    <row r="493" customFormat="false" ht="21" hidden="false" customHeight="true" outlineLevel="0" collapsed="false">
      <c r="A493" s="13"/>
      <c r="B493" s="14"/>
      <c r="C493" s="15"/>
      <c r="D493" s="14"/>
      <c r="E493" s="16"/>
      <c r="F493" s="15"/>
      <c r="G493" s="15"/>
      <c r="H493" s="15"/>
    </row>
    <row r="494" customFormat="false" ht="21" hidden="false" customHeight="true" outlineLevel="0" collapsed="false">
      <c r="A494" s="13"/>
      <c r="B494" s="14"/>
      <c r="C494" s="15"/>
      <c r="D494" s="14"/>
      <c r="E494" s="16"/>
      <c r="F494" s="15"/>
      <c r="G494" s="15"/>
      <c r="H494" s="15"/>
    </row>
    <row r="495" customFormat="false" ht="21" hidden="false" customHeight="true" outlineLevel="0" collapsed="false">
      <c r="A495" s="13"/>
      <c r="B495" s="14"/>
      <c r="C495" s="15"/>
      <c r="D495" s="14"/>
      <c r="E495" s="16"/>
      <c r="F495" s="15"/>
      <c r="G495" s="15"/>
      <c r="H495" s="15"/>
    </row>
    <row r="496" customFormat="false" ht="21" hidden="false" customHeight="true" outlineLevel="0" collapsed="false">
      <c r="A496" s="13"/>
      <c r="B496" s="14"/>
      <c r="C496" s="15"/>
      <c r="D496" s="14"/>
      <c r="E496" s="16"/>
      <c r="F496" s="15"/>
      <c r="G496" s="15"/>
      <c r="H496" s="15"/>
    </row>
    <row r="497" customFormat="false" ht="21" hidden="false" customHeight="true" outlineLevel="0" collapsed="false">
      <c r="A497" s="13"/>
      <c r="B497" s="14"/>
      <c r="C497" s="15"/>
      <c r="D497" s="14"/>
      <c r="E497" s="16"/>
      <c r="F497" s="15"/>
      <c r="G497" s="15"/>
      <c r="H497" s="15"/>
    </row>
    <row r="498" customFormat="false" ht="21" hidden="false" customHeight="true" outlineLevel="0" collapsed="false">
      <c r="A498" s="13"/>
      <c r="B498" s="14"/>
      <c r="C498" s="15"/>
      <c r="D498" s="14"/>
      <c r="E498" s="16"/>
      <c r="F498" s="15"/>
      <c r="G498" s="15"/>
      <c r="H498" s="15"/>
    </row>
    <row r="499" customFormat="false" ht="21" hidden="false" customHeight="true" outlineLevel="0" collapsed="false">
      <c r="A499" s="13"/>
      <c r="B499" s="14"/>
      <c r="C499" s="15"/>
      <c r="D499" s="14"/>
      <c r="E499" s="16"/>
      <c r="F499" s="15"/>
      <c r="G499" s="15"/>
      <c r="H499" s="15"/>
    </row>
    <row r="500" customFormat="false" ht="21" hidden="false" customHeight="true" outlineLevel="0" collapsed="false">
      <c r="A500" s="13"/>
      <c r="B500" s="14"/>
      <c r="C500" s="15"/>
      <c r="D500" s="14"/>
      <c r="E500" s="16"/>
      <c r="F500" s="15"/>
      <c r="G500" s="15"/>
      <c r="H500" s="15"/>
    </row>
    <row r="501" customFormat="false" ht="21" hidden="false" customHeight="true" outlineLevel="0" collapsed="false">
      <c r="A501" s="13"/>
      <c r="B501" s="14"/>
      <c r="C501" s="15"/>
      <c r="D501" s="14"/>
      <c r="E501" s="16"/>
      <c r="F501" s="15"/>
      <c r="G501" s="15"/>
      <c r="H501" s="15"/>
    </row>
    <row r="502" customFormat="false" ht="21" hidden="false" customHeight="true" outlineLevel="0" collapsed="false">
      <c r="A502" s="13"/>
      <c r="B502" s="14"/>
      <c r="C502" s="15"/>
      <c r="D502" s="14"/>
      <c r="E502" s="16"/>
      <c r="F502" s="15"/>
      <c r="G502" s="15"/>
      <c r="H502" s="15"/>
    </row>
    <row r="503" customFormat="false" ht="21" hidden="false" customHeight="true" outlineLevel="0" collapsed="false">
      <c r="A503" s="13"/>
      <c r="B503" s="14"/>
      <c r="C503" s="15"/>
      <c r="D503" s="14"/>
      <c r="E503" s="16"/>
      <c r="F503" s="15"/>
      <c r="G503" s="15"/>
      <c r="H503" s="15"/>
    </row>
    <row r="504" customFormat="false" ht="21" hidden="false" customHeight="true" outlineLevel="0" collapsed="false">
      <c r="A504" s="13"/>
      <c r="B504" s="14"/>
      <c r="C504" s="15"/>
      <c r="D504" s="14"/>
      <c r="E504" s="16"/>
      <c r="F504" s="15"/>
      <c r="G504" s="15"/>
      <c r="H504" s="15"/>
    </row>
    <row r="505" customFormat="false" ht="21" hidden="false" customHeight="true" outlineLevel="0" collapsed="false">
      <c r="A505" s="13"/>
      <c r="B505" s="14"/>
      <c r="C505" s="15"/>
      <c r="D505" s="14"/>
      <c r="E505" s="16"/>
      <c r="F505" s="15"/>
      <c r="G505" s="15"/>
      <c r="H505" s="15"/>
    </row>
    <row r="506" customFormat="false" ht="21" hidden="false" customHeight="true" outlineLevel="0" collapsed="false">
      <c r="A506" s="13"/>
      <c r="B506" s="14"/>
      <c r="C506" s="15"/>
      <c r="D506" s="14"/>
      <c r="E506" s="16"/>
      <c r="F506" s="15"/>
      <c r="G506" s="15"/>
      <c r="H506" s="15"/>
    </row>
    <row r="507" customFormat="false" ht="21" hidden="false" customHeight="true" outlineLevel="0" collapsed="false">
      <c r="A507" s="13"/>
      <c r="B507" s="14"/>
      <c r="C507" s="15"/>
      <c r="D507" s="14"/>
      <c r="E507" s="16"/>
      <c r="F507" s="15"/>
      <c r="G507" s="15"/>
      <c r="H507" s="15"/>
    </row>
    <row r="508" customFormat="false" ht="21" hidden="false" customHeight="true" outlineLevel="0" collapsed="false">
      <c r="A508" s="13"/>
      <c r="B508" s="14"/>
      <c r="C508" s="15"/>
      <c r="D508" s="14"/>
      <c r="E508" s="16"/>
      <c r="F508" s="15"/>
      <c r="G508" s="15"/>
      <c r="H508" s="15"/>
    </row>
    <row r="509" customFormat="false" ht="21" hidden="false" customHeight="true" outlineLevel="0" collapsed="false">
      <c r="A509" s="13"/>
      <c r="B509" s="14"/>
      <c r="C509" s="15"/>
      <c r="D509" s="14"/>
      <c r="E509" s="16"/>
      <c r="F509" s="15"/>
      <c r="G509" s="15"/>
      <c r="H509" s="15"/>
    </row>
    <row r="510" customFormat="false" ht="21" hidden="false" customHeight="true" outlineLevel="0" collapsed="false">
      <c r="A510" s="13"/>
      <c r="B510" s="14"/>
      <c r="C510" s="15"/>
      <c r="D510" s="14"/>
      <c r="E510" s="16"/>
      <c r="F510" s="15"/>
      <c r="G510" s="15"/>
      <c r="H510" s="15"/>
    </row>
    <row r="511" customFormat="false" ht="21" hidden="false" customHeight="true" outlineLevel="0" collapsed="false">
      <c r="A511" s="13"/>
      <c r="B511" s="14"/>
      <c r="C511" s="15"/>
      <c r="D511" s="14"/>
      <c r="E511" s="16"/>
      <c r="F511" s="15"/>
      <c r="G511" s="15"/>
      <c r="H511" s="15"/>
    </row>
    <row r="512" customFormat="false" ht="21" hidden="false" customHeight="true" outlineLevel="0" collapsed="false">
      <c r="A512" s="13"/>
      <c r="B512" s="14"/>
      <c r="C512" s="15"/>
      <c r="D512" s="14"/>
      <c r="E512" s="16"/>
      <c r="F512" s="15"/>
      <c r="G512" s="15"/>
      <c r="H512" s="15"/>
    </row>
    <row r="513" customFormat="false" ht="21" hidden="false" customHeight="true" outlineLevel="0" collapsed="false">
      <c r="A513" s="13"/>
      <c r="B513" s="14"/>
      <c r="C513" s="15"/>
      <c r="D513" s="14"/>
      <c r="E513" s="16"/>
      <c r="F513" s="15"/>
      <c r="G513" s="15"/>
      <c r="H513" s="15"/>
    </row>
    <row r="514" customFormat="false" ht="21" hidden="false" customHeight="true" outlineLevel="0" collapsed="false">
      <c r="A514" s="13"/>
      <c r="B514" s="14"/>
      <c r="C514" s="15"/>
      <c r="D514" s="14"/>
      <c r="E514" s="16"/>
      <c r="F514" s="15"/>
      <c r="G514" s="15"/>
      <c r="H514" s="15"/>
    </row>
    <row r="515" customFormat="false" ht="21" hidden="false" customHeight="true" outlineLevel="0" collapsed="false">
      <c r="A515" s="13"/>
      <c r="B515" s="14"/>
      <c r="C515" s="15"/>
      <c r="D515" s="14"/>
      <c r="E515" s="16"/>
      <c r="F515" s="15"/>
      <c r="G515" s="15"/>
      <c r="H515" s="15"/>
    </row>
    <row r="516" customFormat="false" ht="21" hidden="false" customHeight="true" outlineLevel="0" collapsed="false">
      <c r="A516" s="13"/>
      <c r="B516" s="14"/>
      <c r="C516" s="15"/>
      <c r="D516" s="14"/>
      <c r="E516" s="16"/>
      <c r="F516" s="15"/>
      <c r="G516" s="15"/>
      <c r="H516" s="15"/>
    </row>
    <row r="517" customFormat="false" ht="21" hidden="false" customHeight="true" outlineLevel="0" collapsed="false">
      <c r="A517" s="13"/>
      <c r="B517" s="14"/>
      <c r="C517" s="15"/>
      <c r="D517" s="14"/>
      <c r="E517" s="16"/>
      <c r="F517" s="15"/>
      <c r="G517" s="15"/>
      <c r="H517" s="15"/>
    </row>
    <row r="518" customFormat="false" ht="21" hidden="false" customHeight="true" outlineLevel="0" collapsed="false">
      <c r="A518" s="13"/>
      <c r="B518" s="14"/>
      <c r="C518" s="15"/>
      <c r="D518" s="14"/>
      <c r="E518" s="16"/>
      <c r="F518" s="15"/>
      <c r="G518" s="15"/>
      <c r="H518" s="15"/>
    </row>
    <row r="519" customFormat="false" ht="21" hidden="false" customHeight="true" outlineLevel="0" collapsed="false">
      <c r="A519" s="13"/>
      <c r="B519" s="14"/>
      <c r="C519" s="15"/>
      <c r="D519" s="14"/>
      <c r="E519" s="16"/>
      <c r="F519" s="15"/>
      <c r="G519" s="15"/>
      <c r="H519" s="15"/>
    </row>
    <row r="520" customFormat="false" ht="21" hidden="false" customHeight="true" outlineLevel="0" collapsed="false">
      <c r="A520" s="13"/>
      <c r="B520" s="14"/>
      <c r="C520" s="15"/>
      <c r="D520" s="14"/>
      <c r="E520" s="16"/>
      <c r="F520" s="15"/>
      <c r="G520" s="15"/>
      <c r="H520" s="15"/>
    </row>
    <row r="521" customFormat="false" ht="21" hidden="false" customHeight="true" outlineLevel="0" collapsed="false">
      <c r="A521" s="13"/>
      <c r="B521" s="14"/>
      <c r="C521" s="15"/>
      <c r="D521" s="14"/>
      <c r="E521" s="16"/>
      <c r="F521" s="15"/>
      <c r="G521" s="15"/>
      <c r="H521" s="15"/>
    </row>
    <row r="522" customFormat="false" ht="21" hidden="false" customHeight="true" outlineLevel="0" collapsed="false">
      <c r="A522" s="13"/>
      <c r="B522" s="14"/>
      <c r="C522" s="15"/>
      <c r="D522" s="14"/>
      <c r="E522" s="16"/>
      <c r="F522" s="15"/>
      <c r="G522" s="15"/>
      <c r="H522" s="15"/>
    </row>
    <row r="523" customFormat="false" ht="21" hidden="false" customHeight="true" outlineLevel="0" collapsed="false">
      <c r="A523" s="13"/>
      <c r="B523" s="14"/>
      <c r="C523" s="15"/>
      <c r="D523" s="14"/>
      <c r="E523" s="16"/>
      <c r="F523" s="15"/>
      <c r="G523" s="15"/>
      <c r="H523" s="15"/>
    </row>
    <row r="524" customFormat="false" ht="21" hidden="false" customHeight="true" outlineLevel="0" collapsed="false">
      <c r="A524" s="13"/>
      <c r="B524" s="14"/>
      <c r="C524" s="15"/>
      <c r="D524" s="14"/>
      <c r="E524" s="16"/>
      <c r="F524" s="15"/>
      <c r="G524" s="15"/>
      <c r="H524" s="15"/>
    </row>
    <row r="525" customFormat="false" ht="21" hidden="false" customHeight="true" outlineLevel="0" collapsed="false">
      <c r="A525" s="13"/>
      <c r="B525" s="14"/>
      <c r="C525" s="15"/>
      <c r="D525" s="14"/>
      <c r="E525" s="16"/>
      <c r="F525" s="15"/>
      <c r="G525" s="15"/>
      <c r="H525" s="15"/>
    </row>
    <row r="526" customFormat="false" ht="21" hidden="false" customHeight="true" outlineLevel="0" collapsed="false">
      <c r="A526" s="13"/>
      <c r="B526" s="14"/>
      <c r="C526" s="15"/>
      <c r="D526" s="14"/>
      <c r="E526" s="16"/>
      <c r="F526" s="15"/>
      <c r="G526" s="15"/>
      <c r="H526" s="15"/>
    </row>
    <row r="527" customFormat="false" ht="21" hidden="false" customHeight="true" outlineLevel="0" collapsed="false">
      <c r="A527" s="13"/>
      <c r="B527" s="14"/>
      <c r="C527" s="15"/>
      <c r="D527" s="14"/>
      <c r="E527" s="16"/>
      <c r="F527" s="15"/>
      <c r="G527" s="15"/>
      <c r="H527" s="15"/>
    </row>
    <row r="528" customFormat="false" ht="21" hidden="false" customHeight="true" outlineLevel="0" collapsed="false">
      <c r="A528" s="13"/>
      <c r="B528" s="14"/>
      <c r="C528" s="15"/>
      <c r="D528" s="14"/>
      <c r="E528" s="16"/>
      <c r="F528" s="15"/>
      <c r="G528" s="15"/>
      <c r="H528" s="15"/>
    </row>
    <row r="529" customFormat="false" ht="21" hidden="false" customHeight="true" outlineLevel="0" collapsed="false">
      <c r="A529" s="13"/>
      <c r="B529" s="14"/>
      <c r="C529" s="15"/>
      <c r="D529" s="14"/>
      <c r="E529" s="16"/>
      <c r="F529" s="15"/>
      <c r="G529" s="15"/>
      <c r="H529" s="15"/>
    </row>
    <row r="530" customFormat="false" ht="21" hidden="false" customHeight="true" outlineLevel="0" collapsed="false">
      <c r="A530" s="13"/>
      <c r="B530" s="14"/>
      <c r="C530" s="15"/>
      <c r="D530" s="14"/>
      <c r="E530" s="16"/>
      <c r="F530" s="15"/>
      <c r="G530" s="15"/>
      <c r="H530" s="15"/>
    </row>
    <row r="531" customFormat="false" ht="21" hidden="false" customHeight="true" outlineLevel="0" collapsed="false">
      <c r="A531" s="13"/>
      <c r="B531" s="14"/>
      <c r="C531" s="15"/>
      <c r="D531" s="14"/>
      <c r="E531" s="16"/>
      <c r="F531" s="15"/>
      <c r="G531" s="15"/>
      <c r="H531" s="15"/>
    </row>
    <row r="532" customFormat="false" ht="21" hidden="false" customHeight="true" outlineLevel="0" collapsed="false">
      <c r="A532" s="13"/>
      <c r="B532" s="14"/>
      <c r="C532" s="15"/>
      <c r="D532" s="14"/>
      <c r="E532" s="16"/>
      <c r="F532" s="15"/>
      <c r="G532" s="15"/>
      <c r="H532" s="15"/>
    </row>
    <row r="533" customFormat="false" ht="21" hidden="false" customHeight="true" outlineLevel="0" collapsed="false">
      <c r="A533" s="13"/>
      <c r="B533" s="14"/>
      <c r="C533" s="15"/>
      <c r="D533" s="14"/>
      <c r="E533" s="16"/>
      <c r="F533" s="15"/>
      <c r="G533" s="15"/>
      <c r="H533" s="15"/>
    </row>
    <row r="534" customFormat="false" ht="21" hidden="false" customHeight="true" outlineLevel="0" collapsed="false">
      <c r="A534" s="13"/>
      <c r="B534" s="14"/>
      <c r="C534" s="15"/>
      <c r="D534" s="14"/>
      <c r="E534" s="16"/>
      <c r="F534" s="15"/>
      <c r="G534" s="15"/>
      <c r="H534" s="15"/>
    </row>
    <row r="535" customFormat="false" ht="21" hidden="false" customHeight="true" outlineLevel="0" collapsed="false">
      <c r="A535" s="13"/>
      <c r="B535" s="14"/>
      <c r="C535" s="15"/>
      <c r="D535" s="14"/>
      <c r="E535" s="16"/>
      <c r="F535" s="15"/>
      <c r="G535" s="15"/>
      <c r="H535" s="15"/>
    </row>
    <row r="536" customFormat="false" ht="21" hidden="false" customHeight="true" outlineLevel="0" collapsed="false">
      <c r="A536" s="13"/>
      <c r="B536" s="14"/>
      <c r="C536" s="15"/>
      <c r="D536" s="14"/>
      <c r="E536" s="16"/>
      <c r="F536" s="15"/>
      <c r="G536" s="15"/>
      <c r="H536" s="15"/>
    </row>
    <row r="537" customFormat="false" ht="21" hidden="false" customHeight="true" outlineLevel="0" collapsed="false">
      <c r="A537" s="13"/>
      <c r="B537" s="14"/>
      <c r="C537" s="15"/>
      <c r="D537" s="14"/>
      <c r="E537" s="16"/>
      <c r="F537" s="15"/>
      <c r="G537" s="15"/>
      <c r="H537" s="15"/>
    </row>
    <row r="538" customFormat="false" ht="21" hidden="false" customHeight="true" outlineLevel="0" collapsed="false">
      <c r="A538" s="13"/>
      <c r="B538" s="14"/>
      <c r="C538" s="15"/>
      <c r="D538" s="14"/>
      <c r="E538" s="16"/>
      <c r="F538" s="15"/>
      <c r="G538" s="15"/>
      <c r="H538" s="15"/>
    </row>
    <row r="539" customFormat="false" ht="21" hidden="false" customHeight="true" outlineLevel="0" collapsed="false">
      <c r="A539" s="13"/>
      <c r="B539" s="14"/>
      <c r="C539" s="15"/>
      <c r="D539" s="14"/>
      <c r="E539" s="16"/>
      <c r="F539" s="15"/>
      <c r="G539" s="15"/>
      <c r="H539" s="15"/>
    </row>
    <row r="540" customFormat="false" ht="21" hidden="false" customHeight="true" outlineLevel="0" collapsed="false">
      <c r="A540" s="13"/>
      <c r="B540" s="14"/>
      <c r="C540" s="15"/>
      <c r="D540" s="14"/>
      <c r="E540" s="16"/>
      <c r="F540" s="15"/>
      <c r="G540" s="15"/>
      <c r="H540" s="15"/>
    </row>
    <row r="541" customFormat="false" ht="21" hidden="false" customHeight="true" outlineLevel="0" collapsed="false">
      <c r="A541" s="13"/>
      <c r="B541" s="14"/>
      <c r="C541" s="15"/>
      <c r="D541" s="14"/>
      <c r="E541" s="16"/>
      <c r="F541" s="15"/>
      <c r="G541" s="15"/>
      <c r="H541" s="15"/>
    </row>
    <row r="542" customFormat="false" ht="21" hidden="false" customHeight="true" outlineLevel="0" collapsed="false">
      <c r="A542" s="13"/>
      <c r="B542" s="14"/>
      <c r="C542" s="15"/>
      <c r="D542" s="14"/>
      <c r="E542" s="16"/>
      <c r="F542" s="15"/>
      <c r="G542" s="15"/>
      <c r="H542" s="15"/>
    </row>
    <row r="543" customFormat="false" ht="21" hidden="false" customHeight="true" outlineLevel="0" collapsed="false">
      <c r="A543" s="13"/>
      <c r="B543" s="14"/>
      <c r="C543" s="15"/>
      <c r="D543" s="14"/>
      <c r="E543" s="16"/>
      <c r="F543" s="15"/>
      <c r="G543" s="15"/>
      <c r="H543" s="15"/>
    </row>
    <row r="544" customFormat="false" ht="21" hidden="false" customHeight="true" outlineLevel="0" collapsed="false">
      <c r="A544" s="13"/>
      <c r="B544" s="14"/>
      <c r="C544" s="15"/>
      <c r="D544" s="14"/>
      <c r="E544" s="16"/>
      <c r="F544" s="15"/>
      <c r="G544" s="15"/>
      <c r="H544" s="15"/>
    </row>
    <row r="545" customFormat="false" ht="21" hidden="false" customHeight="true" outlineLevel="0" collapsed="false">
      <c r="A545" s="13"/>
      <c r="B545" s="14"/>
      <c r="C545" s="15"/>
      <c r="D545" s="14"/>
      <c r="E545" s="16"/>
      <c r="F545" s="15"/>
      <c r="G545" s="15"/>
      <c r="H545" s="15"/>
    </row>
    <row r="546" customFormat="false" ht="21" hidden="false" customHeight="true" outlineLevel="0" collapsed="false">
      <c r="A546" s="13"/>
      <c r="B546" s="14"/>
      <c r="C546" s="15"/>
      <c r="D546" s="14"/>
      <c r="E546" s="16"/>
      <c r="F546" s="15"/>
      <c r="G546" s="15"/>
      <c r="H546" s="15"/>
    </row>
    <row r="547" customFormat="false" ht="21" hidden="false" customHeight="true" outlineLevel="0" collapsed="false">
      <c r="A547" s="13"/>
      <c r="B547" s="14"/>
      <c r="C547" s="15"/>
      <c r="D547" s="14"/>
      <c r="E547" s="16"/>
      <c r="F547" s="15"/>
      <c r="G547" s="15"/>
      <c r="H547" s="15"/>
    </row>
    <row r="548" customFormat="false" ht="21" hidden="false" customHeight="true" outlineLevel="0" collapsed="false">
      <c r="A548" s="13"/>
      <c r="B548" s="14"/>
      <c r="C548" s="15"/>
      <c r="D548" s="14"/>
      <c r="E548" s="16"/>
      <c r="F548" s="15"/>
      <c r="G548" s="15"/>
      <c r="H548" s="15"/>
    </row>
    <row r="549" customFormat="false" ht="21" hidden="false" customHeight="true" outlineLevel="0" collapsed="false">
      <c r="A549" s="13"/>
      <c r="B549" s="14"/>
      <c r="C549" s="15"/>
      <c r="D549" s="14"/>
      <c r="E549" s="16"/>
      <c r="F549" s="15"/>
      <c r="G549" s="15"/>
      <c r="H549" s="15"/>
    </row>
    <row r="550" customFormat="false" ht="21" hidden="false" customHeight="true" outlineLevel="0" collapsed="false">
      <c r="A550" s="13"/>
      <c r="B550" s="14"/>
      <c r="C550" s="15"/>
      <c r="D550" s="14"/>
      <c r="E550" s="16"/>
      <c r="F550" s="15"/>
      <c r="G550" s="15"/>
      <c r="H550" s="15"/>
    </row>
    <row r="551" customFormat="false" ht="21" hidden="false" customHeight="true" outlineLevel="0" collapsed="false">
      <c r="A551" s="13"/>
      <c r="B551" s="14"/>
      <c r="C551" s="15"/>
      <c r="D551" s="14"/>
      <c r="E551" s="16"/>
      <c r="F551" s="15"/>
      <c r="G551" s="15"/>
      <c r="H551" s="15"/>
    </row>
    <row r="552" customFormat="false" ht="21" hidden="false" customHeight="true" outlineLevel="0" collapsed="false">
      <c r="A552" s="13"/>
      <c r="B552" s="14"/>
      <c r="C552" s="15"/>
      <c r="D552" s="14"/>
      <c r="E552" s="16"/>
      <c r="F552" s="15"/>
      <c r="G552" s="15"/>
      <c r="H552" s="15"/>
    </row>
    <row r="553" customFormat="false" ht="21" hidden="false" customHeight="true" outlineLevel="0" collapsed="false">
      <c r="A553" s="13"/>
      <c r="B553" s="14"/>
      <c r="C553" s="15"/>
      <c r="D553" s="14"/>
      <c r="E553" s="16"/>
      <c r="F553" s="15"/>
      <c r="G553" s="15"/>
      <c r="H553" s="15"/>
    </row>
    <row r="554" customFormat="false" ht="21" hidden="false" customHeight="true" outlineLevel="0" collapsed="false">
      <c r="A554" s="13"/>
      <c r="B554" s="14"/>
      <c r="C554" s="15"/>
      <c r="D554" s="14"/>
      <c r="E554" s="16"/>
      <c r="F554" s="15"/>
      <c r="G554" s="15"/>
      <c r="H554" s="15"/>
    </row>
    <row r="555" customFormat="false" ht="21" hidden="false" customHeight="true" outlineLevel="0" collapsed="false">
      <c r="A555" s="13"/>
      <c r="B555" s="14"/>
      <c r="C555" s="15"/>
      <c r="D555" s="14"/>
      <c r="E555" s="16"/>
      <c r="F555" s="15"/>
      <c r="G555" s="15"/>
      <c r="H555" s="15"/>
    </row>
    <row r="556" customFormat="false" ht="21" hidden="false" customHeight="true" outlineLevel="0" collapsed="false">
      <c r="A556" s="13"/>
      <c r="B556" s="14"/>
      <c r="C556" s="15"/>
      <c r="D556" s="14"/>
      <c r="E556" s="16"/>
      <c r="F556" s="15"/>
      <c r="G556" s="15"/>
      <c r="H556" s="15"/>
    </row>
    <row r="557" customFormat="false" ht="21" hidden="false" customHeight="true" outlineLevel="0" collapsed="false">
      <c r="A557" s="13"/>
      <c r="B557" s="14"/>
      <c r="C557" s="15"/>
      <c r="D557" s="14"/>
      <c r="E557" s="16"/>
      <c r="F557" s="15"/>
      <c r="G557" s="15"/>
      <c r="H557" s="15"/>
    </row>
    <row r="558" customFormat="false" ht="21" hidden="false" customHeight="true" outlineLevel="0" collapsed="false">
      <c r="A558" s="13"/>
      <c r="B558" s="14"/>
      <c r="C558" s="15"/>
      <c r="D558" s="14"/>
      <c r="E558" s="16"/>
      <c r="F558" s="15"/>
      <c r="G558" s="15"/>
      <c r="H558" s="15"/>
    </row>
    <row r="559" customFormat="false" ht="21" hidden="false" customHeight="true" outlineLevel="0" collapsed="false">
      <c r="A559" s="13"/>
      <c r="B559" s="14"/>
      <c r="C559" s="15"/>
      <c r="D559" s="14"/>
      <c r="E559" s="16"/>
      <c r="F559" s="15"/>
      <c r="G559" s="15"/>
      <c r="H559" s="15"/>
    </row>
    <row r="560" customFormat="false" ht="21" hidden="false" customHeight="true" outlineLevel="0" collapsed="false">
      <c r="A560" s="13"/>
      <c r="B560" s="14"/>
      <c r="C560" s="15"/>
      <c r="D560" s="14"/>
      <c r="E560" s="16"/>
      <c r="F560" s="15"/>
      <c r="G560" s="15"/>
      <c r="H560" s="15"/>
    </row>
    <row r="561" customFormat="false" ht="21" hidden="false" customHeight="true" outlineLevel="0" collapsed="false">
      <c r="A561" s="13"/>
      <c r="B561" s="14"/>
      <c r="C561" s="15"/>
      <c r="D561" s="14"/>
      <c r="E561" s="16"/>
      <c r="F561" s="15"/>
      <c r="G561" s="15"/>
      <c r="H561" s="15"/>
    </row>
    <row r="562" customFormat="false" ht="21" hidden="false" customHeight="true" outlineLevel="0" collapsed="false">
      <c r="A562" s="13"/>
      <c r="B562" s="14"/>
      <c r="C562" s="15"/>
      <c r="D562" s="14"/>
      <c r="E562" s="16"/>
      <c r="F562" s="15"/>
      <c r="G562" s="15"/>
      <c r="H562" s="15"/>
    </row>
    <row r="563" customFormat="false" ht="21" hidden="false" customHeight="true" outlineLevel="0" collapsed="false">
      <c r="A563" s="13"/>
      <c r="B563" s="14"/>
      <c r="C563" s="15"/>
      <c r="D563" s="14"/>
      <c r="E563" s="16"/>
      <c r="F563" s="15"/>
      <c r="G563" s="15"/>
      <c r="H563" s="15"/>
    </row>
    <row r="564" customFormat="false" ht="21" hidden="false" customHeight="true" outlineLevel="0" collapsed="false">
      <c r="A564" s="13"/>
      <c r="B564" s="14"/>
      <c r="C564" s="15"/>
      <c r="D564" s="14"/>
      <c r="E564" s="16"/>
      <c r="F564" s="15"/>
      <c r="G564" s="15"/>
      <c r="H564" s="15"/>
    </row>
    <row r="565" customFormat="false" ht="21" hidden="false" customHeight="true" outlineLevel="0" collapsed="false">
      <c r="A565" s="13"/>
      <c r="B565" s="14"/>
      <c r="C565" s="15"/>
      <c r="D565" s="14"/>
      <c r="E565" s="16"/>
      <c r="F565" s="15"/>
      <c r="G565" s="15"/>
      <c r="H565" s="15"/>
    </row>
    <row r="566" customFormat="false" ht="21" hidden="false" customHeight="true" outlineLevel="0" collapsed="false">
      <c r="A566" s="13"/>
      <c r="B566" s="14"/>
      <c r="C566" s="15"/>
      <c r="D566" s="14"/>
      <c r="E566" s="16"/>
      <c r="F566" s="15"/>
      <c r="G566" s="15"/>
      <c r="H566" s="15"/>
    </row>
    <row r="567" customFormat="false" ht="21" hidden="false" customHeight="true" outlineLevel="0" collapsed="false">
      <c r="A567" s="13"/>
      <c r="B567" s="14"/>
      <c r="C567" s="15"/>
      <c r="D567" s="14"/>
      <c r="E567" s="16"/>
      <c r="F567" s="15"/>
      <c r="G567" s="15"/>
      <c r="H567" s="15"/>
    </row>
    <row r="568" customFormat="false" ht="21" hidden="false" customHeight="true" outlineLevel="0" collapsed="false">
      <c r="A568" s="13"/>
      <c r="B568" s="14"/>
      <c r="C568" s="15"/>
      <c r="D568" s="14"/>
      <c r="E568" s="16"/>
      <c r="F568" s="15"/>
      <c r="G568" s="15"/>
      <c r="H568" s="15"/>
    </row>
    <row r="569" customFormat="false" ht="21" hidden="false" customHeight="true" outlineLevel="0" collapsed="false">
      <c r="A569" s="13"/>
      <c r="B569" s="14"/>
      <c r="C569" s="15"/>
      <c r="D569" s="14"/>
      <c r="E569" s="16"/>
      <c r="F569" s="15"/>
      <c r="G569" s="15"/>
      <c r="H569" s="15"/>
    </row>
    <row r="570" customFormat="false" ht="21" hidden="false" customHeight="true" outlineLevel="0" collapsed="false">
      <c r="A570" s="13"/>
      <c r="B570" s="14"/>
      <c r="C570" s="15"/>
      <c r="D570" s="14"/>
      <c r="E570" s="16"/>
      <c r="F570" s="15"/>
      <c r="G570" s="15"/>
      <c r="H570" s="15"/>
    </row>
    <row r="571" customFormat="false" ht="21" hidden="false" customHeight="true" outlineLevel="0" collapsed="false">
      <c r="A571" s="13"/>
      <c r="B571" s="14"/>
      <c r="C571" s="15"/>
      <c r="D571" s="14"/>
      <c r="E571" s="16"/>
      <c r="F571" s="15"/>
      <c r="G571" s="15"/>
      <c r="H571" s="15"/>
    </row>
    <row r="572" customFormat="false" ht="21" hidden="false" customHeight="true" outlineLevel="0" collapsed="false">
      <c r="A572" s="13"/>
      <c r="B572" s="14"/>
      <c r="C572" s="15"/>
      <c r="D572" s="14"/>
      <c r="E572" s="16"/>
      <c r="F572" s="15"/>
      <c r="G572" s="15"/>
      <c r="H572" s="15"/>
    </row>
    <row r="573" customFormat="false" ht="21" hidden="false" customHeight="true" outlineLevel="0" collapsed="false">
      <c r="A573" s="13"/>
      <c r="B573" s="14"/>
      <c r="C573" s="15"/>
      <c r="D573" s="14"/>
      <c r="E573" s="16"/>
      <c r="F573" s="15"/>
      <c r="G573" s="15"/>
      <c r="H573" s="15"/>
    </row>
    <row r="574" customFormat="false" ht="21" hidden="false" customHeight="true" outlineLevel="0" collapsed="false">
      <c r="A574" s="13"/>
      <c r="B574" s="14"/>
      <c r="C574" s="15"/>
      <c r="D574" s="14"/>
      <c r="E574" s="16"/>
      <c r="F574" s="15"/>
      <c r="G574" s="15"/>
      <c r="H574" s="15"/>
    </row>
    <row r="575" customFormat="false" ht="21" hidden="false" customHeight="true" outlineLevel="0" collapsed="false">
      <c r="A575" s="13"/>
      <c r="B575" s="14"/>
      <c r="C575" s="15"/>
      <c r="D575" s="14"/>
      <c r="E575" s="16"/>
      <c r="F575" s="15"/>
      <c r="G575" s="15"/>
      <c r="H575" s="15"/>
    </row>
    <row r="576" customFormat="false" ht="21" hidden="false" customHeight="true" outlineLevel="0" collapsed="false">
      <c r="A576" s="13"/>
      <c r="B576" s="14"/>
      <c r="C576" s="15"/>
      <c r="D576" s="14"/>
      <c r="E576" s="16"/>
      <c r="F576" s="15"/>
      <c r="G576" s="15"/>
      <c r="H576" s="15"/>
    </row>
    <row r="577" customFormat="false" ht="21" hidden="false" customHeight="true" outlineLevel="0" collapsed="false">
      <c r="A577" s="13"/>
      <c r="B577" s="14"/>
      <c r="C577" s="15"/>
      <c r="D577" s="14"/>
      <c r="E577" s="16"/>
      <c r="F577" s="15"/>
      <c r="G577" s="15"/>
      <c r="H577" s="15"/>
    </row>
    <row r="578" customFormat="false" ht="21" hidden="false" customHeight="true" outlineLevel="0" collapsed="false">
      <c r="A578" s="13"/>
      <c r="B578" s="14"/>
      <c r="C578" s="15"/>
      <c r="D578" s="14"/>
      <c r="E578" s="16"/>
      <c r="F578" s="15"/>
      <c r="G578" s="15"/>
      <c r="H578" s="15"/>
    </row>
    <row r="579" customFormat="false" ht="21" hidden="false" customHeight="true" outlineLevel="0" collapsed="false">
      <c r="A579" s="13"/>
      <c r="B579" s="14"/>
      <c r="C579" s="15"/>
      <c r="D579" s="14"/>
      <c r="E579" s="16"/>
      <c r="F579" s="15"/>
      <c r="G579" s="15"/>
      <c r="H579" s="15"/>
    </row>
    <row r="580" customFormat="false" ht="21" hidden="false" customHeight="true" outlineLevel="0" collapsed="false">
      <c r="A580" s="13"/>
      <c r="B580" s="14"/>
      <c r="C580" s="15"/>
      <c r="D580" s="14"/>
      <c r="E580" s="16"/>
      <c r="F580" s="15"/>
      <c r="G580" s="15"/>
      <c r="H580" s="15"/>
    </row>
    <row r="581" customFormat="false" ht="21" hidden="false" customHeight="true" outlineLevel="0" collapsed="false">
      <c r="A581" s="13"/>
      <c r="B581" s="14"/>
      <c r="C581" s="15"/>
      <c r="D581" s="14"/>
      <c r="E581" s="16"/>
      <c r="F581" s="15"/>
      <c r="G581" s="15"/>
      <c r="H581" s="15"/>
    </row>
    <row r="582" customFormat="false" ht="21" hidden="false" customHeight="true" outlineLevel="0" collapsed="false">
      <c r="A582" s="13"/>
      <c r="B582" s="14"/>
      <c r="C582" s="15"/>
      <c r="D582" s="14"/>
      <c r="E582" s="16"/>
      <c r="F582" s="15"/>
      <c r="G582" s="15"/>
      <c r="H582" s="15"/>
    </row>
    <row r="583" customFormat="false" ht="21" hidden="false" customHeight="true" outlineLevel="0" collapsed="false">
      <c r="A583" s="13"/>
      <c r="B583" s="14"/>
      <c r="C583" s="15"/>
      <c r="D583" s="14"/>
      <c r="E583" s="16"/>
      <c r="F583" s="15"/>
      <c r="G583" s="15"/>
      <c r="H583" s="15"/>
    </row>
    <row r="584" customFormat="false" ht="21" hidden="false" customHeight="true" outlineLevel="0" collapsed="false">
      <c r="A584" s="13"/>
      <c r="B584" s="14"/>
      <c r="C584" s="15"/>
      <c r="D584" s="14"/>
      <c r="E584" s="16"/>
      <c r="F584" s="15"/>
      <c r="G584" s="15"/>
      <c r="H584" s="15"/>
    </row>
    <row r="585" customFormat="false" ht="21" hidden="false" customHeight="true" outlineLevel="0" collapsed="false">
      <c r="A585" s="13"/>
      <c r="B585" s="14"/>
      <c r="C585" s="15"/>
      <c r="D585" s="14"/>
      <c r="E585" s="16"/>
      <c r="F585" s="15"/>
      <c r="G585" s="15"/>
      <c r="H585" s="15"/>
    </row>
    <row r="586" customFormat="false" ht="21" hidden="false" customHeight="true" outlineLevel="0" collapsed="false">
      <c r="A586" s="13"/>
      <c r="B586" s="14"/>
      <c r="C586" s="15"/>
      <c r="D586" s="14"/>
      <c r="E586" s="16"/>
      <c r="F586" s="15"/>
      <c r="G586" s="15"/>
      <c r="H586" s="15"/>
    </row>
    <row r="587" customFormat="false" ht="21" hidden="false" customHeight="true" outlineLevel="0" collapsed="false">
      <c r="A587" s="13"/>
      <c r="B587" s="14"/>
      <c r="C587" s="15"/>
      <c r="D587" s="14"/>
      <c r="E587" s="16"/>
      <c r="F587" s="15"/>
      <c r="G587" s="15"/>
      <c r="H587" s="15"/>
    </row>
    <row r="588" customFormat="false" ht="21" hidden="false" customHeight="true" outlineLevel="0" collapsed="false">
      <c r="A588" s="13"/>
      <c r="B588" s="14"/>
      <c r="C588" s="15"/>
      <c r="D588" s="14"/>
      <c r="E588" s="16"/>
      <c r="F588" s="15"/>
      <c r="G588" s="15"/>
      <c r="H588" s="15"/>
    </row>
    <row r="589" customFormat="false" ht="21" hidden="false" customHeight="true" outlineLevel="0" collapsed="false">
      <c r="A589" s="13"/>
      <c r="B589" s="14"/>
      <c r="C589" s="15"/>
      <c r="D589" s="14"/>
      <c r="E589" s="16"/>
      <c r="F589" s="15"/>
      <c r="G589" s="15"/>
      <c r="H589" s="15"/>
    </row>
    <row r="590" customFormat="false" ht="21" hidden="false" customHeight="true" outlineLevel="0" collapsed="false">
      <c r="A590" s="13"/>
      <c r="B590" s="14"/>
      <c r="C590" s="15"/>
      <c r="D590" s="14"/>
      <c r="E590" s="16"/>
      <c r="F590" s="15"/>
      <c r="G590" s="15"/>
      <c r="H590" s="15"/>
    </row>
    <row r="591" customFormat="false" ht="21" hidden="false" customHeight="true" outlineLevel="0" collapsed="false">
      <c r="A591" s="13"/>
      <c r="B591" s="14"/>
      <c r="C591" s="15"/>
      <c r="D591" s="14"/>
      <c r="E591" s="16"/>
      <c r="F591" s="15"/>
      <c r="G591" s="15"/>
      <c r="H591" s="15"/>
    </row>
    <row r="592" customFormat="false" ht="21" hidden="false" customHeight="true" outlineLevel="0" collapsed="false">
      <c r="A592" s="13"/>
      <c r="B592" s="14"/>
      <c r="C592" s="15"/>
      <c r="D592" s="14"/>
      <c r="E592" s="16"/>
      <c r="F592" s="15"/>
      <c r="G592" s="15"/>
      <c r="H592" s="15"/>
    </row>
    <row r="593" customFormat="false" ht="21" hidden="false" customHeight="true" outlineLevel="0" collapsed="false">
      <c r="A593" s="13"/>
      <c r="B593" s="14"/>
      <c r="C593" s="15"/>
      <c r="D593" s="14"/>
      <c r="E593" s="16"/>
      <c r="F593" s="15"/>
      <c r="G593" s="15"/>
      <c r="H593" s="15"/>
    </row>
    <row r="594" customFormat="false" ht="21" hidden="false" customHeight="true" outlineLevel="0" collapsed="false">
      <c r="A594" s="13"/>
      <c r="B594" s="14"/>
      <c r="C594" s="15"/>
      <c r="D594" s="14"/>
      <c r="E594" s="16"/>
      <c r="F594" s="15"/>
      <c r="G594" s="15"/>
      <c r="H594" s="15"/>
    </row>
    <row r="595" customFormat="false" ht="21" hidden="false" customHeight="true" outlineLevel="0" collapsed="false">
      <c r="A595" s="13"/>
      <c r="B595" s="14"/>
      <c r="C595" s="15"/>
      <c r="D595" s="14"/>
      <c r="E595" s="16"/>
      <c r="F595" s="15"/>
      <c r="G595" s="15"/>
      <c r="H595" s="15"/>
    </row>
    <row r="596" customFormat="false" ht="21" hidden="false" customHeight="true" outlineLevel="0" collapsed="false">
      <c r="A596" s="13"/>
      <c r="B596" s="14"/>
      <c r="C596" s="15"/>
      <c r="D596" s="14"/>
      <c r="E596" s="16"/>
      <c r="F596" s="15"/>
      <c r="G596" s="15"/>
      <c r="H596" s="15"/>
    </row>
    <row r="597" customFormat="false" ht="21" hidden="false" customHeight="true" outlineLevel="0" collapsed="false">
      <c r="A597" s="13"/>
      <c r="B597" s="14"/>
      <c r="C597" s="15"/>
      <c r="D597" s="14"/>
      <c r="E597" s="16"/>
      <c r="F597" s="15"/>
      <c r="G597" s="15"/>
      <c r="H597" s="15"/>
    </row>
    <row r="598" customFormat="false" ht="21" hidden="false" customHeight="true" outlineLevel="0" collapsed="false">
      <c r="A598" s="13"/>
      <c r="B598" s="14"/>
      <c r="C598" s="15"/>
      <c r="D598" s="14"/>
      <c r="E598" s="16"/>
      <c r="F598" s="15"/>
      <c r="G598" s="15"/>
      <c r="H598" s="15"/>
    </row>
    <row r="599" customFormat="false" ht="21" hidden="false" customHeight="true" outlineLevel="0" collapsed="false">
      <c r="A599" s="13"/>
      <c r="B599" s="14"/>
      <c r="C599" s="15"/>
      <c r="D599" s="14"/>
      <c r="E599" s="16"/>
      <c r="F599" s="15"/>
      <c r="G599" s="15"/>
      <c r="H599" s="15"/>
    </row>
    <row r="600" customFormat="false" ht="21" hidden="false" customHeight="true" outlineLevel="0" collapsed="false">
      <c r="A600" s="13"/>
      <c r="B600" s="14"/>
      <c r="C600" s="15"/>
      <c r="D600" s="14"/>
      <c r="E600" s="16"/>
      <c r="F600" s="15"/>
      <c r="G600" s="15"/>
      <c r="H600" s="15"/>
    </row>
    <row r="601" customFormat="false" ht="21" hidden="false" customHeight="true" outlineLevel="0" collapsed="false">
      <c r="A601" s="13"/>
      <c r="B601" s="14"/>
      <c r="C601" s="15"/>
      <c r="D601" s="14"/>
      <c r="E601" s="16"/>
      <c r="F601" s="15"/>
      <c r="G601" s="15"/>
      <c r="H601" s="15"/>
    </row>
    <row r="602" customFormat="false" ht="21" hidden="false" customHeight="true" outlineLevel="0" collapsed="false">
      <c r="A602" s="13"/>
      <c r="B602" s="14"/>
      <c r="C602" s="15"/>
      <c r="D602" s="14"/>
      <c r="E602" s="16"/>
      <c r="F602" s="15"/>
      <c r="G602" s="15"/>
      <c r="H602" s="15"/>
    </row>
    <row r="603" customFormat="false" ht="21" hidden="false" customHeight="true" outlineLevel="0" collapsed="false">
      <c r="A603" s="13"/>
      <c r="B603" s="14"/>
      <c r="C603" s="15"/>
      <c r="D603" s="14"/>
      <c r="E603" s="16"/>
      <c r="F603" s="15"/>
      <c r="G603" s="15"/>
      <c r="H603" s="15"/>
    </row>
    <row r="604" customFormat="false" ht="21" hidden="false" customHeight="true" outlineLevel="0" collapsed="false">
      <c r="A604" s="13"/>
      <c r="B604" s="14"/>
      <c r="C604" s="15"/>
      <c r="D604" s="14"/>
      <c r="E604" s="16"/>
      <c r="F604" s="15"/>
      <c r="G604" s="15"/>
      <c r="H604" s="15"/>
    </row>
    <row r="605" customFormat="false" ht="21" hidden="false" customHeight="true" outlineLevel="0" collapsed="false">
      <c r="A605" s="13"/>
      <c r="B605" s="14"/>
      <c r="C605" s="15"/>
      <c r="D605" s="14"/>
      <c r="E605" s="16"/>
      <c r="F605" s="15"/>
      <c r="G605" s="15"/>
      <c r="H605" s="15"/>
    </row>
    <row r="606" customFormat="false" ht="21" hidden="false" customHeight="true" outlineLevel="0" collapsed="false">
      <c r="A606" s="13"/>
      <c r="B606" s="14"/>
      <c r="C606" s="15"/>
      <c r="D606" s="14"/>
      <c r="E606" s="16"/>
      <c r="F606" s="15"/>
      <c r="G606" s="15"/>
      <c r="H606" s="15"/>
    </row>
    <row r="607" customFormat="false" ht="21" hidden="false" customHeight="true" outlineLevel="0" collapsed="false">
      <c r="A607" s="13"/>
      <c r="B607" s="14"/>
      <c r="C607" s="15"/>
      <c r="D607" s="14"/>
      <c r="E607" s="16"/>
      <c r="F607" s="15"/>
      <c r="G607" s="15"/>
      <c r="H607" s="15"/>
    </row>
    <row r="608" customFormat="false" ht="21" hidden="false" customHeight="true" outlineLevel="0" collapsed="false">
      <c r="A608" s="13"/>
      <c r="B608" s="14"/>
      <c r="C608" s="15"/>
      <c r="D608" s="14"/>
      <c r="E608" s="16"/>
      <c r="F608" s="15"/>
      <c r="G608" s="15"/>
      <c r="H608" s="15"/>
    </row>
    <row r="609" customFormat="false" ht="21" hidden="false" customHeight="true" outlineLevel="0" collapsed="false">
      <c r="A609" s="13"/>
      <c r="B609" s="14"/>
      <c r="C609" s="15"/>
      <c r="D609" s="14"/>
      <c r="E609" s="16"/>
      <c r="F609" s="15"/>
      <c r="G609" s="15"/>
      <c r="H609" s="15"/>
    </row>
    <row r="610" customFormat="false" ht="21" hidden="false" customHeight="true" outlineLevel="0" collapsed="false">
      <c r="A610" s="13"/>
      <c r="B610" s="14"/>
      <c r="C610" s="15"/>
      <c r="D610" s="14"/>
      <c r="E610" s="16"/>
      <c r="F610" s="15"/>
      <c r="G610" s="15"/>
      <c r="H610" s="15"/>
    </row>
    <row r="611" customFormat="false" ht="21" hidden="false" customHeight="true" outlineLevel="0" collapsed="false">
      <c r="A611" s="13"/>
      <c r="B611" s="14"/>
      <c r="C611" s="15"/>
      <c r="D611" s="14"/>
      <c r="E611" s="16"/>
      <c r="F611" s="15"/>
      <c r="G611" s="15"/>
      <c r="H611" s="15"/>
    </row>
    <row r="612" customFormat="false" ht="21" hidden="false" customHeight="true" outlineLevel="0" collapsed="false">
      <c r="A612" s="13"/>
      <c r="B612" s="14"/>
      <c r="C612" s="15"/>
      <c r="D612" s="14"/>
      <c r="E612" s="16"/>
      <c r="F612" s="15"/>
      <c r="G612" s="15"/>
      <c r="H612" s="15"/>
    </row>
    <row r="613" customFormat="false" ht="21" hidden="false" customHeight="true" outlineLevel="0" collapsed="false">
      <c r="A613" s="13"/>
      <c r="B613" s="14"/>
      <c r="C613" s="15"/>
      <c r="D613" s="14"/>
      <c r="E613" s="16"/>
      <c r="F613" s="15"/>
      <c r="G613" s="15"/>
      <c r="H613" s="15"/>
    </row>
    <row r="614" customFormat="false" ht="21" hidden="false" customHeight="true" outlineLevel="0" collapsed="false">
      <c r="A614" s="13"/>
      <c r="B614" s="14"/>
      <c r="C614" s="15"/>
      <c r="D614" s="14"/>
      <c r="E614" s="16"/>
      <c r="F614" s="15"/>
      <c r="G614" s="15"/>
      <c r="H614" s="15"/>
    </row>
    <row r="615" customFormat="false" ht="21" hidden="false" customHeight="true" outlineLevel="0" collapsed="false">
      <c r="A615" s="13"/>
      <c r="B615" s="14"/>
      <c r="C615" s="15"/>
      <c r="D615" s="14"/>
      <c r="E615" s="16"/>
      <c r="F615" s="15"/>
      <c r="G615" s="15"/>
      <c r="H615" s="15"/>
    </row>
    <row r="616" customFormat="false" ht="21" hidden="false" customHeight="true" outlineLevel="0" collapsed="false">
      <c r="A616" s="13"/>
      <c r="B616" s="14"/>
      <c r="C616" s="15"/>
      <c r="D616" s="14"/>
      <c r="E616" s="16"/>
      <c r="F616" s="15"/>
      <c r="G616" s="15"/>
      <c r="H616" s="15"/>
    </row>
    <row r="617" customFormat="false" ht="21" hidden="false" customHeight="true" outlineLevel="0" collapsed="false">
      <c r="A617" s="13"/>
      <c r="B617" s="14"/>
      <c r="C617" s="15"/>
      <c r="D617" s="14"/>
      <c r="E617" s="16"/>
      <c r="F617" s="15"/>
      <c r="G617" s="15"/>
      <c r="H617" s="15"/>
    </row>
    <row r="618" customFormat="false" ht="21" hidden="false" customHeight="true" outlineLevel="0" collapsed="false">
      <c r="A618" s="13"/>
      <c r="B618" s="14"/>
      <c r="C618" s="15"/>
      <c r="D618" s="14"/>
      <c r="E618" s="16"/>
      <c r="F618" s="15"/>
      <c r="G618" s="15"/>
      <c r="H618" s="15"/>
    </row>
    <row r="619" customFormat="false" ht="21" hidden="false" customHeight="true" outlineLevel="0" collapsed="false">
      <c r="A619" s="13"/>
      <c r="B619" s="14"/>
      <c r="C619" s="15"/>
      <c r="D619" s="14"/>
      <c r="E619" s="16"/>
      <c r="F619" s="15"/>
      <c r="G619" s="15"/>
      <c r="H619" s="15"/>
    </row>
    <row r="620" customFormat="false" ht="21" hidden="false" customHeight="true" outlineLevel="0" collapsed="false">
      <c r="A620" s="13"/>
      <c r="B620" s="14"/>
      <c r="C620" s="15"/>
      <c r="D620" s="14"/>
      <c r="E620" s="16"/>
      <c r="F620" s="15"/>
      <c r="G620" s="15"/>
      <c r="H620" s="15"/>
    </row>
    <row r="621" customFormat="false" ht="21" hidden="false" customHeight="true" outlineLevel="0" collapsed="false">
      <c r="A621" s="13"/>
      <c r="B621" s="14"/>
      <c r="C621" s="15"/>
      <c r="D621" s="14"/>
      <c r="E621" s="16"/>
      <c r="F621" s="15"/>
      <c r="G621" s="15"/>
      <c r="H621" s="15"/>
    </row>
    <row r="622" customFormat="false" ht="21" hidden="false" customHeight="true" outlineLevel="0" collapsed="false">
      <c r="A622" s="13"/>
      <c r="B622" s="14"/>
      <c r="C622" s="15"/>
      <c r="D622" s="14"/>
      <c r="E622" s="16"/>
      <c r="F622" s="15"/>
      <c r="G622" s="15"/>
      <c r="H622" s="15"/>
    </row>
    <row r="623" customFormat="false" ht="21" hidden="false" customHeight="true" outlineLevel="0" collapsed="false">
      <c r="A623" s="13"/>
      <c r="B623" s="14"/>
      <c r="C623" s="15"/>
      <c r="D623" s="14"/>
      <c r="E623" s="16"/>
      <c r="F623" s="15"/>
      <c r="G623" s="15"/>
      <c r="H623" s="15"/>
    </row>
    <row r="624" customFormat="false" ht="21" hidden="false" customHeight="true" outlineLevel="0" collapsed="false">
      <c r="A624" s="13"/>
      <c r="B624" s="14"/>
      <c r="C624" s="15"/>
      <c r="D624" s="14"/>
      <c r="E624" s="16"/>
      <c r="F624" s="15"/>
      <c r="G624" s="15"/>
      <c r="H624" s="15"/>
    </row>
    <row r="625" customFormat="false" ht="21" hidden="false" customHeight="true" outlineLevel="0" collapsed="false">
      <c r="A625" s="13"/>
      <c r="B625" s="14"/>
      <c r="C625" s="15"/>
      <c r="D625" s="14"/>
      <c r="E625" s="16"/>
      <c r="F625" s="15"/>
      <c r="G625" s="15"/>
      <c r="H625" s="15"/>
    </row>
    <row r="626" customFormat="false" ht="21" hidden="false" customHeight="true" outlineLevel="0" collapsed="false">
      <c r="A626" s="13"/>
      <c r="B626" s="14"/>
      <c r="C626" s="15"/>
      <c r="D626" s="14"/>
      <c r="E626" s="16"/>
      <c r="F626" s="15"/>
      <c r="G626" s="15"/>
      <c r="H626" s="15"/>
    </row>
    <row r="627" customFormat="false" ht="21" hidden="false" customHeight="true" outlineLevel="0" collapsed="false">
      <c r="A627" s="13"/>
      <c r="B627" s="14"/>
      <c r="C627" s="15"/>
      <c r="D627" s="14"/>
      <c r="E627" s="16"/>
      <c r="F627" s="15"/>
      <c r="G627" s="15"/>
      <c r="H627" s="15"/>
    </row>
    <row r="628" customFormat="false" ht="21" hidden="false" customHeight="true" outlineLevel="0" collapsed="false">
      <c r="A628" s="13"/>
      <c r="B628" s="14"/>
      <c r="C628" s="15"/>
      <c r="D628" s="14"/>
      <c r="E628" s="16"/>
      <c r="F628" s="15"/>
      <c r="G628" s="15"/>
      <c r="H628" s="15"/>
    </row>
    <row r="629" customFormat="false" ht="21" hidden="false" customHeight="true" outlineLevel="0" collapsed="false">
      <c r="A629" s="13"/>
      <c r="B629" s="14"/>
      <c r="C629" s="15"/>
      <c r="D629" s="14"/>
      <c r="E629" s="16"/>
      <c r="F629" s="15"/>
      <c r="G629" s="15"/>
      <c r="H629" s="15"/>
    </row>
    <row r="630" customFormat="false" ht="21" hidden="false" customHeight="true" outlineLevel="0" collapsed="false">
      <c r="A630" s="13"/>
      <c r="B630" s="14"/>
      <c r="C630" s="15"/>
      <c r="D630" s="14"/>
      <c r="E630" s="16"/>
      <c r="F630" s="15"/>
      <c r="G630" s="15"/>
      <c r="H630" s="15"/>
    </row>
    <row r="631" customFormat="false" ht="21" hidden="false" customHeight="true" outlineLevel="0" collapsed="false">
      <c r="A631" s="13"/>
      <c r="B631" s="14"/>
      <c r="C631" s="15"/>
      <c r="D631" s="14"/>
      <c r="E631" s="16"/>
      <c r="F631" s="15"/>
      <c r="G631" s="15"/>
      <c r="H631" s="15"/>
    </row>
    <row r="632" customFormat="false" ht="21" hidden="false" customHeight="true" outlineLevel="0" collapsed="false">
      <c r="A632" s="13"/>
      <c r="B632" s="14"/>
      <c r="C632" s="15"/>
      <c r="D632" s="14"/>
      <c r="E632" s="16"/>
      <c r="F632" s="15"/>
      <c r="G632" s="15"/>
      <c r="H632" s="15"/>
    </row>
    <row r="633" customFormat="false" ht="21" hidden="false" customHeight="true" outlineLevel="0" collapsed="false">
      <c r="A633" s="13"/>
      <c r="B633" s="14"/>
      <c r="C633" s="15"/>
      <c r="D633" s="14"/>
      <c r="E633" s="16"/>
      <c r="F633" s="15"/>
      <c r="G633" s="15"/>
      <c r="H633" s="15"/>
    </row>
    <row r="634" customFormat="false" ht="21" hidden="false" customHeight="true" outlineLevel="0" collapsed="false">
      <c r="A634" s="13"/>
      <c r="B634" s="14"/>
      <c r="C634" s="15"/>
      <c r="D634" s="14"/>
      <c r="E634" s="16"/>
      <c r="F634" s="15"/>
      <c r="G634" s="15"/>
      <c r="H634" s="15"/>
    </row>
    <row r="635" customFormat="false" ht="21" hidden="false" customHeight="true" outlineLevel="0" collapsed="false">
      <c r="A635" s="13"/>
      <c r="B635" s="14"/>
      <c r="C635" s="15"/>
      <c r="D635" s="14"/>
      <c r="E635" s="16"/>
      <c r="F635" s="15"/>
      <c r="G635" s="15"/>
      <c r="H635" s="15"/>
    </row>
    <row r="636" customFormat="false" ht="21" hidden="false" customHeight="true" outlineLevel="0" collapsed="false">
      <c r="A636" s="13"/>
      <c r="B636" s="14"/>
      <c r="C636" s="15"/>
      <c r="D636" s="14"/>
      <c r="E636" s="16"/>
      <c r="F636" s="15"/>
      <c r="G636" s="15"/>
      <c r="H636" s="15"/>
    </row>
    <row r="637" customFormat="false" ht="21" hidden="false" customHeight="true" outlineLevel="0" collapsed="false">
      <c r="A637" s="13"/>
      <c r="B637" s="14"/>
      <c r="C637" s="15"/>
      <c r="D637" s="14"/>
      <c r="E637" s="16"/>
      <c r="F637" s="15"/>
      <c r="G637" s="15"/>
      <c r="H637" s="15"/>
    </row>
    <row r="638" customFormat="false" ht="21" hidden="false" customHeight="true" outlineLevel="0" collapsed="false">
      <c r="A638" s="13"/>
      <c r="B638" s="14"/>
      <c r="C638" s="15"/>
      <c r="D638" s="14"/>
      <c r="E638" s="16"/>
      <c r="F638" s="15"/>
      <c r="G638" s="15"/>
      <c r="H638" s="15"/>
    </row>
    <row r="639" customFormat="false" ht="21" hidden="false" customHeight="true" outlineLevel="0" collapsed="false">
      <c r="A639" s="13"/>
      <c r="B639" s="14"/>
      <c r="C639" s="15"/>
      <c r="D639" s="14"/>
      <c r="E639" s="16"/>
      <c r="F639" s="15"/>
      <c r="G639" s="15"/>
      <c r="H639" s="15"/>
    </row>
    <row r="640" customFormat="false" ht="21" hidden="false" customHeight="true" outlineLevel="0" collapsed="false">
      <c r="A640" s="13"/>
      <c r="B640" s="14"/>
      <c r="C640" s="15"/>
      <c r="D640" s="14"/>
      <c r="E640" s="16"/>
      <c r="F640" s="15"/>
      <c r="G640" s="15"/>
      <c r="H640" s="15"/>
    </row>
    <row r="641" customFormat="false" ht="21" hidden="false" customHeight="true" outlineLevel="0" collapsed="false">
      <c r="A641" s="13"/>
      <c r="B641" s="14"/>
      <c r="C641" s="15"/>
      <c r="D641" s="14"/>
      <c r="E641" s="16"/>
      <c r="F641" s="15"/>
      <c r="G641" s="15"/>
      <c r="H641" s="15"/>
    </row>
    <row r="642" customFormat="false" ht="21" hidden="false" customHeight="true" outlineLevel="0" collapsed="false">
      <c r="A642" s="13"/>
      <c r="B642" s="14"/>
      <c r="C642" s="15"/>
      <c r="D642" s="14"/>
      <c r="E642" s="16"/>
      <c r="F642" s="15"/>
      <c r="G642" s="15"/>
      <c r="H642" s="15"/>
    </row>
    <row r="643" customFormat="false" ht="21" hidden="false" customHeight="true" outlineLevel="0" collapsed="false">
      <c r="A643" s="13"/>
      <c r="B643" s="14"/>
      <c r="C643" s="15"/>
      <c r="D643" s="14"/>
      <c r="E643" s="16"/>
      <c r="F643" s="15"/>
      <c r="G643" s="15"/>
      <c r="H643" s="15"/>
    </row>
    <row r="644" customFormat="false" ht="21" hidden="false" customHeight="true" outlineLevel="0" collapsed="false">
      <c r="A644" s="13"/>
      <c r="B644" s="14"/>
      <c r="C644" s="15"/>
      <c r="D644" s="14"/>
      <c r="E644" s="16"/>
      <c r="F644" s="15"/>
      <c r="G644" s="15"/>
      <c r="H644" s="15"/>
    </row>
    <row r="645" customFormat="false" ht="21" hidden="false" customHeight="true" outlineLevel="0" collapsed="false">
      <c r="A645" s="13"/>
      <c r="B645" s="14"/>
      <c r="C645" s="15"/>
      <c r="D645" s="14"/>
      <c r="E645" s="16"/>
      <c r="F645" s="15"/>
      <c r="G645" s="15"/>
      <c r="H645" s="15"/>
    </row>
    <row r="646" customFormat="false" ht="21" hidden="false" customHeight="true" outlineLevel="0" collapsed="false">
      <c r="A646" s="13"/>
      <c r="B646" s="14"/>
      <c r="C646" s="15"/>
      <c r="D646" s="14"/>
      <c r="E646" s="16"/>
      <c r="F646" s="15"/>
      <c r="G646" s="15"/>
      <c r="H646" s="15"/>
    </row>
    <row r="647" customFormat="false" ht="21" hidden="false" customHeight="true" outlineLevel="0" collapsed="false">
      <c r="A647" s="13"/>
      <c r="B647" s="14"/>
      <c r="C647" s="15"/>
      <c r="D647" s="14"/>
      <c r="E647" s="16"/>
      <c r="F647" s="15"/>
      <c r="G647" s="15"/>
      <c r="H647" s="15"/>
    </row>
    <row r="648" customFormat="false" ht="21" hidden="false" customHeight="true" outlineLevel="0" collapsed="false">
      <c r="A648" s="13"/>
      <c r="B648" s="14"/>
      <c r="C648" s="15"/>
      <c r="D648" s="14"/>
      <c r="E648" s="16"/>
      <c r="F648" s="15"/>
      <c r="G648" s="15"/>
      <c r="H648" s="15"/>
    </row>
    <row r="649" customFormat="false" ht="21" hidden="false" customHeight="true" outlineLevel="0" collapsed="false">
      <c r="A649" s="13"/>
      <c r="B649" s="14"/>
      <c r="C649" s="15"/>
      <c r="D649" s="14"/>
      <c r="E649" s="16"/>
      <c r="F649" s="15"/>
      <c r="G649" s="15"/>
      <c r="H649" s="15"/>
    </row>
    <row r="650" customFormat="false" ht="21" hidden="false" customHeight="true" outlineLevel="0" collapsed="false">
      <c r="A650" s="13"/>
      <c r="B650" s="14"/>
      <c r="C650" s="15"/>
      <c r="D650" s="14"/>
      <c r="E650" s="16"/>
      <c r="F650" s="15"/>
      <c r="G650" s="15"/>
      <c r="H650" s="15"/>
    </row>
    <row r="651" customFormat="false" ht="21" hidden="false" customHeight="true" outlineLevel="0" collapsed="false">
      <c r="A651" s="13"/>
      <c r="B651" s="14"/>
      <c r="C651" s="15"/>
      <c r="D651" s="14"/>
      <c r="E651" s="16"/>
      <c r="F651" s="15"/>
      <c r="G651" s="15"/>
      <c r="H651" s="15"/>
    </row>
    <row r="652" customFormat="false" ht="21" hidden="false" customHeight="true" outlineLevel="0" collapsed="false">
      <c r="A652" s="13"/>
      <c r="B652" s="14"/>
      <c r="C652" s="15"/>
      <c r="D652" s="14"/>
      <c r="E652" s="16"/>
      <c r="F652" s="15"/>
      <c r="G652" s="15"/>
      <c r="H652" s="15"/>
    </row>
    <row r="653" customFormat="false" ht="21" hidden="false" customHeight="true" outlineLevel="0" collapsed="false">
      <c r="A653" s="13"/>
      <c r="B653" s="14"/>
      <c r="C653" s="15"/>
      <c r="D653" s="14"/>
      <c r="E653" s="16"/>
      <c r="F653" s="15"/>
      <c r="G653" s="15"/>
      <c r="H653" s="15"/>
    </row>
    <row r="654" customFormat="false" ht="21" hidden="false" customHeight="true" outlineLevel="0" collapsed="false">
      <c r="A654" s="13"/>
      <c r="B654" s="14"/>
      <c r="C654" s="15"/>
      <c r="D654" s="14"/>
      <c r="E654" s="16"/>
      <c r="F654" s="15"/>
      <c r="G654" s="15"/>
      <c r="H654" s="15"/>
    </row>
    <row r="655" customFormat="false" ht="21" hidden="false" customHeight="true" outlineLevel="0" collapsed="false">
      <c r="A655" s="13"/>
      <c r="B655" s="14"/>
      <c r="C655" s="15"/>
      <c r="D655" s="14"/>
      <c r="E655" s="16"/>
      <c r="F655" s="15"/>
      <c r="G655" s="15"/>
      <c r="H655" s="15"/>
    </row>
    <row r="656" customFormat="false" ht="21" hidden="false" customHeight="true" outlineLevel="0" collapsed="false">
      <c r="A656" s="13"/>
      <c r="B656" s="14"/>
      <c r="C656" s="15"/>
      <c r="D656" s="14"/>
      <c r="E656" s="16"/>
      <c r="F656" s="15"/>
      <c r="G656" s="15"/>
      <c r="H656" s="15"/>
    </row>
    <row r="657" customFormat="false" ht="21" hidden="false" customHeight="true" outlineLevel="0" collapsed="false">
      <c r="A657" s="13"/>
      <c r="B657" s="14"/>
      <c r="C657" s="15"/>
      <c r="D657" s="14"/>
      <c r="E657" s="16"/>
      <c r="F657" s="15"/>
      <c r="G657" s="15"/>
      <c r="H657" s="15"/>
    </row>
    <row r="658" customFormat="false" ht="21" hidden="false" customHeight="true" outlineLevel="0" collapsed="false">
      <c r="A658" s="13"/>
      <c r="B658" s="14"/>
      <c r="C658" s="15"/>
      <c r="D658" s="14"/>
      <c r="E658" s="16"/>
      <c r="F658" s="15"/>
      <c r="G658" s="15"/>
      <c r="H658" s="15"/>
    </row>
    <row r="659" customFormat="false" ht="21" hidden="false" customHeight="true" outlineLevel="0" collapsed="false">
      <c r="A659" s="13"/>
      <c r="B659" s="14"/>
      <c r="C659" s="15"/>
      <c r="D659" s="14"/>
      <c r="E659" s="16"/>
      <c r="F659" s="15"/>
      <c r="G659" s="15"/>
      <c r="H659" s="15"/>
    </row>
    <row r="660" customFormat="false" ht="21" hidden="false" customHeight="true" outlineLevel="0" collapsed="false">
      <c r="A660" s="13"/>
      <c r="B660" s="14"/>
      <c r="C660" s="15"/>
      <c r="D660" s="14"/>
      <c r="E660" s="16"/>
      <c r="F660" s="15"/>
      <c r="G660" s="15"/>
      <c r="H660" s="15"/>
    </row>
    <row r="661" customFormat="false" ht="21" hidden="false" customHeight="true" outlineLevel="0" collapsed="false">
      <c r="A661" s="13"/>
      <c r="B661" s="14"/>
      <c r="C661" s="15"/>
      <c r="D661" s="14"/>
      <c r="E661" s="16"/>
      <c r="F661" s="15"/>
      <c r="G661" s="15"/>
      <c r="H661" s="15"/>
    </row>
    <row r="662" customFormat="false" ht="21" hidden="false" customHeight="true" outlineLevel="0" collapsed="false">
      <c r="A662" s="13"/>
      <c r="B662" s="14"/>
      <c r="C662" s="15"/>
      <c r="D662" s="14"/>
      <c r="E662" s="16"/>
      <c r="F662" s="15"/>
      <c r="G662" s="15"/>
      <c r="H662" s="15"/>
    </row>
    <row r="663" customFormat="false" ht="21" hidden="false" customHeight="true" outlineLevel="0" collapsed="false">
      <c r="A663" s="13"/>
      <c r="B663" s="14"/>
      <c r="C663" s="15"/>
      <c r="D663" s="14"/>
      <c r="E663" s="16"/>
      <c r="F663" s="15"/>
      <c r="G663" s="15"/>
      <c r="H663" s="15"/>
    </row>
    <row r="664" customFormat="false" ht="21" hidden="false" customHeight="true" outlineLevel="0" collapsed="false">
      <c r="A664" s="13"/>
      <c r="B664" s="14"/>
      <c r="C664" s="15"/>
      <c r="D664" s="14"/>
      <c r="E664" s="16"/>
      <c r="F664" s="15"/>
      <c r="G664" s="15"/>
      <c r="H664" s="15"/>
    </row>
    <row r="665" customFormat="false" ht="21" hidden="false" customHeight="true" outlineLevel="0" collapsed="false">
      <c r="A665" s="13"/>
      <c r="B665" s="14"/>
      <c r="C665" s="15"/>
      <c r="D665" s="14"/>
      <c r="E665" s="16"/>
      <c r="F665" s="15"/>
      <c r="G665" s="15"/>
      <c r="H665" s="15"/>
    </row>
    <row r="666" customFormat="false" ht="21" hidden="false" customHeight="true" outlineLevel="0" collapsed="false">
      <c r="A666" s="13"/>
      <c r="B666" s="14"/>
      <c r="C666" s="15"/>
      <c r="D666" s="14"/>
      <c r="E666" s="16"/>
      <c r="F666" s="15"/>
      <c r="G666" s="15"/>
      <c r="H666" s="15"/>
    </row>
    <row r="667" customFormat="false" ht="21" hidden="false" customHeight="true" outlineLevel="0" collapsed="false">
      <c r="A667" s="13"/>
      <c r="B667" s="14"/>
      <c r="C667" s="15"/>
      <c r="D667" s="14"/>
      <c r="E667" s="16"/>
      <c r="F667" s="15"/>
      <c r="G667" s="15"/>
      <c r="H667" s="15"/>
    </row>
    <row r="668" customFormat="false" ht="21" hidden="false" customHeight="true" outlineLevel="0" collapsed="false">
      <c r="A668" s="13"/>
      <c r="B668" s="14"/>
      <c r="C668" s="15"/>
      <c r="D668" s="14"/>
      <c r="E668" s="16"/>
      <c r="F668" s="15"/>
      <c r="G668" s="15"/>
      <c r="H668" s="15"/>
    </row>
    <row r="669" customFormat="false" ht="21" hidden="false" customHeight="true" outlineLevel="0" collapsed="false">
      <c r="A669" s="13"/>
      <c r="B669" s="14"/>
      <c r="C669" s="15"/>
      <c r="D669" s="14"/>
      <c r="E669" s="16"/>
      <c r="F669" s="15"/>
      <c r="G669" s="15"/>
      <c r="H669" s="15"/>
    </row>
    <row r="670" customFormat="false" ht="21" hidden="false" customHeight="true" outlineLevel="0" collapsed="false">
      <c r="A670" s="13"/>
      <c r="B670" s="14"/>
      <c r="C670" s="15"/>
      <c r="D670" s="14"/>
      <c r="E670" s="16"/>
      <c r="F670" s="15"/>
      <c r="G670" s="15"/>
      <c r="H670" s="15"/>
    </row>
    <row r="671" customFormat="false" ht="21" hidden="false" customHeight="true" outlineLevel="0" collapsed="false">
      <c r="A671" s="13"/>
      <c r="B671" s="14"/>
      <c r="C671" s="15"/>
      <c r="D671" s="14"/>
      <c r="E671" s="16"/>
      <c r="F671" s="15"/>
      <c r="G671" s="15"/>
      <c r="H671" s="15"/>
    </row>
    <row r="672" customFormat="false" ht="21" hidden="false" customHeight="true" outlineLevel="0" collapsed="false">
      <c r="A672" s="13"/>
      <c r="B672" s="14"/>
      <c r="C672" s="15"/>
      <c r="D672" s="14"/>
      <c r="E672" s="16"/>
      <c r="F672" s="15"/>
      <c r="G672" s="15"/>
      <c r="H672" s="15"/>
    </row>
    <row r="673" customFormat="false" ht="21" hidden="false" customHeight="true" outlineLevel="0" collapsed="false">
      <c r="A673" s="13"/>
      <c r="B673" s="14"/>
      <c r="C673" s="15"/>
      <c r="D673" s="14"/>
      <c r="E673" s="16"/>
      <c r="F673" s="15"/>
      <c r="G673" s="15"/>
      <c r="H673" s="15"/>
    </row>
    <row r="674" customFormat="false" ht="21" hidden="false" customHeight="true" outlineLevel="0" collapsed="false">
      <c r="A674" s="13"/>
      <c r="B674" s="14"/>
      <c r="C674" s="15"/>
      <c r="D674" s="14"/>
      <c r="E674" s="16"/>
      <c r="F674" s="15"/>
      <c r="G674" s="15"/>
      <c r="H674" s="15"/>
    </row>
    <row r="675" customFormat="false" ht="21" hidden="false" customHeight="true" outlineLevel="0" collapsed="false">
      <c r="A675" s="13"/>
      <c r="B675" s="14"/>
      <c r="C675" s="15"/>
      <c r="D675" s="14"/>
      <c r="E675" s="16"/>
      <c r="F675" s="15"/>
      <c r="G675" s="15"/>
      <c r="H675" s="15"/>
    </row>
    <row r="676" customFormat="false" ht="21" hidden="false" customHeight="true" outlineLevel="0" collapsed="false">
      <c r="A676" s="13"/>
      <c r="B676" s="14"/>
      <c r="C676" s="15"/>
      <c r="D676" s="14"/>
      <c r="E676" s="16"/>
      <c r="F676" s="15"/>
      <c r="G676" s="15"/>
      <c r="H676" s="15"/>
    </row>
    <row r="677" customFormat="false" ht="21" hidden="false" customHeight="true" outlineLevel="0" collapsed="false">
      <c r="A677" s="13"/>
      <c r="B677" s="14"/>
      <c r="C677" s="15"/>
      <c r="D677" s="14"/>
      <c r="E677" s="16"/>
      <c r="F677" s="15"/>
      <c r="G677" s="15"/>
      <c r="H677" s="15"/>
    </row>
    <row r="678" customFormat="false" ht="21" hidden="false" customHeight="true" outlineLevel="0" collapsed="false">
      <c r="A678" s="13"/>
      <c r="B678" s="14"/>
      <c r="C678" s="15"/>
      <c r="D678" s="14"/>
      <c r="E678" s="16"/>
      <c r="F678" s="15"/>
      <c r="G678" s="15"/>
      <c r="H678" s="15"/>
    </row>
    <row r="679" customFormat="false" ht="21" hidden="false" customHeight="true" outlineLevel="0" collapsed="false">
      <c r="A679" s="13"/>
      <c r="B679" s="14"/>
      <c r="C679" s="15"/>
      <c r="D679" s="14"/>
      <c r="E679" s="16"/>
      <c r="F679" s="15"/>
      <c r="G679" s="15"/>
      <c r="H679" s="15"/>
    </row>
    <row r="680" customFormat="false" ht="21" hidden="false" customHeight="true" outlineLevel="0" collapsed="false">
      <c r="A680" s="13"/>
      <c r="B680" s="14"/>
      <c r="C680" s="15"/>
      <c r="D680" s="14"/>
      <c r="E680" s="16"/>
      <c r="F680" s="15"/>
      <c r="G680" s="15"/>
      <c r="H680" s="15"/>
    </row>
    <row r="681" customFormat="false" ht="21" hidden="false" customHeight="true" outlineLevel="0" collapsed="false">
      <c r="A681" s="13"/>
      <c r="B681" s="14"/>
      <c r="C681" s="15"/>
      <c r="D681" s="14"/>
      <c r="E681" s="16"/>
      <c r="F681" s="15"/>
      <c r="G681" s="15"/>
      <c r="H681" s="15"/>
    </row>
    <row r="682" customFormat="false" ht="21" hidden="false" customHeight="true" outlineLevel="0" collapsed="false">
      <c r="A682" s="13"/>
      <c r="B682" s="14"/>
      <c r="C682" s="15"/>
      <c r="D682" s="14"/>
      <c r="E682" s="16"/>
      <c r="F682" s="15"/>
      <c r="G682" s="15"/>
      <c r="H682" s="15"/>
    </row>
    <row r="683" customFormat="false" ht="21" hidden="false" customHeight="true" outlineLevel="0" collapsed="false">
      <c r="A683" s="13"/>
      <c r="B683" s="14"/>
      <c r="C683" s="15"/>
      <c r="D683" s="14"/>
      <c r="E683" s="16"/>
      <c r="F683" s="15"/>
      <c r="G683" s="15"/>
      <c r="H683" s="15"/>
    </row>
    <row r="684" customFormat="false" ht="21" hidden="false" customHeight="true" outlineLevel="0" collapsed="false">
      <c r="A684" s="13"/>
      <c r="B684" s="14"/>
      <c r="C684" s="15"/>
      <c r="D684" s="14"/>
      <c r="E684" s="16"/>
      <c r="F684" s="15"/>
      <c r="G684" s="15"/>
      <c r="H684" s="15"/>
    </row>
    <row r="685" customFormat="false" ht="21" hidden="false" customHeight="true" outlineLevel="0" collapsed="false">
      <c r="A685" s="13"/>
      <c r="B685" s="14"/>
      <c r="C685" s="15"/>
      <c r="D685" s="14"/>
      <c r="E685" s="16"/>
      <c r="F685" s="15"/>
      <c r="G685" s="15"/>
      <c r="H685" s="15"/>
    </row>
    <row r="686" customFormat="false" ht="21" hidden="false" customHeight="true" outlineLevel="0" collapsed="false">
      <c r="A686" s="13"/>
      <c r="B686" s="14"/>
      <c r="C686" s="15"/>
      <c r="D686" s="14"/>
      <c r="E686" s="16"/>
      <c r="F686" s="15"/>
      <c r="G686" s="15"/>
      <c r="H686" s="15"/>
    </row>
    <row r="687" customFormat="false" ht="21" hidden="false" customHeight="true" outlineLevel="0" collapsed="false">
      <c r="A687" s="13"/>
      <c r="B687" s="14"/>
      <c r="C687" s="15"/>
      <c r="D687" s="14"/>
      <c r="E687" s="16"/>
      <c r="F687" s="15"/>
      <c r="G687" s="15"/>
      <c r="H687" s="15"/>
    </row>
    <row r="688" customFormat="false" ht="21" hidden="false" customHeight="true" outlineLevel="0" collapsed="false">
      <c r="A688" s="13"/>
      <c r="B688" s="14"/>
      <c r="C688" s="15"/>
      <c r="D688" s="14"/>
      <c r="E688" s="16"/>
      <c r="F688" s="15"/>
      <c r="G688" s="15"/>
      <c r="H688" s="15"/>
    </row>
    <row r="689" customFormat="false" ht="21" hidden="false" customHeight="true" outlineLevel="0" collapsed="false">
      <c r="A689" s="13"/>
      <c r="B689" s="14"/>
      <c r="C689" s="15"/>
      <c r="D689" s="14"/>
      <c r="E689" s="16"/>
      <c r="F689" s="15"/>
      <c r="G689" s="15"/>
      <c r="H689" s="15"/>
    </row>
    <row r="690" customFormat="false" ht="21" hidden="false" customHeight="true" outlineLevel="0" collapsed="false">
      <c r="A690" s="13"/>
      <c r="B690" s="14"/>
      <c r="C690" s="15"/>
      <c r="D690" s="14"/>
      <c r="E690" s="16"/>
      <c r="F690" s="15"/>
      <c r="G690" s="15"/>
      <c r="H690" s="15"/>
    </row>
    <row r="691" customFormat="false" ht="21" hidden="false" customHeight="true" outlineLevel="0" collapsed="false">
      <c r="A691" s="13"/>
      <c r="B691" s="14"/>
      <c r="C691" s="15"/>
      <c r="D691" s="14"/>
      <c r="E691" s="16"/>
      <c r="F691" s="15"/>
      <c r="G691" s="15"/>
      <c r="H691" s="15"/>
    </row>
    <row r="692" customFormat="false" ht="21" hidden="false" customHeight="true" outlineLevel="0" collapsed="false">
      <c r="A692" s="13"/>
      <c r="B692" s="14"/>
      <c r="C692" s="15"/>
      <c r="D692" s="14"/>
      <c r="E692" s="16"/>
      <c r="F692" s="15"/>
      <c r="G692" s="15"/>
      <c r="H692" s="15"/>
    </row>
    <row r="693" customFormat="false" ht="21" hidden="false" customHeight="true" outlineLevel="0" collapsed="false">
      <c r="A693" s="13"/>
      <c r="B693" s="14"/>
      <c r="C693" s="15"/>
      <c r="D693" s="14"/>
      <c r="E693" s="16"/>
      <c r="F693" s="15"/>
      <c r="G693" s="15"/>
      <c r="H693" s="15"/>
    </row>
    <row r="694" customFormat="false" ht="21" hidden="false" customHeight="true" outlineLevel="0" collapsed="false">
      <c r="A694" s="13"/>
      <c r="B694" s="14"/>
      <c r="C694" s="15"/>
      <c r="D694" s="14"/>
      <c r="E694" s="16"/>
      <c r="F694" s="15"/>
      <c r="G694" s="15"/>
      <c r="H694" s="15"/>
    </row>
    <row r="695" customFormat="false" ht="21" hidden="false" customHeight="true" outlineLevel="0" collapsed="false">
      <c r="A695" s="13"/>
      <c r="B695" s="14"/>
      <c r="C695" s="15"/>
      <c r="D695" s="14"/>
      <c r="E695" s="16"/>
      <c r="F695" s="15"/>
      <c r="G695" s="15"/>
      <c r="H695" s="15"/>
    </row>
    <row r="696" customFormat="false" ht="21" hidden="false" customHeight="true" outlineLevel="0" collapsed="false">
      <c r="A696" s="13"/>
      <c r="B696" s="14"/>
      <c r="C696" s="15"/>
      <c r="D696" s="14"/>
      <c r="E696" s="16"/>
      <c r="F696" s="15"/>
      <c r="G696" s="15"/>
      <c r="H696" s="15"/>
    </row>
    <row r="697" customFormat="false" ht="21" hidden="false" customHeight="true" outlineLevel="0" collapsed="false">
      <c r="A697" s="13"/>
      <c r="B697" s="14"/>
      <c r="C697" s="15"/>
      <c r="D697" s="14"/>
      <c r="E697" s="16"/>
      <c r="F697" s="15"/>
      <c r="G697" s="15"/>
      <c r="H697" s="15"/>
    </row>
    <row r="698" customFormat="false" ht="21" hidden="false" customHeight="true" outlineLevel="0" collapsed="false">
      <c r="A698" s="13"/>
      <c r="B698" s="14"/>
      <c r="C698" s="15"/>
      <c r="D698" s="14"/>
      <c r="E698" s="16"/>
      <c r="F698" s="15"/>
      <c r="G698" s="15"/>
      <c r="H698" s="15"/>
    </row>
    <row r="699" customFormat="false" ht="21" hidden="false" customHeight="true" outlineLevel="0" collapsed="false">
      <c r="A699" s="13"/>
      <c r="B699" s="14"/>
      <c r="C699" s="15"/>
      <c r="D699" s="14"/>
      <c r="E699" s="16"/>
      <c r="F699" s="15"/>
      <c r="G699" s="15"/>
      <c r="H699" s="15"/>
    </row>
    <row r="700" customFormat="false" ht="21" hidden="false" customHeight="true" outlineLevel="0" collapsed="false">
      <c r="A700" s="13"/>
      <c r="B700" s="14"/>
      <c r="C700" s="15"/>
      <c r="D700" s="14"/>
      <c r="E700" s="16"/>
      <c r="F700" s="15"/>
      <c r="G700" s="15"/>
      <c r="H700" s="15"/>
    </row>
    <row r="701" customFormat="false" ht="21" hidden="false" customHeight="true" outlineLevel="0" collapsed="false">
      <c r="A701" s="13"/>
      <c r="B701" s="14"/>
      <c r="C701" s="15"/>
      <c r="D701" s="14"/>
      <c r="E701" s="16"/>
      <c r="F701" s="15"/>
      <c r="G701" s="15"/>
      <c r="H701" s="15"/>
    </row>
    <row r="702" customFormat="false" ht="21" hidden="false" customHeight="true" outlineLevel="0" collapsed="false">
      <c r="A702" s="13"/>
      <c r="B702" s="14"/>
      <c r="C702" s="15"/>
      <c r="D702" s="14"/>
      <c r="E702" s="16"/>
      <c r="F702" s="15"/>
      <c r="G702" s="15"/>
      <c r="H702" s="15"/>
    </row>
    <row r="703" customFormat="false" ht="21" hidden="false" customHeight="true" outlineLevel="0" collapsed="false">
      <c r="A703" s="13"/>
      <c r="B703" s="14"/>
      <c r="C703" s="15"/>
      <c r="D703" s="14"/>
      <c r="E703" s="16"/>
      <c r="F703" s="15"/>
      <c r="G703" s="15"/>
      <c r="H703" s="15"/>
    </row>
    <row r="704" customFormat="false" ht="21" hidden="false" customHeight="true" outlineLevel="0" collapsed="false">
      <c r="A704" s="13"/>
      <c r="B704" s="14"/>
      <c r="C704" s="15"/>
      <c r="D704" s="14"/>
      <c r="E704" s="16"/>
      <c r="F704" s="15"/>
      <c r="G704" s="15"/>
      <c r="H704" s="15"/>
    </row>
    <row r="705" customFormat="false" ht="21" hidden="false" customHeight="true" outlineLevel="0" collapsed="false">
      <c r="A705" s="13"/>
      <c r="B705" s="14"/>
      <c r="C705" s="15"/>
      <c r="D705" s="14"/>
      <c r="E705" s="16"/>
      <c r="F705" s="15"/>
      <c r="G705" s="15"/>
      <c r="H705" s="15"/>
    </row>
    <row r="706" customFormat="false" ht="21" hidden="false" customHeight="true" outlineLevel="0" collapsed="false">
      <c r="A706" s="13"/>
      <c r="B706" s="14"/>
      <c r="C706" s="15"/>
      <c r="D706" s="14"/>
      <c r="E706" s="16"/>
      <c r="F706" s="15"/>
      <c r="G706" s="15"/>
      <c r="H706" s="15"/>
    </row>
  </sheetData>
  <autoFilter ref="A6:H706"/>
  <mergeCells count="5">
    <mergeCell ref="A1:H1"/>
    <mergeCell ref="A2:H2"/>
    <mergeCell ref="D3:E3"/>
    <mergeCell ref="D4:E4"/>
    <mergeCell ref="A5:H5"/>
  </mergeCells>
  <conditionalFormatting sqref="D7:D706">
    <cfRule type="expression" priority="2" aboveAverage="0" equalAverage="0" bottom="0" percent="0" rank="0" text="" dxfId="9">
      <formula>$D7="Sim"</formula>
    </cfRule>
    <cfRule type="expression" priority="3" aboveAverage="0" equalAverage="0" bottom="0" percent="0" rank="0" text="" dxfId="10">
      <formula>$D7="Não"</formula>
    </cfRule>
  </conditionalFormatting>
  <conditionalFormatting sqref="A7:A706">
    <cfRule type="expression" priority="4" aboveAverage="0" equalAverage="0" bottom="0" percent="0" rank="0" text="" dxfId="11">
      <formula>AND($C7&lt;&gt;"",$A7&lt;&gt;"",$A7&lt;=TODAY(),$D7&lt;&gt;"Sim")</formula>
    </cfRule>
  </conditionalFormatting>
  <conditionalFormatting sqref="E7:E706">
    <cfRule type="expression" priority="5" aboveAverage="0" equalAverage="0" bottom="0" percent="0" rank="0" text="" dxfId="12">
      <formula>AND($C7&lt;&gt;"",$A7&lt;&gt;"",$E7="")</formula>
    </cfRule>
  </conditionalFormatting>
  <conditionalFormatting sqref="A7:H706">
    <cfRule type="expression" priority="6" aboveAverage="0" equalAverage="0" bottom="0" percent="0" rank="0" text="" dxfId="13">
      <formula>$D7="Sim"</formula>
    </cfRule>
  </conditionalFormatting>
  <dataValidations count="3">
    <dataValidation allowBlank="true" error="Frota fora da lista. Pode continuar — depois acrescente na aba Listas." errorStyle="warning" errorTitle="Frota" operator="between" showDropDown="false" showErrorMessage="true" showInputMessage="false" sqref="B7:B706" type="list">
      <formula1>Listas!$A$2:$A$81</formula1>
      <formula2>0</formula2>
    </dataValidation>
    <dataValidation allowBlank="true" error="Nome fora da lista. Pode continuar — depois acrescente na aba Listas." errorStyle="warning" errorTitle="Quem faz" operator="between" showDropDown="false" showErrorMessage="true" showInputMessage="false" sqref="F7:F706" type="list">
      <formula1>Listas!$B$2:$B$81</formula1>
      <formula2>0</formula2>
    </dataValidation>
    <dataValidation allowBlank="true" error="Escolha Sim ou Não, ou deixe vazio." errorStyle="stop" errorTitle="Feito" operator="between" showDropDown="false" showErrorMessage="true" showInputMessage="false" sqref="D7:D706" type="list">
      <formula1>"Sim,Não"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D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4" style="0" width="76"/>
  </cols>
  <sheetData>
    <row r="1" customFormat="false" ht="15" hidden="false" customHeight="false" outlineLevel="0" collapsed="false">
      <c r="A1" s="17" t="s">
        <v>493</v>
      </c>
      <c r="B1" s="17" t="s">
        <v>12</v>
      </c>
      <c r="D1" s="18" t="s">
        <v>494</v>
      </c>
    </row>
    <row r="2" customFormat="false" ht="18.75" hidden="false" customHeight="true" outlineLevel="0" collapsed="false">
      <c r="A2" s="19" t="s">
        <v>199</v>
      </c>
      <c r="B2" s="19" t="s">
        <v>415</v>
      </c>
      <c r="D2" s="20" t="s">
        <v>495</v>
      </c>
    </row>
    <row r="3" customFormat="false" ht="18.75" hidden="false" customHeight="true" outlineLevel="0" collapsed="false">
      <c r="A3" s="19" t="s">
        <v>222</v>
      </c>
      <c r="B3" s="19" t="s">
        <v>496</v>
      </c>
      <c r="D3" s="20"/>
    </row>
    <row r="4" customFormat="false" ht="18.75" hidden="false" customHeight="true" outlineLevel="0" collapsed="false">
      <c r="A4" s="19" t="s">
        <v>407</v>
      </c>
      <c r="B4" s="19" t="s">
        <v>53</v>
      </c>
      <c r="D4" s="21" t="s">
        <v>497</v>
      </c>
    </row>
    <row r="5" customFormat="false" ht="18.75" hidden="false" customHeight="true" outlineLevel="0" collapsed="false">
      <c r="A5" s="19" t="s">
        <v>444</v>
      </c>
      <c r="B5" s="19" t="s">
        <v>470</v>
      </c>
      <c r="D5" s="20" t="s">
        <v>498</v>
      </c>
    </row>
    <row r="6" customFormat="false" ht="18.75" hidden="false" customHeight="true" outlineLevel="0" collapsed="false">
      <c r="A6" s="19" t="s">
        <v>499</v>
      </c>
      <c r="B6" s="19" t="s">
        <v>37</v>
      </c>
      <c r="D6" s="20" t="s">
        <v>500</v>
      </c>
    </row>
    <row r="7" customFormat="false" ht="18.75" hidden="false" customHeight="true" outlineLevel="0" collapsed="false">
      <c r="A7" s="19" t="s">
        <v>501</v>
      </c>
      <c r="B7" s="19" t="s">
        <v>71</v>
      </c>
      <c r="D7" s="20" t="s">
        <v>502</v>
      </c>
    </row>
    <row r="8" customFormat="false" ht="18.75" hidden="false" customHeight="true" outlineLevel="0" collapsed="false">
      <c r="A8" s="19" t="s">
        <v>377</v>
      </c>
      <c r="B8" s="19" t="s">
        <v>90</v>
      </c>
      <c r="D8" s="20" t="s">
        <v>503</v>
      </c>
    </row>
    <row r="9" customFormat="false" ht="18.75" hidden="false" customHeight="true" outlineLevel="0" collapsed="false">
      <c r="A9" s="19" t="s">
        <v>15</v>
      </c>
      <c r="B9" s="19" t="s">
        <v>490</v>
      </c>
      <c r="D9" s="20" t="s">
        <v>504</v>
      </c>
    </row>
    <row r="10" customFormat="false" ht="18.75" hidden="false" customHeight="true" outlineLevel="0" collapsed="false">
      <c r="A10" s="19" t="s">
        <v>505</v>
      </c>
      <c r="B10" s="19" t="s">
        <v>134</v>
      </c>
      <c r="D10" s="20"/>
    </row>
    <row r="11" customFormat="false" ht="18.75" hidden="false" customHeight="true" outlineLevel="0" collapsed="false">
      <c r="A11" s="19" t="s">
        <v>26</v>
      </c>
      <c r="B11" s="19" t="s">
        <v>506</v>
      </c>
      <c r="D11" s="21" t="s">
        <v>507</v>
      </c>
    </row>
    <row r="12" customFormat="false" ht="18.75" hidden="false" customHeight="true" outlineLevel="0" collapsed="false">
      <c r="A12" s="19" t="s">
        <v>125</v>
      </c>
      <c r="B12" s="19" t="s">
        <v>299</v>
      </c>
      <c r="D12" s="20" t="s">
        <v>508</v>
      </c>
    </row>
    <row r="13" customFormat="false" ht="18.75" hidden="false" customHeight="true" outlineLevel="0" collapsed="false">
      <c r="A13" s="19" t="s">
        <v>244</v>
      </c>
      <c r="B13" s="19" t="s">
        <v>509</v>
      </c>
      <c r="D13" s="20" t="s">
        <v>510</v>
      </c>
    </row>
    <row r="14" customFormat="false" ht="18.75" hidden="false" customHeight="true" outlineLevel="0" collapsed="false">
      <c r="A14" s="19" t="s">
        <v>250</v>
      </c>
      <c r="B14" s="19" t="s">
        <v>511</v>
      </c>
      <c r="D14" s="20"/>
    </row>
    <row r="15" customFormat="false" ht="18.75" hidden="false" customHeight="true" outlineLevel="0" collapsed="false">
      <c r="A15" s="19" t="s">
        <v>413</v>
      </c>
      <c r="B15" s="19" t="s">
        <v>305</v>
      </c>
      <c r="D15" s="20" t="s">
        <v>512</v>
      </c>
    </row>
    <row r="16" customFormat="false" ht="18.75" hidden="false" customHeight="true" outlineLevel="0" collapsed="false">
      <c r="A16" s="19" t="s">
        <v>417</v>
      </c>
      <c r="B16" s="19"/>
      <c r="D16" s="20" t="s">
        <v>513</v>
      </c>
    </row>
    <row r="17" customFormat="false" ht="18.75" hidden="false" customHeight="true" outlineLevel="0" collapsed="false">
      <c r="A17" s="19" t="s">
        <v>514</v>
      </c>
      <c r="B17" s="19"/>
    </row>
    <row r="18" customFormat="false" ht="18.75" hidden="false" customHeight="true" outlineLevel="0" collapsed="false">
      <c r="A18" s="19" t="s">
        <v>129</v>
      </c>
      <c r="B18" s="19"/>
    </row>
    <row r="19" customFormat="false" ht="18.75" hidden="false" customHeight="true" outlineLevel="0" collapsed="false">
      <c r="A19" s="19" t="s">
        <v>515</v>
      </c>
      <c r="B19" s="19"/>
    </row>
    <row r="20" customFormat="false" ht="18.75" hidden="false" customHeight="true" outlineLevel="0" collapsed="false">
      <c r="A20" s="19" t="s">
        <v>418</v>
      </c>
      <c r="B20" s="19"/>
    </row>
    <row r="21" customFormat="false" ht="18.75" hidden="false" customHeight="true" outlineLevel="0" collapsed="false">
      <c r="A21" s="19" t="s">
        <v>68</v>
      </c>
      <c r="B21" s="19"/>
    </row>
    <row r="22" customFormat="false" ht="18.75" hidden="false" customHeight="true" outlineLevel="0" collapsed="false">
      <c r="A22" s="19" t="s">
        <v>136</v>
      </c>
      <c r="B22" s="19"/>
    </row>
    <row r="23" customFormat="false" ht="18.75" hidden="false" customHeight="true" outlineLevel="0" collapsed="false">
      <c r="A23" s="19" t="s">
        <v>251</v>
      </c>
      <c r="B23" s="19"/>
    </row>
    <row r="24" customFormat="false" ht="18.75" hidden="false" customHeight="true" outlineLevel="0" collapsed="false">
      <c r="A24" s="19" t="s">
        <v>79</v>
      </c>
      <c r="B24" s="19"/>
    </row>
    <row r="25" customFormat="false" ht="18.75" hidden="false" customHeight="true" outlineLevel="0" collapsed="false">
      <c r="A25" s="19" t="s">
        <v>354</v>
      </c>
      <c r="B25" s="19"/>
    </row>
    <row r="26" customFormat="false" ht="18.75" hidden="false" customHeight="true" outlineLevel="0" collapsed="false">
      <c r="A26" s="19" t="s">
        <v>429</v>
      </c>
      <c r="B26" s="19"/>
    </row>
    <row r="27" customFormat="false" ht="18.75" hidden="false" customHeight="true" outlineLevel="0" collapsed="false">
      <c r="A27" s="19" t="s">
        <v>467</v>
      </c>
      <c r="B27" s="19"/>
    </row>
    <row r="28" customFormat="false" ht="18.75" hidden="false" customHeight="true" outlineLevel="0" collapsed="false">
      <c r="A28" s="19" t="s">
        <v>252</v>
      </c>
      <c r="B28" s="19"/>
    </row>
    <row r="29" customFormat="false" ht="18.75" hidden="false" customHeight="true" outlineLevel="0" collapsed="false">
      <c r="A29" s="19" t="s">
        <v>516</v>
      </c>
      <c r="B29" s="19"/>
    </row>
    <row r="30" customFormat="false" ht="18.75" hidden="false" customHeight="true" outlineLevel="0" collapsed="false">
      <c r="A30" s="19" t="s">
        <v>399</v>
      </c>
      <c r="B30" s="19"/>
    </row>
    <row r="31" customFormat="false" ht="18.75" hidden="false" customHeight="true" outlineLevel="0" collapsed="false">
      <c r="A31" s="19" t="s">
        <v>140</v>
      </c>
      <c r="B31" s="19"/>
    </row>
    <row r="32" customFormat="false" ht="18.75" hidden="false" customHeight="true" outlineLevel="0" collapsed="false">
      <c r="A32" s="19" t="s">
        <v>34</v>
      </c>
      <c r="B32" s="19"/>
    </row>
    <row r="33" customFormat="false" ht="18.75" hidden="false" customHeight="true" outlineLevel="0" collapsed="false">
      <c r="A33" s="19" t="s">
        <v>253</v>
      </c>
      <c r="B33" s="19"/>
    </row>
    <row r="34" customFormat="false" ht="18.75" hidden="false" customHeight="true" outlineLevel="0" collapsed="false">
      <c r="A34" s="19" t="s">
        <v>254</v>
      </c>
      <c r="B34" s="19"/>
    </row>
    <row r="35" customFormat="false" ht="18.75" hidden="false" customHeight="true" outlineLevel="0" collapsed="false">
      <c r="A35" s="19" t="s">
        <v>181</v>
      </c>
      <c r="B35" s="19"/>
    </row>
    <row r="36" customFormat="false" ht="18.75" hidden="false" customHeight="true" outlineLevel="0" collapsed="false">
      <c r="A36" s="19" t="s">
        <v>517</v>
      </c>
      <c r="B36" s="19"/>
    </row>
    <row r="37" customFormat="false" ht="18.75" hidden="false" customHeight="true" outlineLevel="0" collapsed="false">
      <c r="A37" s="19" t="s">
        <v>518</v>
      </c>
      <c r="B37" s="19"/>
    </row>
    <row r="38" customFormat="false" ht="18.75" hidden="false" customHeight="true" outlineLevel="0" collapsed="false">
      <c r="A38" s="19" t="s">
        <v>105</v>
      </c>
      <c r="B38" s="19"/>
    </row>
    <row r="39" customFormat="false" ht="18.75" hidden="false" customHeight="true" outlineLevel="0" collapsed="false">
      <c r="A39" s="19" t="s">
        <v>315</v>
      </c>
      <c r="B39" s="19"/>
    </row>
    <row r="40" customFormat="false" ht="18.75" hidden="false" customHeight="true" outlineLevel="0" collapsed="false">
      <c r="A40" s="19" t="s">
        <v>373</v>
      </c>
      <c r="B40" s="19"/>
    </row>
    <row r="41" customFormat="false" ht="18.75" hidden="false" customHeight="true" outlineLevel="0" collapsed="false">
      <c r="A41" s="19" t="s">
        <v>351</v>
      </c>
      <c r="B41" s="19"/>
    </row>
    <row r="42" customFormat="false" ht="18.75" hidden="false" customHeight="true" outlineLevel="0" collapsed="false">
      <c r="A42" s="19" t="s">
        <v>184</v>
      </c>
      <c r="B42" s="19"/>
    </row>
    <row r="43" customFormat="false" ht="18.75" hidden="false" customHeight="true" outlineLevel="0" collapsed="false">
      <c r="A43" s="19"/>
      <c r="B43" s="19"/>
    </row>
    <row r="44" customFormat="false" ht="18.75" hidden="false" customHeight="true" outlineLevel="0" collapsed="false">
      <c r="A44" s="19"/>
      <c r="B44" s="19"/>
    </row>
    <row r="45" customFormat="false" ht="18.75" hidden="false" customHeight="true" outlineLevel="0" collapsed="false">
      <c r="A45" s="19"/>
      <c r="B45" s="19"/>
    </row>
    <row r="46" customFormat="false" ht="18.75" hidden="false" customHeight="true" outlineLevel="0" collapsed="false">
      <c r="A46" s="19"/>
      <c r="B46" s="19"/>
    </row>
    <row r="47" customFormat="false" ht="18.75" hidden="false" customHeight="true" outlineLevel="0" collapsed="false">
      <c r="A47" s="19"/>
      <c r="B47" s="19"/>
    </row>
    <row r="48" customFormat="false" ht="18.75" hidden="false" customHeight="true" outlineLevel="0" collapsed="false">
      <c r="A48" s="19"/>
      <c r="B48" s="19"/>
    </row>
    <row r="49" customFormat="false" ht="18.75" hidden="false" customHeight="true" outlineLevel="0" collapsed="false">
      <c r="A49" s="19"/>
      <c r="B49" s="19"/>
    </row>
    <row r="50" customFormat="false" ht="18.75" hidden="false" customHeight="true" outlineLevel="0" collapsed="false">
      <c r="A50" s="19"/>
      <c r="B50" s="19"/>
    </row>
    <row r="51" customFormat="false" ht="18.75" hidden="false" customHeight="true" outlineLevel="0" collapsed="false">
      <c r="A51" s="19"/>
      <c r="B51" s="19"/>
    </row>
    <row r="52" customFormat="false" ht="18.75" hidden="false" customHeight="true" outlineLevel="0" collapsed="false">
      <c r="A52" s="19"/>
      <c r="B52" s="19"/>
    </row>
    <row r="53" customFormat="false" ht="18.75" hidden="false" customHeight="true" outlineLevel="0" collapsed="false">
      <c r="A53" s="19"/>
      <c r="B53" s="19"/>
    </row>
    <row r="54" customFormat="false" ht="18.75" hidden="false" customHeight="true" outlineLevel="0" collapsed="false">
      <c r="A54" s="19"/>
      <c r="B54" s="19"/>
    </row>
    <row r="55" customFormat="false" ht="18.75" hidden="false" customHeight="true" outlineLevel="0" collapsed="false">
      <c r="A55" s="19"/>
      <c r="B55" s="19"/>
    </row>
    <row r="56" customFormat="false" ht="18.75" hidden="false" customHeight="true" outlineLevel="0" collapsed="false">
      <c r="A56" s="19"/>
      <c r="B56" s="19"/>
    </row>
    <row r="57" customFormat="false" ht="18.75" hidden="false" customHeight="true" outlineLevel="0" collapsed="false">
      <c r="A57" s="19"/>
      <c r="B57" s="19"/>
    </row>
    <row r="58" customFormat="false" ht="18.75" hidden="false" customHeight="true" outlineLevel="0" collapsed="false">
      <c r="A58" s="19"/>
      <c r="B58" s="19"/>
    </row>
    <row r="59" customFormat="false" ht="18.75" hidden="false" customHeight="true" outlineLevel="0" collapsed="false">
      <c r="A59" s="19"/>
      <c r="B59" s="19"/>
    </row>
    <row r="60" customFormat="false" ht="18.75" hidden="false" customHeight="true" outlineLevel="0" collapsed="false">
      <c r="A60" s="19"/>
      <c r="B60" s="19"/>
    </row>
    <row r="61" customFormat="false" ht="18.75" hidden="false" customHeight="true" outlineLevel="0" collapsed="false">
      <c r="A61" s="19"/>
      <c r="B61" s="19"/>
    </row>
    <row r="62" customFormat="false" ht="18.75" hidden="false" customHeight="true" outlineLevel="0" collapsed="false">
      <c r="A62" s="19"/>
      <c r="B62" s="19"/>
    </row>
    <row r="63" customFormat="false" ht="18.75" hidden="false" customHeight="true" outlineLevel="0" collapsed="false">
      <c r="A63" s="19"/>
      <c r="B63" s="19"/>
    </row>
    <row r="64" customFormat="false" ht="18.75" hidden="false" customHeight="true" outlineLevel="0" collapsed="false">
      <c r="A64" s="19"/>
      <c r="B64" s="19"/>
    </row>
    <row r="65" customFormat="false" ht="18.75" hidden="false" customHeight="true" outlineLevel="0" collapsed="false">
      <c r="A65" s="19"/>
      <c r="B65" s="19"/>
    </row>
    <row r="66" customFormat="false" ht="18.75" hidden="false" customHeight="true" outlineLevel="0" collapsed="false">
      <c r="A66" s="19"/>
      <c r="B66" s="19"/>
    </row>
    <row r="67" customFormat="false" ht="18.75" hidden="false" customHeight="true" outlineLevel="0" collapsed="false">
      <c r="A67" s="19"/>
      <c r="B67" s="19"/>
    </row>
    <row r="68" customFormat="false" ht="18.75" hidden="false" customHeight="true" outlineLevel="0" collapsed="false">
      <c r="A68" s="19"/>
      <c r="B68" s="19"/>
    </row>
    <row r="69" customFormat="false" ht="18.75" hidden="false" customHeight="true" outlineLevel="0" collapsed="false">
      <c r="A69" s="19"/>
      <c r="B69" s="19"/>
    </row>
    <row r="70" customFormat="false" ht="18.75" hidden="false" customHeight="true" outlineLevel="0" collapsed="false">
      <c r="A70" s="19"/>
      <c r="B70" s="19"/>
    </row>
    <row r="71" customFormat="false" ht="18.75" hidden="false" customHeight="true" outlineLevel="0" collapsed="false">
      <c r="A71" s="19"/>
      <c r="B71" s="19"/>
    </row>
    <row r="72" customFormat="false" ht="18.75" hidden="false" customHeight="true" outlineLevel="0" collapsed="false">
      <c r="A72" s="19"/>
      <c r="B72" s="19"/>
    </row>
    <row r="73" customFormat="false" ht="18.75" hidden="false" customHeight="true" outlineLevel="0" collapsed="false">
      <c r="A73" s="19"/>
      <c r="B73" s="19"/>
    </row>
    <row r="74" customFormat="false" ht="18.75" hidden="false" customHeight="true" outlineLevel="0" collapsed="false">
      <c r="A74" s="19"/>
      <c r="B74" s="19"/>
    </row>
    <row r="75" customFormat="false" ht="18.75" hidden="false" customHeight="true" outlineLevel="0" collapsed="false">
      <c r="A75" s="19"/>
      <c r="B75" s="19"/>
    </row>
    <row r="76" customFormat="false" ht="18.75" hidden="false" customHeight="true" outlineLevel="0" collapsed="false">
      <c r="A76" s="19"/>
      <c r="B76" s="19"/>
    </row>
    <row r="77" customFormat="false" ht="18.75" hidden="false" customHeight="true" outlineLevel="0" collapsed="false">
      <c r="A77" s="19"/>
      <c r="B77" s="19"/>
    </row>
    <row r="78" customFormat="false" ht="18.75" hidden="false" customHeight="true" outlineLevel="0" collapsed="false">
      <c r="A78" s="19"/>
      <c r="B78" s="19"/>
    </row>
    <row r="79" customFormat="false" ht="18.75" hidden="false" customHeight="true" outlineLevel="0" collapsed="false">
      <c r="A79" s="19"/>
      <c r="B79" s="19"/>
    </row>
    <row r="80" customFormat="false" ht="18.75" hidden="false" customHeight="true" outlineLevel="0" collapsed="false">
      <c r="A80" s="19"/>
      <c r="B80" s="19"/>
    </row>
    <row r="81" customFormat="false" ht="18.75" hidden="false" customHeight="true" outlineLevel="0" collapsed="false">
      <c r="A81" s="19"/>
      <c r="B81" s="19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L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  <col collapsed="false" customWidth="true" hidden="false" outlineLevel="0" max="11" min="11" style="0" width="16"/>
    <col collapsed="false" customWidth="true" hidden="false" outlineLevel="0" max="12" min="12" style="0" width="11"/>
  </cols>
  <sheetData>
    <row r="1" customFormat="false" ht="31.5" hidden="false" customHeight="true" outlineLevel="0" collapsed="false">
      <c r="A1" s="1" t="s">
        <v>519</v>
      </c>
      <c r="B1" s="1"/>
      <c r="C1" s="1"/>
      <c r="D1" s="1"/>
      <c r="E1" s="1"/>
      <c r="F1" s="1"/>
      <c r="G1" s="1"/>
      <c r="H1" s="1"/>
      <c r="I1" s="1"/>
      <c r="K1" s="22" t="s">
        <v>520</v>
      </c>
      <c r="L1" s="23" t="n">
        <f aca="true">TODAY()</f>
        <v>46267</v>
      </c>
    </row>
    <row r="2" customFormat="false" ht="18" hidden="false" customHeight="true" outlineLevel="0" collapsed="false">
      <c r="A2" s="2" t="s">
        <v>521</v>
      </c>
      <c r="B2" s="2"/>
      <c r="C2" s="2"/>
      <c r="D2" s="2"/>
      <c r="E2" s="2"/>
      <c r="F2" s="2"/>
      <c r="G2" s="2"/>
      <c r="H2" s="2"/>
      <c r="I2" s="2"/>
    </row>
    <row r="3" customFormat="false" ht="24" hidden="false" customHeight="true" outlineLevel="0" collapsed="false">
      <c r="A3" s="6" t="s">
        <v>522</v>
      </c>
      <c r="B3" s="6"/>
      <c r="C3" s="6" t="s">
        <v>523</v>
      </c>
      <c r="D3" s="6" t="s">
        <v>524</v>
      </c>
      <c r="E3" s="6" t="s">
        <v>525</v>
      </c>
      <c r="F3" s="6"/>
      <c r="G3" s="6" t="s">
        <v>526</v>
      </c>
      <c r="H3" s="6"/>
      <c r="I3" s="6" t="s">
        <v>527</v>
      </c>
    </row>
    <row r="4" customFormat="false" ht="30" hidden="false" customHeight="true" outlineLevel="0" collapsed="false">
      <c r="A4" s="7" t="n">
        <f aca="false">COUNTIFS($A$9:$A$308,"&lt;&gt;")</f>
        <v>1</v>
      </c>
      <c r="B4" s="7"/>
      <c r="C4" s="8" t="n">
        <f aca="false">COUNTIFS($A$9:$A$308,"&lt;&gt;",$E$9:$E$308,"&lt;&gt;")</f>
        <v>0</v>
      </c>
      <c r="D4" s="8" t="n">
        <f aca="false">COUNTIFS($A$9:$A$308,"&lt;&gt;",$E$9:$E$308,"&lt;&gt;")-COUNTIFS($A$9:$A$308,"&lt;&gt;",$F$9:$F$308,"&gt;0")</f>
        <v>0</v>
      </c>
      <c r="E4" s="9" t="str">
        <f aca="false">IF($C$4=0,"",$D$4/$C$4)</f>
        <v/>
      </c>
      <c r="F4" s="9"/>
      <c r="G4" s="24" t="str">
        <f aca="false">IF(COUNTIFS($A$9:$A$308,"&lt;&gt;",$F$9:$F$308,"&gt;0")=0,"",SUMIFS($F$9:$F$308,$A$9:$A$308,"&lt;&gt;")/COUNTIFS($A$9:$A$308,"&lt;&gt;",$F$9:$F$308,"&gt;0"))</f>
        <v/>
      </c>
      <c r="H4" s="24"/>
      <c r="I4" s="25" t="n">
        <f aca="false">SUMIFS($F$9:$F$308,$A$9:$A$308,"&lt;&gt;")</f>
        <v>0</v>
      </c>
    </row>
    <row r="6" customFormat="false" ht="18" hidden="false" customHeight="true" outlineLevel="0" collapsed="false">
      <c r="A6" s="26" t="s">
        <v>528</v>
      </c>
      <c r="B6" s="26"/>
      <c r="C6" s="26"/>
      <c r="D6" s="26"/>
      <c r="E6" s="26"/>
      <c r="F6" s="26"/>
      <c r="G6" s="26"/>
      <c r="H6" s="26"/>
      <c r="I6" s="26"/>
    </row>
    <row r="8" customFormat="false" ht="25.5" hidden="false" customHeight="true" outlineLevel="0" collapsed="false">
      <c r="A8" s="12" t="s">
        <v>8</v>
      </c>
      <c r="B8" s="12" t="s">
        <v>529</v>
      </c>
      <c r="C8" s="12" t="s">
        <v>530</v>
      </c>
      <c r="D8" s="12" t="s">
        <v>531</v>
      </c>
      <c r="E8" s="12" t="s">
        <v>532</v>
      </c>
      <c r="F8" s="12" t="s">
        <v>533</v>
      </c>
      <c r="G8" s="12" t="s">
        <v>534</v>
      </c>
      <c r="H8" s="12" t="s">
        <v>535</v>
      </c>
      <c r="I8" s="12" t="s">
        <v>536</v>
      </c>
    </row>
    <row r="9" customFormat="false" ht="21" hidden="false" customHeight="true" outlineLevel="0" collapsed="false">
      <c r="A9" s="14" t="s">
        <v>15</v>
      </c>
      <c r="B9" s="15" t="s">
        <v>537</v>
      </c>
      <c r="C9" s="13" t="n">
        <v>46267</v>
      </c>
      <c r="D9" s="13" t="n">
        <v>46268</v>
      </c>
      <c r="E9" s="13"/>
      <c r="F9" s="14" t="str">
        <f aca="false">IF(OR($A9="",$D9="",$E9=""),"",MAX(0,$E9-$D9))</f>
        <v/>
      </c>
      <c r="G9" s="14" t="str">
        <f aca="false">IF($A9="","",IF($E9&lt;&gt;"",IF(N($F9)&gt;0,"Entregue com atraso","Entregue no prazo"),IF($D9="","Sem data prometida",IF($D9&lt;$L$1,"ATRASADA","Aguardando"))))</f>
        <v>Aguardando</v>
      </c>
      <c r="H9" s="15" t="s">
        <v>538</v>
      </c>
      <c r="I9" s="15"/>
    </row>
    <row r="10" customFormat="false" ht="21" hidden="false" customHeight="true" outlineLevel="0" collapsed="false">
      <c r="A10" s="14"/>
      <c r="B10" s="15"/>
      <c r="C10" s="13"/>
      <c r="D10" s="13"/>
      <c r="E10" s="13"/>
      <c r="F10" s="14" t="str">
        <f aca="false">IF(OR($A10="",$D10="",$E10=""),"",MAX(0,$E10-$D10))</f>
        <v/>
      </c>
      <c r="G10" s="14" t="str">
        <f aca="false">IF($A10="","",IF($E10&lt;&gt;"",IF(N($F10)&gt;0,"Entregue com atraso","Entregue no prazo"),IF($D10="","Sem data prometida",IF($D10&lt;$L$1,"ATRASADA","Aguardando"))))</f>
        <v/>
      </c>
      <c r="H10" s="15"/>
      <c r="I10" s="15"/>
    </row>
    <row r="11" customFormat="false" ht="21" hidden="false" customHeight="true" outlineLevel="0" collapsed="false">
      <c r="A11" s="14"/>
      <c r="B11" s="15"/>
      <c r="C11" s="13"/>
      <c r="D11" s="13"/>
      <c r="E11" s="13"/>
      <c r="F11" s="14" t="str">
        <f aca="false">IF(OR($A11="",$D11="",$E11=""),"",MAX(0,$E11-$D11))</f>
        <v/>
      </c>
      <c r="G11" s="14" t="str">
        <f aca="false">IF($A11="","",IF($E11&lt;&gt;"",IF(N($F11)&gt;0,"Entregue com atraso","Entregue no prazo"),IF($D11="","Sem data prometida",IF($D11&lt;$L$1,"ATRASADA","Aguardando"))))</f>
        <v/>
      </c>
      <c r="H11" s="15"/>
      <c r="I11" s="15"/>
    </row>
    <row r="12" customFormat="false" ht="21" hidden="false" customHeight="true" outlineLevel="0" collapsed="false">
      <c r="A12" s="14"/>
      <c r="B12" s="15"/>
      <c r="C12" s="13"/>
      <c r="D12" s="13"/>
      <c r="E12" s="13"/>
      <c r="F12" s="14" t="str">
        <f aca="false">IF(OR($A12="",$D12="",$E12=""),"",MAX(0,$E12-$D12))</f>
        <v/>
      </c>
      <c r="G12" s="14" t="str">
        <f aca="false">IF($A12="","",IF($E12&lt;&gt;"",IF(N($F12)&gt;0,"Entregue com atraso","Entregue no prazo"),IF($D12="","Sem data prometida",IF($D12&lt;$L$1,"ATRASADA","Aguardando"))))</f>
        <v/>
      </c>
      <c r="H12" s="15"/>
      <c r="I12" s="15"/>
    </row>
    <row r="13" customFormat="false" ht="21" hidden="false" customHeight="true" outlineLevel="0" collapsed="false">
      <c r="A13" s="14"/>
      <c r="B13" s="15"/>
      <c r="C13" s="13"/>
      <c r="D13" s="13"/>
      <c r="E13" s="13"/>
      <c r="F13" s="14" t="str">
        <f aca="false">IF(OR($A13="",$D13="",$E13=""),"",MAX(0,$E13-$D13))</f>
        <v/>
      </c>
      <c r="G13" s="14" t="str">
        <f aca="false">IF($A13="","",IF($E13&lt;&gt;"",IF(N($F13)&gt;0,"Entregue com atraso","Entregue no prazo"),IF($D13="","Sem data prometida",IF($D13&lt;$L$1,"ATRASADA","Aguardando"))))</f>
        <v/>
      </c>
      <c r="H13" s="15"/>
      <c r="I13" s="15"/>
    </row>
    <row r="14" customFormat="false" ht="21" hidden="false" customHeight="true" outlineLevel="0" collapsed="false">
      <c r="A14" s="14"/>
      <c r="B14" s="15"/>
      <c r="C14" s="13"/>
      <c r="D14" s="13"/>
      <c r="E14" s="13"/>
      <c r="F14" s="14" t="str">
        <f aca="false">IF(OR($A14="",$D14="",$E14=""),"",MAX(0,$E14-$D14))</f>
        <v/>
      </c>
      <c r="G14" s="14" t="str">
        <f aca="false">IF($A14="","",IF($E14&lt;&gt;"",IF(N($F14)&gt;0,"Entregue com atraso","Entregue no prazo"),IF($D14="","Sem data prometida",IF($D14&lt;$L$1,"ATRASADA","Aguardando"))))</f>
        <v/>
      </c>
      <c r="H14" s="15"/>
      <c r="I14" s="15"/>
    </row>
    <row r="15" customFormat="false" ht="21" hidden="false" customHeight="true" outlineLevel="0" collapsed="false">
      <c r="A15" s="14"/>
      <c r="B15" s="15"/>
      <c r="C15" s="13"/>
      <c r="D15" s="13"/>
      <c r="E15" s="13"/>
      <c r="F15" s="14" t="str">
        <f aca="false">IF(OR($A15="",$D15="",$E15=""),"",MAX(0,$E15-$D15))</f>
        <v/>
      </c>
      <c r="G15" s="14" t="str">
        <f aca="false">IF($A15="","",IF($E15&lt;&gt;"",IF(N($F15)&gt;0,"Entregue com atraso","Entregue no prazo"),IF($D15="","Sem data prometida",IF($D15&lt;$L$1,"ATRASADA","Aguardando"))))</f>
        <v/>
      </c>
      <c r="H15" s="15"/>
      <c r="I15" s="15"/>
    </row>
    <row r="16" customFormat="false" ht="21" hidden="false" customHeight="true" outlineLevel="0" collapsed="false">
      <c r="A16" s="14"/>
      <c r="B16" s="15"/>
      <c r="C16" s="13"/>
      <c r="D16" s="13"/>
      <c r="E16" s="13"/>
      <c r="F16" s="14" t="str">
        <f aca="false">IF(OR($A16="",$D16="",$E16=""),"",MAX(0,$E16-$D16))</f>
        <v/>
      </c>
      <c r="G16" s="14" t="str">
        <f aca="false">IF($A16="","",IF($E16&lt;&gt;"",IF(N($F16)&gt;0,"Entregue com atraso","Entregue no prazo"),IF($D16="","Sem data prometida",IF($D16&lt;$L$1,"ATRASADA","Aguardando"))))</f>
        <v/>
      </c>
      <c r="H16" s="15"/>
      <c r="I16" s="15"/>
    </row>
    <row r="17" customFormat="false" ht="21" hidden="false" customHeight="true" outlineLevel="0" collapsed="false">
      <c r="A17" s="14"/>
      <c r="B17" s="15"/>
      <c r="C17" s="13"/>
      <c r="D17" s="13"/>
      <c r="E17" s="13"/>
      <c r="F17" s="14" t="str">
        <f aca="false">IF(OR($A17="",$D17="",$E17=""),"",MAX(0,$E17-$D17))</f>
        <v/>
      </c>
      <c r="G17" s="14" t="str">
        <f aca="false">IF($A17="","",IF($E17&lt;&gt;"",IF(N($F17)&gt;0,"Entregue com atraso","Entregue no prazo"),IF($D17="","Sem data prometida",IF($D17&lt;$L$1,"ATRASADA","Aguardando"))))</f>
        <v/>
      </c>
      <c r="H17" s="15"/>
      <c r="I17" s="15"/>
    </row>
    <row r="18" customFormat="false" ht="21" hidden="false" customHeight="true" outlineLevel="0" collapsed="false">
      <c r="A18" s="14"/>
      <c r="B18" s="15"/>
      <c r="C18" s="13"/>
      <c r="D18" s="13"/>
      <c r="E18" s="13"/>
      <c r="F18" s="14" t="str">
        <f aca="false">IF(OR($A18="",$D18="",$E18=""),"",MAX(0,$E18-$D18))</f>
        <v/>
      </c>
      <c r="G18" s="14" t="str">
        <f aca="false">IF($A18="","",IF($E18&lt;&gt;"",IF(N($F18)&gt;0,"Entregue com atraso","Entregue no prazo"),IF($D18="","Sem data prometida",IF($D18&lt;$L$1,"ATRASADA","Aguardando"))))</f>
        <v/>
      </c>
      <c r="H18" s="15"/>
      <c r="I18" s="15"/>
    </row>
    <row r="19" customFormat="false" ht="21" hidden="false" customHeight="true" outlineLevel="0" collapsed="false">
      <c r="A19" s="14"/>
      <c r="B19" s="15"/>
      <c r="C19" s="13"/>
      <c r="D19" s="13"/>
      <c r="E19" s="13"/>
      <c r="F19" s="14" t="str">
        <f aca="false">IF(OR($A19="",$D19="",$E19=""),"",MAX(0,$E19-$D19))</f>
        <v/>
      </c>
      <c r="G19" s="14" t="str">
        <f aca="false">IF($A19="","",IF($E19&lt;&gt;"",IF(N($F19)&gt;0,"Entregue com atraso","Entregue no prazo"),IF($D19="","Sem data prometida",IF($D19&lt;$L$1,"ATRASADA","Aguardando"))))</f>
        <v/>
      </c>
      <c r="H19" s="15"/>
      <c r="I19" s="15"/>
    </row>
    <row r="20" customFormat="false" ht="21" hidden="false" customHeight="true" outlineLevel="0" collapsed="false">
      <c r="A20" s="14"/>
      <c r="B20" s="15"/>
      <c r="C20" s="13"/>
      <c r="D20" s="13"/>
      <c r="E20" s="13"/>
      <c r="F20" s="14" t="str">
        <f aca="false">IF(OR($A20="",$D20="",$E20=""),"",MAX(0,$E20-$D20))</f>
        <v/>
      </c>
      <c r="G20" s="14" t="str">
        <f aca="false">IF($A20="","",IF($E20&lt;&gt;"",IF(N($F20)&gt;0,"Entregue com atraso","Entregue no prazo"),IF($D20="","Sem data prometida",IF($D20&lt;$L$1,"ATRASADA","Aguardando"))))</f>
        <v/>
      </c>
      <c r="H20" s="15"/>
      <c r="I20" s="15"/>
    </row>
    <row r="21" customFormat="false" ht="21" hidden="false" customHeight="true" outlineLevel="0" collapsed="false">
      <c r="A21" s="14"/>
      <c r="B21" s="15"/>
      <c r="C21" s="13"/>
      <c r="D21" s="13"/>
      <c r="E21" s="13"/>
      <c r="F21" s="14" t="str">
        <f aca="false">IF(OR($A21="",$D21="",$E21=""),"",MAX(0,$E21-$D21))</f>
        <v/>
      </c>
      <c r="G21" s="14" t="str">
        <f aca="false">IF($A21="","",IF($E21&lt;&gt;"",IF(N($F21)&gt;0,"Entregue com atraso","Entregue no prazo"),IF($D21="","Sem data prometida",IF($D21&lt;$L$1,"ATRASADA","Aguardando"))))</f>
        <v/>
      </c>
      <c r="H21" s="15"/>
      <c r="I21" s="15"/>
    </row>
    <row r="22" customFormat="false" ht="21" hidden="false" customHeight="true" outlineLevel="0" collapsed="false">
      <c r="A22" s="14"/>
      <c r="B22" s="15"/>
      <c r="C22" s="13"/>
      <c r="D22" s="13"/>
      <c r="E22" s="13"/>
      <c r="F22" s="14" t="str">
        <f aca="false">IF(OR($A22="",$D22="",$E22=""),"",MAX(0,$E22-$D22))</f>
        <v/>
      </c>
      <c r="G22" s="14" t="str">
        <f aca="false">IF($A22="","",IF($E22&lt;&gt;"",IF(N($F22)&gt;0,"Entregue com atraso","Entregue no prazo"),IF($D22="","Sem data prometida",IF($D22&lt;$L$1,"ATRASADA","Aguardando"))))</f>
        <v/>
      </c>
      <c r="H22" s="15"/>
      <c r="I22" s="15"/>
    </row>
    <row r="23" customFormat="false" ht="21" hidden="false" customHeight="true" outlineLevel="0" collapsed="false">
      <c r="A23" s="14"/>
      <c r="B23" s="15"/>
      <c r="C23" s="13"/>
      <c r="D23" s="13"/>
      <c r="E23" s="13"/>
      <c r="F23" s="14" t="str">
        <f aca="false">IF(OR($A23="",$D23="",$E23=""),"",MAX(0,$E23-$D23))</f>
        <v/>
      </c>
      <c r="G23" s="14" t="str">
        <f aca="false">IF($A23="","",IF($E23&lt;&gt;"",IF(N($F23)&gt;0,"Entregue com atraso","Entregue no prazo"),IF($D23="","Sem data prometida",IF($D23&lt;$L$1,"ATRASADA","Aguardando"))))</f>
        <v/>
      </c>
      <c r="H23" s="15"/>
      <c r="I23" s="15"/>
    </row>
    <row r="24" customFormat="false" ht="21" hidden="false" customHeight="true" outlineLevel="0" collapsed="false">
      <c r="A24" s="14"/>
      <c r="B24" s="15"/>
      <c r="C24" s="13"/>
      <c r="D24" s="13"/>
      <c r="E24" s="13"/>
      <c r="F24" s="14" t="str">
        <f aca="false">IF(OR($A24="",$D24="",$E24=""),"",MAX(0,$E24-$D24))</f>
        <v/>
      </c>
      <c r="G24" s="14" t="str">
        <f aca="false">IF($A24="","",IF($E24&lt;&gt;"",IF(N($F24)&gt;0,"Entregue com atraso","Entregue no prazo"),IF($D24="","Sem data prometida",IF($D24&lt;$L$1,"ATRASADA","Aguardando"))))</f>
        <v/>
      </c>
      <c r="H24" s="15"/>
      <c r="I24" s="15"/>
    </row>
    <row r="25" customFormat="false" ht="21" hidden="false" customHeight="true" outlineLevel="0" collapsed="false">
      <c r="A25" s="14"/>
      <c r="B25" s="15"/>
      <c r="C25" s="13"/>
      <c r="D25" s="13"/>
      <c r="E25" s="13"/>
      <c r="F25" s="14" t="str">
        <f aca="false">IF(OR($A25="",$D25="",$E25=""),"",MAX(0,$E25-$D25))</f>
        <v/>
      </c>
      <c r="G25" s="14" t="str">
        <f aca="false">IF($A25="","",IF($E25&lt;&gt;"",IF(N($F25)&gt;0,"Entregue com atraso","Entregue no prazo"),IF($D25="","Sem data prometida",IF($D25&lt;$L$1,"ATRASADA","Aguardando"))))</f>
        <v/>
      </c>
      <c r="H25" s="15"/>
      <c r="I25" s="15"/>
    </row>
    <row r="26" customFormat="false" ht="21" hidden="false" customHeight="true" outlineLevel="0" collapsed="false">
      <c r="A26" s="14"/>
      <c r="B26" s="15"/>
      <c r="C26" s="13"/>
      <c r="D26" s="13"/>
      <c r="E26" s="13"/>
      <c r="F26" s="14" t="str">
        <f aca="false">IF(OR($A26="",$D26="",$E26=""),"",MAX(0,$E26-$D26))</f>
        <v/>
      </c>
      <c r="G26" s="14" t="str">
        <f aca="false">IF($A26="","",IF($E26&lt;&gt;"",IF(N($F26)&gt;0,"Entregue com atraso","Entregue no prazo"),IF($D26="","Sem data prometida",IF($D26&lt;$L$1,"ATRASADA","Aguardando"))))</f>
        <v/>
      </c>
      <c r="H26" s="15"/>
      <c r="I26" s="15"/>
    </row>
    <row r="27" customFormat="false" ht="21" hidden="false" customHeight="true" outlineLevel="0" collapsed="false">
      <c r="A27" s="14"/>
      <c r="B27" s="15"/>
      <c r="C27" s="13"/>
      <c r="D27" s="13"/>
      <c r="E27" s="13"/>
      <c r="F27" s="14" t="str">
        <f aca="false">IF(OR($A27="",$D27="",$E27=""),"",MAX(0,$E27-$D27))</f>
        <v/>
      </c>
      <c r="G27" s="14" t="str">
        <f aca="false">IF($A27="","",IF($E27&lt;&gt;"",IF(N($F27)&gt;0,"Entregue com atraso","Entregue no prazo"),IF($D27="","Sem data prometida",IF($D27&lt;$L$1,"ATRASADA","Aguardando"))))</f>
        <v/>
      </c>
      <c r="H27" s="15"/>
      <c r="I27" s="15"/>
    </row>
    <row r="28" customFormat="false" ht="21" hidden="false" customHeight="true" outlineLevel="0" collapsed="false">
      <c r="A28" s="14"/>
      <c r="B28" s="15"/>
      <c r="C28" s="13"/>
      <c r="D28" s="13"/>
      <c r="E28" s="13"/>
      <c r="F28" s="14" t="str">
        <f aca="false">IF(OR($A28="",$D28="",$E28=""),"",MAX(0,$E28-$D28))</f>
        <v/>
      </c>
      <c r="G28" s="14" t="str">
        <f aca="false">IF($A28="","",IF($E28&lt;&gt;"",IF(N($F28)&gt;0,"Entregue com atraso","Entregue no prazo"),IF($D28="","Sem data prometida",IF($D28&lt;$L$1,"ATRASADA","Aguardando"))))</f>
        <v/>
      </c>
      <c r="H28" s="15"/>
      <c r="I28" s="15"/>
    </row>
    <row r="29" customFormat="false" ht="21" hidden="false" customHeight="true" outlineLevel="0" collapsed="false">
      <c r="A29" s="14"/>
      <c r="B29" s="15"/>
      <c r="C29" s="13"/>
      <c r="D29" s="13"/>
      <c r="E29" s="13"/>
      <c r="F29" s="14" t="str">
        <f aca="false">IF(OR($A29="",$D29="",$E29=""),"",MAX(0,$E29-$D29))</f>
        <v/>
      </c>
      <c r="G29" s="14" t="str">
        <f aca="false">IF($A29="","",IF($E29&lt;&gt;"",IF(N($F29)&gt;0,"Entregue com atraso","Entregue no prazo"),IF($D29="","Sem data prometida",IF($D29&lt;$L$1,"ATRASADA","Aguardando"))))</f>
        <v/>
      </c>
      <c r="H29" s="15"/>
      <c r="I29" s="15"/>
    </row>
    <row r="30" customFormat="false" ht="21" hidden="false" customHeight="true" outlineLevel="0" collapsed="false">
      <c r="A30" s="14"/>
      <c r="B30" s="15"/>
      <c r="C30" s="13"/>
      <c r="D30" s="13"/>
      <c r="E30" s="13"/>
      <c r="F30" s="14" t="str">
        <f aca="false">IF(OR($A30="",$D30="",$E30=""),"",MAX(0,$E30-$D30))</f>
        <v/>
      </c>
      <c r="G30" s="14" t="str">
        <f aca="false">IF($A30="","",IF($E30&lt;&gt;"",IF(N($F30)&gt;0,"Entregue com atraso","Entregue no prazo"),IF($D30="","Sem data prometida",IF($D30&lt;$L$1,"ATRASADA","Aguardando"))))</f>
        <v/>
      </c>
      <c r="H30" s="15"/>
      <c r="I30" s="15"/>
    </row>
    <row r="31" customFormat="false" ht="21" hidden="false" customHeight="true" outlineLevel="0" collapsed="false">
      <c r="A31" s="14"/>
      <c r="B31" s="15"/>
      <c r="C31" s="13"/>
      <c r="D31" s="13"/>
      <c r="E31" s="13"/>
      <c r="F31" s="14" t="str">
        <f aca="false">IF(OR($A31="",$D31="",$E31=""),"",MAX(0,$E31-$D31))</f>
        <v/>
      </c>
      <c r="G31" s="14" t="str">
        <f aca="false">IF($A31="","",IF($E31&lt;&gt;"",IF(N($F31)&gt;0,"Entregue com atraso","Entregue no prazo"),IF($D31="","Sem data prometida",IF($D31&lt;$L$1,"ATRASADA","Aguardando"))))</f>
        <v/>
      </c>
      <c r="H31" s="15"/>
      <c r="I31" s="15"/>
    </row>
    <row r="32" customFormat="false" ht="21" hidden="false" customHeight="true" outlineLevel="0" collapsed="false">
      <c r="A32" s="14"/>
      <c r="B32" s="15"/>
      <c r="C32" s="13"/>
      <c r="D32" s="13"/>
      <c r="E32" s="13"/>
      <c r="F32" s="14" t="str">
        <f aca="false">IF(OR($A32="",$D32="",$E32=""),"",MAX(0,$E32-$D32))</f>
        <v/>
      </c>
      <c r="G32" s="14" t="str">
        <f aca="false">IF($A32="","",IF($E32&lt;&gt;"",IF(N($F32)&gt;0,"Entregue com atraso","Entregue no prazo"),IF($D32="","Sem data prometida",IF($D32&lt;$L$1,"ATRASADA","Aguardando"))))</f>
        <v/>
      </c>
      <c r="H32" s="15"/>
      <c r="I32" s="15"/>
    </row>
    <row r="33" customFormat="false" ht="21" hidden="false" customHeight="true" outlineLevel="0" collapsed="false">
      <c r="A33" s="14"/>
      <c r="B33" s="15"/>
      <c r="C33" s="13"/>
      <c r="D33" s="13"/>
      <c r="E33" s="13"/>
      <c r="F33" s="14" t="str">
        <f aca="false">IF(OR($A33="",$D33="",$E33=""),"",MAX(0,$E33-$D33))</f>
        <v/>
      </c>
      <c r="G33" s="14" t="str">
        <f aca="false">IF($A33="","",IF($E33&lt;&gt;"",IF(N($F33)&gt;0,"Entregue com atraso","Entregue no prazo"),IF($D33="","Sem data prometida",IF($D33&lt;$L$1,"ATRASADA","Aguardando"))))</f>
        <v/>
      </c>
      <c r="H33" s="15"/>
      <c r="I33" s="15"/>
    </row>
    <row r="34" customFormat="false" ht="21" hidden="false" customHeight="true" outlineLevel="0" collapsed="false">
      <c r="A34" s="14"/>
      <c r="B34" s="15"/>
      <c r="C34" s="13"/>
      <c r="D34" s="13"/>
      <c r="E34" s="13"/>
      <c r="F34" s="14" t="str">
        <f aca="false">IF(OR($A34="",$D34="",$E34=""),"",MAX(0,$E34-$D34))</f>
        <v/>
      </c>
      <c r="G34" s="14" t="str">
        <f aca="false">IF($A34="","",IF($E34&lt;&gt;"",IF(N($F34)&gt;0,"Entregue com atraso","Entregue no prazo"),IF($D34="","Sem data prometida",IF($D34&lt;$L$1,"ATRASADA","Aguardando"))))</f>
        <v/>
      </c>
      <c r="H34" s="15"/>
      <c r="I34" s="15"/>
    </row>
    <row r="35" customFormat="false" ht="21" hidden="false" customHeight="true" outlineLevel="0" collapsed="false">
      <c r="A35" s="14"/>
      <c r="B35" s="15"/>
      <c r="C35" s="13"/>
      <c r="D35" s="13"/>
      <c r="E35" s="13"/>
      <c r="F35" s="14" t="str">
        <f aca="false">IF(OR($A35="",$D35="",$E35=""),"",MAX(0,$E35-$D35))</f>
        <v/>
      </c>
      <c r="G35" s="14" t="str">
        <f aca="false">IF($A35="","",IF($E35&lt;&gt;"",IF(N($F35)&gt;0,"Entregue com atraso","Entregue no prazo"),IF($D35="","Sem data prometida",IF($D35&lt;$L$1,"ATRASADA","Aguardando"))))</f>
        <v/>
      </c>
      <c r="H35" s="15"/>
      <c r="I35" s="15"/>
    </row>
    <row r="36" customFormat="false" ht="21" hidden="false" customHeight="true" outlineLevel="0" collapsed="false">
      <c r="A36" s="14"/>
      <c r="B36" s="15"/>
      <c r="C36" s="13"/>
      <c r="D36" s="13"/>
      <c r="E36" s="13"/>
      <c r="F36" s="14" t="str">
        <f aca="false">IF(OR($A36="",$D36="",$E36=""),"",MAX(0,$E36-$D36))</f>
        <v/>
      </c>
      <c r="G36" s="14" t="str">
        <f aca="false">IF($A36="","",IF($E36&lt;&gt;"",IF(N($F36)&gt;0,"Entregue com atraso","Entregue no prazo"),IF($D36="","Sem data prometida",IF($D36&lt;$L$1,"ATRASADA","Aguardando"))))</f>
        <v/>
      </c>
      <c r="H36" s="15"/>
      <c r="I36" s="15"/>
    </row>
    <row r="37" customFormat="false" ht="21" hidden="false" customHeight="true" outlineLevel="0" collapsed="false">
      <c r="A37" s="14"/>
      <c r="B37" s="15"/>
      <c r="C37" s="13"/>
      <c r="D37" s="13"/>
      <c r="E37" s="13"/>
      <c r="F37" s="14" t="str">
        <f aca="false">IF(OR($A37="",$D37="",$E37=""),"",MAX(0,$E37-$D37))</f>
        <v/>
      </c>
      <c r="G37" s="14" t="str">
        <f aca="false">IF($A37="","",IF($E37&lt;&gt;"",IF(N($F37)&gt;0,"Entregue com atraso","Entregue no prazo"),IF($D37="","Sem data prometida",IF($D37&lt;$L$1,"ATRASADA","Aguardando"))))</f>
        <v/>
      </c>
      <c r="H37" s="15"/>
      <c r="I37" s="15"/>
    </row>
    <row r="38" customFormat="false" ht="21" hidden="false" customHeight="true" outlineLevel="0" collapsed="false">
      <c r="A38" s="14"/>
      <c r="B38" s="15"/>
      <c r="C38" s="13"/>
      <c r="D38" s="13"/>
      <c r="E38" s="13"/>
      <c r="F38" s="14" t="str">
        <f aca="false">IF(OR($A38="",$D38="",$E38=""),"",MAX(0,$E38-$D38))</f>
        <v/>
      </c>
      <c r="G38" s="14" t="str">
        <f aca="false">IF($A38="","",IF($E38&lt;&gt;"",IF(N($F38)&gt;0,"Entregue com atraso","Entregue no prazo"),IF($D38="","Sem data prometida",IF($D38&lt;$L$1,"ATRASADA","Aguardando"))))</f>
        <v/>
      </c>
      <c r="H38" s="15"/>
      <c r="I38" s="15"/>
    </row>
    <row r="39" customFormat="false" ht="21" hidden="false" customHeight="true" outlineLevel="0" collapsed="false">
      <c r="A39" s="14"/>
      <c r="B39" s="15"/>
      <c r="C39" s="13"/>
      <c r="D39" s="13"/>
      <c r="E39" s="13"/>
      <c r="F39" s="14" t="str">
        <f aca="false">IF(OR($A39="",$D39="",$E39=""),"",MAX(0,$E39-$D39))</f>
        <v/>
      </c>
      <c r="G39" s="14" t="str">
        <f aca="false">IF($A39="","",IF($E39&lt;&gt;"",IF(N($F39)&gt;0,"Entregue com atraso","Entregue no prazo"),IF($D39="","Sem data prometida",IF($D39&lt;$L$1,"ATRASADA","Aguardando"))))</f>
        <v/>
      </c>
      <c r="H39" s="15"/>
      <c r="I39" s="15"/>
    </row>
    <row r="40" customFormat="false" ht="21" hidden="false" customHeight="true" outlineLevel="0" collapsed="false">
      <c r="A40" s="14"/>
      <c r="B40" s="15"/>
      <c r="C40" s="13"/>
      <c r="D40" s="13"/>
      <c r="E40" s="13"/>
      <c r="F40" s="14" t="str">
        <f aca="false">IF(OR($A40="",$D40="",$E40=""),"",MAX(0,$E40-$D40))</f>
        <v/>
      </c>
      <c r="G40" s="14" t="str">
        <f aca="false">IF($A40="","",IF($E40&lt;&gt;"",IF(N($F40)&gt;0,"Entregue com atraso","Entregue no prazo"),IF($D40="","Sem data prometida",IF($D40&lt;$L$1,"ATRASADA","Aguardando"))))</f>
        <v/>
      </c>
      <c r="H40" s="15"/>
      <c r="I40" s="15"/>
    </row>
    <row r="41" customFormat="false" ht="21" hidden="false" customHeight="true" outlineLevel="0" collapsed="false">
      <c r="A41" s="14"/>
      <c r="B41" s="15"/>
      <c r="C41" s="13"/>
      <c r="D41" s="13"/>
      <c r="E41" s="13"/>
      <c r="F41" s="14" t="str">
        <f aca="false">IF(OR($A41="",$D41="",$E41=""),"",MAX(0,$E41-$D41))</f>
        <v/>
      </c>
      <c r="G41" s="14" t="str">
        <f aca="false">IF($A41="","",IF($E41&lt;&gt;"",IF(N($F41)&gt;0,"Entregue com atraso","Entregue no prazo"),IF($D41="","Sem data prometida",IF($D41&lt;$L$1,"ATRASADA","Aguardando"))))</f>
        <v/>
      </c>
      <c r="H41" s="15"/>
      <c r="I41" s="15"/>
    </row>
    <row r="42" customFormat="false" ht="21" hidden="false" customHeight="true" outlineLevel="0" collapsed="false">
      <c r="A42" s="14"/>
      <c r="B42" s="15"/>
      <c r="C42" s="13"/>
      <c r="D42" s="13"/>
      <c r="E42" s="13"/>
      <c r="F42" s="14" t="str">
        <f aca="false">IF(OR($A42="",$D42="",$E42=""),"",MAX(0,$E42-$D42))</f>
        <v/>
      </c>
      <c r="G42" s="14" t="str">
        <f aca="false">IF($A42="","",IF($E42&lt;&gt;"",IF(N($F42)&gt;0,"Entregue com atraso","Entregue no prazo"),IF($D42="","Sem data prometida",IF($D42&lt;$L$1,"ATRASADA","Aguardando"))))</f>
        <v/>
      </c>
      <c r="H42" s="15"/>
      <c r="I42" s="15"/>
    </row>
    <row r="43" customFormat="false" ht="21" hidden="false" customHeight="true" outlineLevel="0" collapsed="false">
      <c r="A43" s="14"/>
      <c r="B43" s="15"/>
      <c r="C43" s="13"/>
      <c r="D43" s="13"/>
      <c r="E43" s="13"/>
      <c r="F43" s="14" t="str">
        <f aca="false">IF(OR($A43="",$D43="",$E43=""),"",MAX(0,$E43-$D43))</f>
        <v/>
      </c>
      <c r="G43" s="14" t="str">
        <f aca="false">IF($A43="","",IF($E43&lt;&gt;"",IF(N($F43)&gt;0,"Entregue com atraso","Entregue no prazo"),IF($D43="","Sem data prometida",IF($D43&lt;$L$1,"ATRASADA","Aguardando"))))</f>
        <v/>
      </c>
      <c r="H43" s="15"/>
      <c r="I43" s="15"/>
    </row>
    <row r="44" customFormat="false" ht="21" hidden="false" customHeight="true" outlineLevel="0" collapsed="false">
      <c r="A44" s="14"/>
      <c r="B44" s="15"/>
      <c r="C44" s="13"/>
      <c r="D44" s="13"/>
      <c r="E44" s="13"/>
      <c r="F44" s="14" t="str">
        <f aca="false">IF(OR($A44="",$D44="",$E44=""),"",MAX(0,$E44-$D44))</f>
        <v/>
      </c>
      <c r="G44" s="14" t="str">
        <f aca="false">IF($A44="","",IF($E44&lt;&gt;"",IF(N($F44)&gt;0,"Entregue com atraso","Entregue no prazo"),IF($D44="","Sem data prometida",IF($D44&lt;$L$1,"ATRASADA","Aguardando"))))</f>
        <v/>
      </c>
      <c r="H44" s="15"/>
      <c r="I44" s="15"/>
    </row>
    <row r="45" customFormat="false" ht="21" hidden="false" customHeight="true" outlineLevel="0" collapsed="false">
      <c r="A45" s="14"/>
      <c r="B45" s="15"/>
      <c r="C45" s="13"/>
      <c r="D45" s="13"/>
      <c r="E45" s="13"/>
      <c r="F45" s="14" t="str">
        <f aca="false">IF(OR($A45="",$D45="",$E45=""),"",MAX(0,$E45-$D45))</f>
        <v/>
      </c>
      <c r="G45" s="14" t="str">
        <f aca="false">IF($A45="","",IF($E45&lt;&gt;"",IF(N($F45)&gt;0,"Entregue com atraso","Entregue no prazo"),IF($D45="","Sem data prometida",IF($D45&lt;$L$1,"ATRASADA","Aguardando"))))</f>
        <v/>
      </c>
      <c r="H45" s="15"/>
      <c r="I45" s="15"/>
    </row>
    <row r="46" customFormat="false" ht="21" hidden="false" customHeight="true" outlineLevel="0" collapsed="false">
      <c r="A46" s="14"/>
      <c r="B46" s="15"/>
      <c r="C46" s="13"/>
      <c r="D46" s="13"/>
      <c r="E46" s="13"/>
      <c r="F46" s="14" t="str">
        <f aca="false">IF(OR($A46="",$D46="",$E46=""),"",MAX(0,$E46-$D46))</f>
        <v/>
      </c>
      <c r="G46" s="14" t="str">
        <f aca="false">IF($A46="","",IF($E46&lt;&gt;"",IF(N($F46)&gt;0,"Entregue com atraso","Entregue no prazo"),IF($D46="","Sem data prometida",IF($D46&lt;$L$1,"ATRASADA","Aguardando"))))</f>
        <v/>
      </c>
      <c r="H46" s="15"/>
      <c r="I46" s="15"/>
    </row>
    <row r="47" customFormat="false" ht="21" hidden="false" customHeight="true" outlineLevel="0" collapsed="false">
      <c r="A47" s="14"/>
      <c r="B47" s="15"/>
      <c r="C47" s="13"/>
      <c r="D47" s="13"/>
      <c r="E47" s="13"/>
      <c r="F47" s="14" t="str">
        <f aca="false">IF(OR($A47="",$D47="",$E47=""),"",MAX(0,$E47-$D47))</f>
        <v/>
      </c>
      <c r="G47" s="14" t="str">
        <f aca="false">IF($A47="","",IF($E47&lt;&gt;"",IF(N($F47)&gt;0,"Entregue com atraso","Entregue no prazo"),IF($D47="","Sem data prometida",IF($D47&lt;$L$1,"ATRASADA","Aguardando"))))</f>
        <v/>
      </c>
      <c r="H47" s="15"/>
      <c r="I47" s="15"/>
    </row>
    <row r="48" customFormat="false" ht="21" hidden="false" customHeight="true" outlineLevel="0" collapsed="false">
      <c r="A48" s="14"/>
      <c r="B48" s="15"/>
      <c r="C48" s="13"/>
      <c r="D48" s="13"/>
      <c r="E48" s="13"/>
      <c r="F48" s="14" t="str">
        <f aca="false">IF(OR($A48="",$D48="",$E48=""),"",MAX(0,$E48-$D48))</f>
        <v/>
      </c>
      <c r="G48" s="14" t="str">
        <f aca="false">IF($A48="","",IF($E48&lt;&gt;"",IF(N($F48)&gt;0,"Entregue com atraso","Entregue no prazo"),IF($D48="","Sem data prometida",IF($D48&lt;$L$1,"ATRASADA","Aguardando"))))</f>
        <v/>
      </c>
      <c r="H48" s="15"/>
      <c r="I48" s="15"/>
    </row>
    <row r="49" customFormat="false" ht="21" hidden="false" customHeight="true" outlineLevel="0" collapsed="false">
      <c r="A49" s="14"/>
      <c r="B49" s="15"/>
      <c r="C49" s="13"/>
      <c r="D49" s="13"/>
      <c r="E49" s="13"/>
      <c r="F49" s="14" t="str">
        <f aca="false">IF(OR($A49="",$D49="",$E49=""),"",MAX(0,$E49-$D49))</f>
        <v/>
      </c>
      <c r="G49" s="14" t="str">
        <f aca="false">IF($A49="","",IF($E49&lt;&gt;"",IF(N($F49)&gt;0,"Entregue com atraso","Entregue no prazo"),IF($D49="","Sem data prometida",IF($D49&lt;$L$1,"ATRASADA","Aguardando"))))</f>
        <v/>
      </c>
      <c r="H49" s="15"/>
      <c r="I49" s="15"/>
    </row>
    <row r="50" customFormat="false" ht="21" hidden="false" customHeight="true" outlineLevel="0" collapsed="false">
      <c r="A50" s="14"/>
      <c r="B50" s="15"/>
      <c r="C50" s="13"/>
      <c r="D50" s="13"/>
      <c r="E50" s="13"/>
      <c r="F50" s="14" t="str">
        <f aca="false">IF(OR($A50="",$D50="",$E50=""),"",MAX(0,$E50-$D50))</f>
        <v/>
      </c>
      <c r="G50" s="14" t="str">
        <f aca="false">IF($A50="","",IF($E50&lt;&gt;"",IF(N($F50)&gt;0,"Entregue com atraso","Entregue no prazo"),IF($D50="","Sem data prometida",IF($D50&lt;$L$1,"ATRASADA","Aguardando"))))</f>
        <v/>
      </c>
      <c r="H50" s="15"/>
      <c r="I50" s="15"/>
    </row>
    <row r="51" customFormat="false" ht="21" hidden="false" customHeight="true" outlineLevel="0" collapsed="false">
      <c r="A51" s="14"/>
      <c r="B51" s="15"/>
      <c r="C51" s="13"/>
      <c r="D51" s="13"/>
      <c r="E51" s="13"/>
      <c r="F51" s="14" t="str">
        <f aca="false">IF(OR($A51="",$D51="",$E51=""),"",MAX(0,$E51-$D51))</f>
        <v/>
      </c>
      <c r="G51" s="14" t="str">
        <f aca="false">IF($A51="","",IF($E51&lt;&gt;"",IF(N($F51)&gt;0,"Entregue com atraso","Entregue no prazo"),IF($D51="","Sem data prometida",IF($D51&lt;$L$1,"ATRASADA","Aguardando"))))</f>
        <v/>
      </c>
      <c r="H51" s="15"/>
      <c r="I51" s="15"/>
    </row>
    <row r="52" customFormat="false" ht="21" hidden="false" customHeight="true" outlineLevel="0" collapsed="false">
      <c r="A52" s="14"/>
      <c r="B52" s="15"/>
      <c r="C52" s="13"/>
      <c r="D52" s="13"/>
      <c r="E52" s="13"/>
      <c r="F52" s="14" t="str">
        <f aca="false">IF(OR($A52="",$D52="",$E52=""),"",MAX(0,$E52-$D52))</f>
        <v/>
      </c>
      <c r="G52" s="14" t="str">
        <f aca="false">IF($A52="","",IF($E52&lt;&gt;"",IF(N($F52)&gt;0,"Entregue com atraso","Entregue no prazo"),IF($D52="","Sem data prometida",IF($D52&lt;$L$1,"ATRASADA","Aguardando"))))</f>
        <v/>
      </c>
      <c r="H52" s="15"/>
      <c r="I52" s="15"/>
    </row>
    <row r="53" customFormat="false" ht="21" hidden="false" customHeight="true" outlineLevel="0" collapsed="false">
      <c r="A53" s="14"/>
      <c r="B53" s="15"/>
      <c r="C53" s="13"/>
      <c r="D53" s="13"/>
      <c r="E53" s="13"/>
      <c r="F53" s="14" t="str">
        <f aca="false">IF(OR($A53="",$D53="",$E53=""),"",MAX(0,$E53-$D53))</f>
        <v/>
      </c>
      <c r="G53" s="14" t="str">
        <f aca="false">IF($A53="","",IF($E53&lt;&gt;"",IF(N($F53)&gt;0,"Entregue com atraso","Entregue no prazo"),IF($D53="","Sem data prometida",IF($D53&lt;$L$1,"ATRASADA","Aguardando"))))</f>
        <v/>
      </c>
      <c r="H53" s="15"/>
      <c r="I53" s="15"/>
    </row>
    <row r="54" customFormat="false" ht="21" hidden="false" customHeight="true" outlineLevel="0" collapsed="false">
      <c r="A54" s="14"/>
      <c r="B54" s="15"/>
      <c r="C54" s="13"/>
      <c r="D54" s="13"/>
      <c r="E54" s="13"/>
      <c r="F54" s="14" t="str">
        <f aca="false">IF(OR($A54="",$D54="",$E54=""),"",MAX(0,$E54-$D54))</f>
        <v/>
      </c>
      <c r="G54" s="14" t="str">
        <f aca="false">IF($A54="","",IF($E54&lt;&gt;"",IF(N($F54)&gt;0,"Entregue com atraso","Entregue no prazo"),IF($D54="","Sem data prometida",IF($D54&lt;$L$1,"ATRASADA","Aguardando"))))</f>
        <v/>
      </c>
      <c r="H54" s="15"/>
      <c r="I54" s="15"/>
    </row>
    <row r="55" customFormat="false" ht="21" hidden="false" customHeight="true" outlineLevel="0" collapsed="false">
      <c r="A55" s="14"/>
      <c r="B55" s="15"/>
      <c r="C55" s="13"/>
      <c r="D55" s="13"/>
      <c r="E55" s="13"/>
      <c r="F55" s="14" t="str">
        <f aca="false">IF(OR($A55="",$D55="",$E55=""),"",MAX(0,$E55-$D55))</f>
        <v/>
      </c>
      <c r="G55" s="14" t="str">
        <f aca="false">IF($A55="","",IF($E55&lt;&gt;"",IF(N($F55)&gt;0,"Entregue com atraso","Entregue no prazo"),IF($D55="","Sem data prometida",IF($D55&lt;$L$1,"ATRASADA","Aguardando"))))</f>
        <v/>
      </c>
      <c r="H55" s="15"/>
      <c r="I55" s="15"/>
    </row>
    <row r="56" customFormat="false" ht="21" hidden="false" customHeight="true" outlineLevel="0" collapsed="false">
      <c r="A56" s="14"/>
      <c r="B56" s="15"/>
      <c r="C56" s="13"/>
      <c r="D56" s="13"/>
      <c r="E56" s="13"/>
      <c r="F56" s="14" t="str">
        <f aca="false">IF(OR($A56="",$D56="",$E56=""),"",MAX(0,$E56-$D56))</f>
        <v/>
      </c>
      <c r="G56" s="14" t="str">
        <f aca="false">IF($A56="","",IF($E56&lt;&gt;"",IF(N($F56)&gt;0,"Entregue com atraso","Entregue no prazo"),IF($D56="","Sem data prometida",IF($D56&lt;$L$1,"ATRASADA","Aguardando"))))</f>
        <v/>
      </c>
      <c r="H56" s="15"/>
      <c r="I56" s="15"/>
    </row>
    <row r="57" customFormat="false" ht="21" hidden="false" customHeight="true" outlineLevel="0" collapsed="false">
      <c r="A57" s="14"/>
      <c r="B57" s="15"/>
      <c r="C57" s="13"/>
      <c r="D57" s="13"/>
      <c r="E57" s="13"/>
      <c r="F57" s="14" t="str">
        <f aca="false">IF(OR($A57="",$D57="",$E57=""),"",MAX(0,$E57-$D57))</f>
        <v/>
      </c>
      <c r="G57" s="14" t="str">
        <f aca="false">IF($A57="","",IF($E57&lt;&gt;"",IF(N($F57)&gt;0,"Entregue com atraso","Entregue no prazo"),IF($D57="","Sem data prometida",IF($D57&lt;$L$1,"ATRASADA","Aguardando"))))</f>
        <v/>
      </c>
      <c r="H57" s="15"/>
      <c r="I57" s="15"/>
    </row>
    <row r="58" customFormat="false" ht="21" hidden="false" customHeight="true" outlineLevel="0" collapsed="false">
      <c r="A58" s="14"/>
      <c r="B58" s="15"/>
      <c r="C58" s="13"/>
      <c r="D58" s="13"/>
      <c r="E58" s="13"/>
      <c r="F58" s="14" t="str">
        <f aca="false">IF(OR($A58="",$D58="",$E58=""),"",MAX(0,$E58-$D58))</f>
        <v/>
      </c>
      <c r="G58" s="14" t="str">
        <f aca="false">IF($A58="","",IF($E58&lt;&gt;"",IF(N($F58)&gt;0,"Entregue com atraso","Entregue no prazo"),IF($D58="","Sem data prometida",IF($D58&lt;$L$1,"ATRASADA","Aguardando"))))</f>
        <v/>
      </c>
      <c r="H58" s="15"/>
      <c r="I58" s="15"/>
    </row>
    <row r="59" customFormat="false" ht="21" hidden="false" customHeight="true" outlineLevel="0" collapsed="false">
      <c r="A59" s="14"/>
      <c r="B59" s="15"/>
      <c r="C59" s="13"/>
      <c r="D59" s="13"/>
      <c r="E59" s="13"/>
      <c r="F59" s="14" t="str">
        <f aca="false">IF(OR($A59="",$D59="",$E59=""),"",MAX(0,$E59-$D59))</f>
        <v/>
      </c>
      <c r="G59" s="14" t="str">
        <f aca="false">IF($A59="","",IF($E59&lt;&gt;"",IF(N($F59)&gt;0,"Entregue com atraso","Entregue no prazo"),IF($D59="","Sem data prometida",IF($D59&lt;$L$1,"ATRASADA","Aguardando"))))</f>
        <v/>
      </c>
      <c r="H59" s="15"/>
      <c r="I59" s="15"/>
    </row>
    <row r="60" customFormat="false" ht="21" hidden="false" customHeight="true" outlineLevel="0" collapsed="false">
      <c r="A60" s="14"/>
      <c r="B60" s="15"/>
      <c r="C60" s="13"/>
      <c r="D60" s="13"/>
      <c r="E60" s="13"/>
      <c r="F60" s="14" t="str">
        <f aca="false">IF(OR($A60="",$D60="",$E60=""),"",MAX(0,$E60-$D60))</f>
        <v/>
      </c>
      <c r="G60" s="14" t="str">
        <f aca="false">IF($A60="","",IF($E60&lt;&gt;"",IF(N($F60)&gt;0,"Entregue com atraso","Entregue no prazo"),IF($D60="","Sem data prometida",IF($D60&lt;$L$1,"ATRASADA","Aguardando"))))</f>
        <v/>
      </c>
      <c r="H60" s="15"/>
      <c r="I60" s="15"/>
    </row>
    <row r="61" customFormat="false" ht="21" hidden="false" customHeight="true" outlineLevel="0" collapsed="false">
      <c r="A61" s="14"/>
      <c r="B61" s="15"/>
      <c r="C61" s="13"/>
      <c r="D61" s="13"/>
      <c r="E61" s="13"/>
      <c r="F61" s="14" t="str">
        <f aca="false">IF(OR($A61="",$D61="",$E61=""),"",MAX(0,$E61-$D61))</f>
        <v/>
      </c>
      <c r="G61" s="14" t="str">
        <f aca="false">IF($A61="","",IF($E61&lt;&gt;"",IF(N($F61)&gt;0,"Entregue com atraso","Entregue no prazo"),IF($D61="","Sem data prometida",IF($D61&lt;$L$1,"ATRASADA","Aguardando"))))</f>
        <v/>
      </c>
      <c r="H61" s="15"/>
      <c r="I61" s="15"/>
    </row>
    <row r="62" customFormat="false" ht="21" hidden="false" customHeight="true" outlineLevel="0" collapsed="false">
      <c r="A62" s="14"/>
      <c r="B62" s="15"/>
      <c r="C62" s="13"/>
      <c r="D62" s="13"/>
      <c r="E62" s="13"/>
      <c r="F62" s="14" t="str">
        <f aca="false">IF(OR($A62="",$D62="",$E62=""),"",MAX(0,$E62-$D62))</f>
        <v/>
      </c>
      <c r="G62" s="14" t="str">
        <f aca="false">IF($A62="","",IF($E62&lt;&gt;"",IF(N($F62)&gt;0,"Entregue com atraso","Entregue no prazo"),IF($D62="","Sem data prometida",IF($D62&lt;$L$1,"ATRASADA","Aguardando"))))</f>
        <v/>
      </c>
      <c r="H62" s="15"/>
      <c r="I62" s="15"/>
    </row>
    <row r="63" customFormat="false" ht="21" hidden="false" customHeight="true" outlineLevel="0" collapsed="false">
      <c r="A63" s="14"/>
      <c r="B63" s="15"/>
      <c r="C63" s="13"/>
      <c r="D63" s="13"/>
      <c r="E63" s="13"/>
      <c r="F63" s="14" t="str">
        <f aca="false">IF(OR($A63="",$D63="",$E63=""),"",MAX(0,$E63-$D63))</f>
        <v/>
      </c>
      <c r="G63" s="14" t="str">
        <f aca="false">IF($A63="","",IF($E63&lt;&gt;"",IF(N($F63)&gt;0,"Entregue com atraso","Entregue no prazo"),IF($D63="","Sem data prometida",IF($D63&lt;$L$1,"ATRASADA","Aguardando"))))</f>
        <v/>
      </c>
      <c r="H63" s="15"/>
      <c r="I63" s="15"/>
    </row>
    <row r="64" customFormat="false" ht="21" hidden="false" customHeight="true" outlineLevel="0" collapsed="false">
      <c r="A64" s="14"/>
      <c r="B64" s="15"/>
      <c r="C64" s="13"/>
      <c r="D64" s="13"/>
      <c r="E64" s="13"/>
      <c r="F64" s="14" t="str">
        <f aca="false">IF(OR($A64="",$D64="",$E64=""),"",MAX(0,$E64-$D64))</f>
        <v/>
      </c>
      <c r="G64" s="14" t="str">
        <f aca="false">IF($A64="","",IF($E64&lt;&gt;"",IF(N($F64)&gt;0,"Entregue com atraso","Entregue no prazo"),IF($D64="","Sem data prometida",IF($D64&lt;$L$1,"ATRASADA","Aguardando"))))</f>
        <v/>
      </c>
      <c r="H64" s="15"/>
      <c r="I64" s="15"/>
    </row>
    <row r="65" customFormat="false" ht="21" hidden="false" customHeight="true" outlineLevel="0" collapsed="false">
      <c r="A65" s="14"/>
      <c r="B65" s="15"/>
      <c r="C65" s="13"/>
      <c r="D65" s="13"/>
      <c r="E65" s="13"/>
      <c r="F65" s="14" t="str">
        <f aca="false">IF(OR($A65="",$D65="",$E65=""),"",MAX(0,$E65-$D65))</f>
        <v/>
      </c>
      <c r="G65" s="14" t="str">
        <f aca="false">IF($A65="","",IF($E65&lt;&gt;"",IF(N($F65)&gt;0,"Entregue com atraso","Entregue no prazo"),IF($D65="","Sem data prometida",IF($D65&lt;$L$1,"ATRASADA","Aguardando"))))</f>
        <v/>
      </c>
      <c r="H65" s="15"/>
      <c r="I65" s="15"/>
    </row>
    <row r="66" customFormat="false" ht="21" hidden="false" customHeight="true" outlineLevel="0" collapsed="false">
      <c r="A66" s="14"/>
      <c r="B66" s="15"/>
      <c r="C66" s="13"/>
      <c r="D66" s="13"/>
      <c r="E66" s="13"/>
      <c r="F66" s="14" t="str">
        <f aca="false">IF(OR($A66="",$D66="",$E66=""),"",MAX(0,$E66-$D66))</f>
        <v/>
      </c>
      <c r="G66" s="14" t="str">
        <f aca="false">IF($A66="","",IF($E66&lt;&gt;"",IF(N($F66)&gt;0,"Entregue com atraso","Entregue no prazo"),IF($D66="","Sem data prometida",IF($D66&lt;$L$1,"ATRASADA","Aguardando"))))</f>
        <v/>
      </c>
      <c r="H66" s="15"/>
      <c r="I66" s="15"/>
    </row>
    <row r="67" customFormat="false" ht="21" hidden="false" customHeight="true" outlineLevel="0" collapsed="false">
      <c r="A67" s="14"/>
      <c r="B67" s="15"/>
      <c r="C67" s="13"/>
      <c r="D67" s="13"/>
      <c r="E67" s="13"/>
      <c r="F67" s="14" t="str">
        <f aca="false">IF(OR($A67="",$D67="",$E67=""),"",MAX(0,$E67-$D67))</f>
        <v/>
      </c>
      <c r="G67" s="14" t="str">
        <f aca="false">IF($A67="","",IF($E67&lt;&gt;"",IF(N($F67)&gt;0,"Entregue com atraso","Entregue no prazo"),IF($D67="","Sem data prometida",IF($D67&lt;$L$1,"ATRASADA","Aguardando"))))</f>
        <v/>
      </c>
      <c r="H67" s="15"/>
      <c r="I67" s="15"/>
    </row>
    <row r="68" customFormat="false" ht="21" hidden="false" customHeight="true" outlineLevel="0" collapsed="false">
      <c r="A68" s="14"/>
      <c r="B68" s="15"/>
      <c r="C68" s="13"/>
      <c r="D68" s="13"/>
      <c r="E68" s="13"/>
      <c r="F68" s="14" t="str">
        <f aca="false">IF(OR($A68="",$D68="",$E68=""),"",MAX(0,$E68-$D68))</f>
        <v/>
      </c>
      <c r="G68" s="14" t="str">
        <f aca="false">IF($A68="","",IF($E68&lt;&gt;"",IF(N($F68)&gt;0,"Entregue com atraso","Entregue no prazo"),IF($D68="","Sem data prometida",IF($D68&lt;$L$1,"ATRASADA","Aguardando"))))</f>
        <v/>
      </c>
      <c r="H68" s="15"/>
      <c r="I68" s="15"/>
    </row>
    <row r="69" customFormat="false" ht="21" hidden="false" customHeight="true" outlineLevel="0" collapsed="false">
      <c r="A69" s="14"/>
      <c r="B69" s="15"/>
      <c r="C69" s="13"/>
      <c r="D69" s="13"/>
      <c r="E69" s="13"/>
      <c r="F69" s="14" t="str">
        <f aca="false">IF(OR($A69="",$D69="",$E69=""),"",MAX(0,$E69-$D69))</f>
        <v/>
      </c>
      <c r="G69" s="14" t="str">
        <f aca="false">IF($A69="","",IF($E69&lt;&gt;"",IF(N($F69)&gt;0,"Entregue com atraso","Entregue no prazo"),IF($D69="","Sem data prometida",IF($D69&lt;$L$1,"ATRASADA","Aguardando"))))</f>
        <v/>
      </c>
      <c r="H69" s="15"/>
      <c r="I69" s="15"/>
    </row>
    <row r="70" customFormat="false" ht="21" hidden="false" customHeight="true" outlineLevel="0" collapsed="false">
      <c r="A70" s="14"/>
      <c r="B70" s="15"/>
      <c r="C70" s="13"/>
      <c r="D70" s="13"/>
      <c r="E70" s="13"/>
      <c r="F70" s="14" t="str">
        <f aca="false">IF(OR($A70="",$D70="",$E70=""),"",MAX(0,$E70-$D70))</f>
        <v/>
      </c>
      <c r="G70" s="14" t="str">
        <f aca="false">IF($A70="","",IF($E70&lt;&gt;"",IF(N($F70)&gt;0,"Entregue com atraso","Entregue no prazo"),IF($D70="","Sem data prometida",IF($D70&lt;$L$1,"ATRASADA","Aguardando"))))</f>
        <v/>
      </c>
      <c r="H70" s="15"/>
      <c r="I70" s="15"/>
    </row>
    <row r="71" customFormat="false" ht="21" hidden="false" customHeight="true" outlineLevel="0" collapsed="false">
      <c r="A71" s="14"/>
      <c r="B71" s="15"/>
      <c r="C71" s="13"/>
      <c r="D71" s="13"/>
      <c r="E71" s="13"/>
      <c r="F71" s="14" t="str">
        <f aca="false">IF(OR($A71="",$D71="",$E71=""),"",MAX(0,$E71-$D71))</f>
        <v/>
      </c>
      <c r="G71" s="14" t="str">
        <f aca="false">IF($A71="","",IF($E71&lt;&gt;"",IF(N($F71)&gt;0,"Entregue com atraso","Entregue no prazo"),IF($D71="","Sem data prometida",IF($D71&lt;$L$1,"ATRASADA","Aguardando"))))</f>
        <v/>
      </c>
      <c r="H71" s="15"/>
      <c r="I71" s="15"/>
    </row>
    <row r="72" customFormat="false" ht="21" hidden="false" customHeight="true" outlineLevel="0" collapsed="false">
      <c r="A72" s="14"/>
      <c r="B72" s="15"/>
      <c r="C72" s="13"/>
      <c r="D72" s="13"/>
      <c r="E72" s="13"/>
      <c r="F72" s="14" t="str">
        <f aca="false">IF(OR($A72="",$D72="",$E72=""),"",MAX(0,$E72-$D72))</f>
        <v/>
      </c>
      <c r="G72" s="14" t="str">
        <f aca="false">IF($A72="","",IF($E72&lt;&gt;"",IF(N($F72)&gt;0,"Entregue com atraso","Entregue no prazo"),IF($D72="","Sem data prometida",IF($D72&lt;$L$1,"ATRASADA","Aguardando"))))</f>
        <v/>
      </c>
      <c r="H72" s="15"/>
      <c r="I72" s="15"/>
    </row>
    <row r="73" customFormat="false" ht="21" hidden="false" customHeight="true" outlineLevel="0" collapsed="false">
      <c r="A73" s="14"/>
      <c r="B73" s="15"/>
      <c r="C73" s="13"/>
      <c r="D73" s="13"/>
      <c r="E73" s="13"/>
      <c r="F73" s="14" t="str">
        <f aca="false">IF(OR($A73="",$D73="",$E73=""),"",MAX(0,$E73-$D73))</f>
        <v/>
      </c>
      <c r="G73" s="14" t="str">
        <f aca="false">IF($A73="","",IF($E73&lt;&gt;"",IF(N($F73)&gt;0,"Entregue com atraso","Entregue no prazo"),IF($D73="","Sem data prometida",IF($D73&lt;$L$1,"ATRASADA","Aguardando"))))</f>
        <v/>
      </c>
      <c r="H73" s="15"/>
      <c r="I73" s="15"/>
    </row>
    <row r="74" customFormat="false" ht="21" hidden="false" customHeight="true" outlineLevel="0" collapsed="false">
      <c r="A74" s="14"/>
      <c r="B74" s="15"/>
      <c r="C74" s="13"/>
      <c r="D74" s="13"/>
      <c r="E74" s="13"/>
      <c r="F74" s="14" t="str">
        <f aca="false">IF(OR($A74="",$D74="",$E74=""),"",MAX(0,$E74-$D74))</f>
        <v/>
      </c>
      <c r="G74" s="14" t="str">
        <f aca="false">IF($A74="","",IF($E74&lt;&gt;"",IF(N($F74)&gt;0,"Entregue com atraso","Entregue no prazo"),IF($D74="","Sem data prometida",IF($D74&lt;$L$1,"ATRASADA","Aguardando"))))</f>
        <v/>
      </c>
      <c r="H74" s="15"/>
      <c r="I74" s="15"/>
    </row>
    <row r="75" customFormat="false" ht="21" hidden="false" customHeight="true" outlineLevel="0" collapsed="false">
      <c r="A75" s="14"/>
      <c r="B75" s="15"/>
      <c r="C75" s="13"/>
      <c r="D75" s="13"/>
      <c r="E75" s="13"/>
      <c r="F75" s="14" t="str">
        <f aca="false">IF(OR($A75="",$D75="",$E75=""),"",MAX(0,$E75-$D75))</f>
        <v/>
      </c>
      <c r="G75" s="14" t="str">
        <f aca="false">IF($A75="","",IF($E75&lt;&gt;"",IF(N($F75)&gt;0,"Entregue com atraso","Entregue no prazo"),IF($D75="","Sem data prometida",IF($D75&lt;$L$1,"ATRASADA","Aguardando"))))</f>
        <v/>
      </c>
      <c r="H75" s="15"/>
      <c r="I75" s="15"/>
    </row>
    <row r="76" customFormat="false" ht="21" hidden="false" customHeight="true" outlineLevel="0" collapsed="false">
      <c r="A76" s="14"/>
      <c r="B76" s="15"/>
      <c r="C76" s="13"/>
      <c r="D76" s="13"/>
      <c r="E76" s="13"/>
      <c r="F76" s="14" t="str">
        <f aca="false">IF(OR($A76="",$D76="",$E76=""),"",MAX(0,$E76-$D76))</f>
        <v/>
      </c>
      <c r="G76" s="14" t="str">
        <f aca="false">IF($A76="","",IF($E76&lt;&gt;"",IF(N($F76)&gt;0,"Entregue com atraso","Entregue no prazo"),IF($D76="","Sem data prometida",IF($D76&lt;$L$1,"ATRASADA","Aguardando"))))</f>
        <v/>
      </c>
      <c r="H76" s="15"/>
      <c r="I76" s="15"/>
    </row>
    <row r="77" customFormat="false" ht="21" hidden="false" customHeight="true" outlineLevel="0" collapsed="false">
      <c r="A77" s="14"/>
      <c r="B77" s="15"/>
      <c r="C77" s="13"/>
      <c r="D77" s="13"/>
      <c r="E77" s="13"/>
      <c r="F77" s="14" t="str">
        <f aca="false">IF(OR($A77="",$D77="",$E77=""),"",MAX(0,$E77-$D77))</f>
        <v/>
      </c>
      <c r="G77" s="14" t="str">
        <f aca="false">IF($A77="","",IF($E77&lt;&gt;"",IF(N($F77)&gt;0,"Entregue com atraso","Entregue no prazo"),IF($D77="","Sem data prometida",IF($D77&lt;$L$1,"ATRASADA","Aguardando"))))</f>
        <v/>
      </c>
      <c r="H77" s="15"/>
      <c r="I77" s="15"/>
    </row>
    <row r="78" customFormat="false" ht="21" hidden="false" customHeight="true" outlineLevel="0" collapsed="false">
      <c r="A78" s="14"/>
      <c r="B78" s="15"/>
      <c r="C78" s="13"/>
      <c r="D78" s="13"/>
      <c r="E78" s="13"/>
      <c r="F78" s="14" t="str">
        <f aca="false">IF(OR($A78="",$D78="",$E78=""),"",MAX(0,$E78-$D78))</f>
        <v/>
      </c>
      <c r="G78" s="14" t="str">
        <f aca="false">IF($A78="","",IF($E78&lt;&gt;"",IF(N($F78)&gt;0,"Entregue com atraso","Entregue no prazo"),IF($D78="","Sem data prometida",IF($D78&lt;$L$1,"ATRASADA","Aguardando"))))</f>
        <v/>
      </c>
      <c r="H78" s="15"/>
      <c r="I78" s="15"/>
    </row>
    <row r="79" customFormat="false" ht="21" hidden="false" customHeight="true" outlineLevel="0" collapsed="false">
      <c r="A79" s="14"/>
      <c r="B79" s="15"/>
      <c r="C79" s="13"/>
      <c r="D79" s="13"/>
      <c r="E79" s="13"/>
      <c r="F79" s="14" t="str">
        <f aca="false">IF(OR($A79="",$D79="",$E79=""),"",MAX(0,$E79-$D79))</f>
        <v/>
      </c>
      <c r="G79" s="14" t="str">
        <f aca="false">IF($A79="","",IF($E79&lt;&gt;"",IF(N($F79)&gt;0,"Entregue com atraso","Entregue no prazo"),IF($D79="","Sem data prometida",IF($D79&lt;$L$1,"ATRASADA","Aguardando"))))</f>
        <v/>
      </c>
      <c r="H79" s="15"/>
      <c r="I79" s="15"/>
    </row>
    <row r="80" customFormat="false" ht="21" hidden="false" customHeight="true" outlineLevel="0" collapsed="false">
      <c r="A80" s="14"/>
      <c r="B80" s="15"/>
      <c r="C80" s="13"/>
      <c r="D80" s="13"/>
      <c r="E80" s="13"/>
      <c r="F80" s="14" t="str">
        <f aca="false">IF(OR($A80="",$D80="",$E80=""),"",MAX(0,$E80-$D80))</f>
        <v/>
      </c>
      <c r="G80" s="14" t="str">
        <f aca="false">IF($A80="","",IF($E80&lt;&gt;"",IF(N($F80)&gt;0,"Entregue com atraso","Entregue no prazo"),IF($D80="","Sem data prometida",IF($D80&lt;$L$1,"ATRASADA","Aguardando"))))</f>
        <v/>
      </c>
      <c r="H80" s="15"/>
      <c r="I80" s="15"/>
    </row>
    <row r="81" customFormat="false" ht="21" hidden="false" customHeight="true" outlineLevel="0" collapsed="false">
      <c r="A81" s="14"/>
      <c r="B81" s="15"/>
      <c r="C81" s="13"/>
      <c r="D81" s="13"/>
      <c r="E81" s="13"/>
      <c r="F81" s="14" t="str">
        <f aca="false">IF(OR($A81="",$D81="",$E81=""),"",MAX(0,$E81-$D81))</f>
        <v/>
      </c>
      <c r="G81" s="14" t="str">
        <f aca="false">IF($A81="","",IF($E81&lt;&gt;"",IF(N($F81)&gt;0,"Entregue com atraso","Entregue no prazo"),IF($D81="","Sem data prometida",IF($D81&lt;$L$1,"ATRASADA","Aguardando"))))</f>
        <v/>
      </c>
      <c r="H81" s="15"/>
      <c r="I81" s="15"/>
    </row>
    <row r="82" customFormat="false" ht="21" hidden="false" customHeight="true" outlineLevel="0" collapsed="false">
      <c r="A82" s="14"/>
      <c r="B82" s="15"/>
      <c r="C82" s="13"/>
      <c r="D82" s="13"/>
      <c r="E82" s="13"/>
      <c r="F82" s="14" t="str">
        <f aca="false">IF(OR($A82="",$D82="",$E82=""),"",MAX(0,$E82-$D82))</f>
        <v/>
      </c>
      <c r="G82" s="14" t="str">
        <f aca="false">IF($A82="","",IF($E82&lt;&gt;"",IF(N($F82)&gt;0,"Entregue com atraso","Entregue no prazo"),IF($D82="","Sem data prometida",IF($D82&lt;$L$1,"ATRASADA","Aguardando"))))</f>
        <v/>
      </c>
      <c r="H82" s="15"/>
      <c r="I82" s="15"/>
    </row>
    <row r="83" customFormat="false" ht="21" hidden="false" customHeight="true" outlineLevel="0" collapsed="false">
      <c r="A83" s="14"/>
      <c r="B83" s="15"/>
      <c r="C83" s="13"/>
      <c r="D83" s="13"/>
      <c r="E83" s="13"/>
      <c r="F83" s="14" t="str">
        <f aca="false">IF(OR($A83="",$D83="",$E83=""),"",MAX(0,$E83-$D83))</f>
        <v/>
      </c>
      <c r="G83" s="14" t="str">
        <f aca="false">IF($A83="","",IF($E83&lt;&gt;"",IF(N($F83)&gt;0,"Entregue com atraso","Entregue no prazo"),IF($D83="","Sem data prometida",IF($D83&lt;$L$1,"ATRASADA","Aguardando"))))</f>
        <v/>
      </c>
      <c r="H83" s="15"/>
      <c r="I83" s="15"/>
    </row>
    <row r="84" customFormat="false" ht="21" hidden="false" customHeight="true" outlineLevel="0" collapsed="false">
      <c r="A84" s="14"/>
      <c r="B84" s="15"/>
      <c r="C84" s="13"/>
      <c r="D84" s="13"/>
      <c r="E84" s="13"/>
      <c r="F84" s="14" t="str">
        <f aca="false">IF(OR($A84="",$D84="",$E84=""),"",MAX(0,$E84-$D84))</f>
        <v/>
      </c>
      <c r="G84" s="14" t="str">
        <f aca="false">IF($A84="","",IF($E84&lt;&gt;"",IF(N($F84)&gt;0,"Entregue com atraso","Entregue no prazo"),IF($D84="","Sem data prometida",IF($D84&lt;$L$1,"ATRASADA","Aguardando"))))</f>
        <v/>
      </c>
      <c r="H84" s="15"/>
      <c r="I84" s="15"/>
    </row>
    <row r="85" customFormat="false" ht="21" hidden="false" customHeight="true" outlineLevel="0" collapsed="false">
      <c r="A85" s="14"/>
      <c r="B85" s="15"/>
      <c r="C85" s="13"/>
      <c r="D85" s="13"/>
      <c r="E85" s="13"/>
      <c r="F85" s="14" t="str">
        <f aca="false">IF(OR($A85="",$D85="",$E85=""),"",MAX(0,$E85-$D85))</f>
        <v/>
      </c>
      <c r="G85" s="14" t="str">
        <f aca="false">IF($A85="","",IF($E85&lt;&gt;"",IF(N($F85)&gt;0,"Entregue com atraso","Entregue no prazo"),IF($D85="","Sem data prometida",IF($D85&lt;$L$1,"ATRASADA","Aguardando"))))</f>
        <v/>
      </c>
      <c r="H85" s="15"/>
      <c r="I85" s="15"/>
    </row>
    <row r="86" customFormat="false" ht="21" hidden="false" customHeight="true" outlineLevel="0" collapsed="false">
      <c r="A86" s="14"/>
      <c r="B86" s="15"/>
      <c r="C86" s="13"/>
      <c r="D86" s="13"/>
      <c r="E86" s="13"/>
      <c r="F86" s="14" t="str">
        <f aca="false">IF(OR($A86="",$D86="",$E86=""),"",MAX(0,$E86-$D86))</f>
        <v/>
      </c>
      <c r="G86" s="14" t="str">
        <f aca="false">IF($A86="","",IF($E86&lt;&gt;"",IF(N($F86)&gt;0,"Entregue com atraso","Entregue no prazo"),IF($D86="","Sem data prometida",IF($D86&lt;$L$1,"ATRASADA","Aguardando"))))</f>
        <v/>
      </c>
      <c r="H86" s="15"/>
      <c r="I86" s="15"/>
    </row>
    <row r="87" customFormat="false" ht="21" hidden="false" customHeight="true" outlineLevel="0" collapsed="false">
      <c r="A87" s="14"/>
      <c r="B87" s="15"/>
      <c r="C87" s="13"/>
      <c r="D87" s="13"/>
      <c r="E87" s="13"/>
      <c r="F87" s="14" t="str">
        <f aca="false">IF(OR($A87="",$D87="",$E87=""),"",MAX(0,$E87-$D87))</f>
        <v/>
      </c>
      <c r="G87" s="14" t="str">
        <f aca="false">IF($A87="","",IF($E87&lt;&gt;"",IF(N($F87)&gt;0,"Entregue com atraso","Entregue no prazo"),IF($D87="","Sem data prometida",IF($D87&lt;$L$1,"ATRASADA","Aguardando"))))</f>
        <v/>
      </c>
      <c r="H87" s="15"/>
      <c r="I87" s="15"/>
    </row>
    <row r="88" customFormat="false" ht="21" hidden="false" customHeight="true" outlineLevel="0" collapsed="false">
      <c r="A88" s="14"/>
      <c r="B88" s="15"/>
      <c r="C88" s="13"/>
      <c r="D88" s="13"/>
      <c r="E88" s="13"/>
      <c r="F88" s="14" t="str">
        <f aca="false">IF(OR($A88="",$D88="",$E88=""),"",MAX(0,$E88-$D88))</f>
        <v/>
      </c>
      <c r="G88" s="14" t="str">
        <f aca="false">IF($A88="","",IF($E88&lt;&gt;"",IF(N($F88)&gt;0,"Entregue com atraso","Entregue no prazo"),IF($D88="","Sem data prometida",IF($D88&lt;$L$1,"ATRASADA","Aguardando"))))</f>
        <v/>
      </c>
      <c r="H88" s="15"/>
      <c r="I88" s="15"/>
    </row>
    <row r="89" customFormat="false" ht="21" hidden="false" customHeight="true" outlineLevel="0" collapsed="false">
      <c r="A89" s="14"/>
      <c r="B89" s="15"/>
      <c r="C89" s="13"/>
      <c r="D89" s="13"/>
      <c r="E89" s="13"/>
      <c r="F89" s="14" t="str">
        <f aca="false">IF(OR($A89="",$D89="",$E89=""),"",MAX(0,$E89-$D89))</f>
        <v/>
      </c>
      <c r="G89" s="14" t="str">
        <f aca="false">IF($A89="","",IF($E89&lt;&gt;"",IF(N($F89)&gt;0,"Entregue com atraso","Entregue no prazo"),IF($D89="","Sem data prometida",IF($D89&lt;$L$1,"ATRASADA","Aguardando"))))</f>
        <v/>
      </c>
      <c r="H89" s="15"/>
      <c r="I89" s="15"/>
    </row>
    <row r="90" customFormat="false" ht="21" hidden="false" customHeight="true" outlineLevel="0" collapsed="false">
      <c r="A90" s="14"/>
      <c r="B90" s="15"/>
      <c r="C90" s="13"/>
      <c r="D90" s="13"/>
      <c r="E90" s="13"/>
      <c r="F90" s="14" t="str">
        <f aca="false">IF(OR($A90="",$D90="",$E90=""),"",MAX(0,$E90-$D90))</f>
        <v/>
      </c>
      <c r="G90" s="14" t="str">
        <f aca="false">IF($A90="","",IF($E90&lt;&gt;"",IF(N($F90)&gt;0,"Entregue com atraso","Entregue no prazo"),IF($D90="","Sem data prometida",IF($D90&lt;$L$1,"ATRASADA","Aguardando"))))</f>
        <v/>
      </c>
      <c r="H90" s="15"/>
      <c r="I90" s="15"/>
    </row>
    <row r="91" customFormat="false" ht="21" hidden="false" customHeight="true" outlineLevel="0" collapsed="false">
      <c r="A91" s="14"/>
      <c r="B91" s="15"/>
      <c r="C91" s="13"/>
      <c r="D91" s="13"/>
      <c r="E91" s="13"/>
      <c r="F91" s="14" t="str">
        <f aca="false">IF(OR($A91="",$D91="",$E91=""),"",MAX(0,$E91-$D91))</f>
        <v/>
      </c>
      <c r="G91" s="14" t="str">
        <f aca="false">IF($A91="","",IF($E91&lt;&gt;"",IF(N($F91)&gt;0,"Entregue com atraso","Entregue no prazo"),IF($D91="","Sem data prometida",IF($D91&lt;$L$1,"ATRASADA","Aguardando"))))</f>
        <v/>
      </c>
      <c r="H91" s="15"/>
      <c r="I91" s="15"/>
    </row>
    <row r="92" customFormat="false" ht="21" hidden="false" customHeight="true" outlineLevel="0" collapsed="false">
      <c r="A92" s="14"/>
      <c r="B92" s="15"/>
      <c r="C92" s="13"/>
      <c r="D92" s="13"/>
      <c r="E92" s="13"/>
      <c r="F92" s="14" t="str">
        <f aca="false">IF(OR($A92="",$D92="",$E92=""),"",MAX(0,$E92-$D92))</f>
        <v/>
      </c>
      <c r="G92" s="14" t="str">
        <f aca="false">IF($A92="","",IF($E92&lt;&gt;"",IF(N($F92)&gt;0,"Entregue com atraso","Entregue no prazo"),IF($D92="","Sem data prometida",IF($D92&lt;$L$1,"ATRASADA","Aguardando"))))</f>
        <v/>
      </c>
      <c r="H92" s="15"/>
      <c r="I92" s="15"/>
    </row>
    <row r="93" customFormat="false" ht="21" hidden="false" customHeight="true" outlineLevel="0" collapsed="false">
      <c r="A93" s="14"/>
      <c r="B93" s="15"/>
      <c r="C93" s="13"/>
      <c r="D93" s="13"/>
      <c r="E93" s="13"/>
      <c r="F93" s="14" t="str">
        <f aca="false">IF(OR($A93="",$D93="",$E93=""),"",MAX(0,$E93-$D93))</f>
        <v/>
      </c>
      <c r="G93" s="14" t="str">
        <f aca="false">IF($A93="","",IF($E93&lt;&gt;"",IF(N($F93)&gt;0,"Entregue com atraso","Entregue no prazo"),IF($D93="","Sem data prometida",IF($D93&lt;$L$1,"ATRASADA","Aguardando"))))</f>
        <v/>
      </c>
      <c r="H93" s="15"/>
      <c r="I93" s="15"/>
    </row>
    <row r="94" customFormat="false" ht="21" hidden="false" customHeight="true" outlineLevel="0" collapsed="false">
      <c r="A94" s="14"/>
      <c r="B94" s="15"/>
      <c r="C94" s="13"/>
      <c r="D94" s="13"/>
      <c r="E94" s="13"/>
      <c r="F94" s="14" t="str">
        <f aca="false">IF(OR($A94="",$D94="",$E94=""),"",MAX(0,$E94-$D94))</f>
        <v/>
      </c>
      <c r="G94" s="14" t="str">
        <f aca="false">IF($A94="","",IF($E94&lt;&gt;"",IF(N($F94)&gt;0,"Entregue com atraso","Entregue no prazo"),IF($D94="","Sem data prometida",IF($D94&lt;$L$1,"ATRASADA","Aguardando"))))</f>
        <v/>
      </c>
      <c r="H94" s="15"/>
      <c r="I94" s="15"/>
    </row>
    <row r="95" customFormat="false" ht="21" hidden="false" customHeight="true" outlineLevel="0" collapsed="false">
      <c r="A95" s="14"/>
      <c r="B95" s="15"/>
      <c r="C95" s="13"/>
      <c r="D95" s="13"/>
      <c r="E95" s="13"/>
      <c r="F95" s="14" t="str">
        <f aca="false">IF(OR($A95="",$D95="",$E95=""),"",MAX(0,$E95-$D95))</f>
        <v/>
      </c>
      <c r="G95" s="14" t="str">
        <f aca="false">IF($A95="","",IF($E95&lt;&gt;"",IF(N($F95)&gt;0,"Entregue com atraso","Entregue no prazo"),IF($D95="","Sem data prometida",IF($D95&lt;$L$1,"ATRASADA","Aguardando"))))</f>
        <v/>
      </c>
      <c r="H95" s="15"/>
      <c r="I95" s="15"/>
    </row>
    <row r="96" customFormat="false" ht="21" hidden="false" customHeight="true" outlineLevel="0" collapsed="false">
      <c r="A96" s="14"/>
      <c r="B96" s="15"/>
      <c r="C96" s="13"/>
      <c r="D96" s="13"/>
      <c r="E96" s="13"/>
      <c r="F96" s="14" t="str">
        <f aca="false">IF(OR($A96="",$D96="",$E96=""),"",MAX(0,$E96-$D96))</f>
        <v/>
      </c>
      <c r="G96" s="14" t="str">
        <f aca="false">IF($A96="","",IF($E96&lt;&gt;"",IF(N($F96)&gt;0,"Entregue com atraso","Entregue no prazo"),IF($D96="","Sem data prometida",IF($D96&lt;$L$1,"ATRASADA","Aguardando"))))</f>
        <v/>
      </c>
      <c r="H96" s="15"/>
      <c r="I96" s="15"/>
    </row>
    <row r="97" customFormat="false" ht="21" hidden="false" customHeight="true" outlineLevel="0" collapsed="false">
      <c r="A97" s="14"/>
      <c r="B97" s="15"/>
      <c r="C97" s="13"/>
      <c r="D97" s="13"/>
      <c r="E97" s="13"/>
      <c r="F97" s="14" t="str">
        <f aca="false">IF(OR($A97="",$D97="",$E97=""),"",MAX(0,$E97-$D97))</f>
        <v/>
      </c>
      <c r="G97" s="14" t="str">
        <f aca="false">IF($A97="","",IF($E97&lt;&gt;"",IF(N($F97)&gt;0,"Entregue com atraso","Entregue no prazo"),IF($D97="","Sem data prometida",IF($D97&lt;$L$1,"ATRASADA","Aguardando"))))</f>
        <v/>
      </c>
      <c r="H97" s="15"/>
      <c r="I97" s="15"/>
    </row>
    <row r="98" customFormat="false" ht="21" hidden="false" customHeight="true" outlineLevel="0" collapsed="false">
      <c r="A98" s="14"/>
      <c r="B98" s="15"/>
      <c r="C98" s="13"/>
      <c r="D98" s="13"/>
      <c r="E98" s="13"/>
      <c r="F98" s="14" t="str">
        <f aca="false">IF(OR($A98="",$D98="",$E98=""),"",MAX(0,$E98-$D98))</f>
        <v/>
      </c>
      <c r="G98" s="14" t="str">
        <f aca="false">IF($A98="","",IF($E98&lt;&gt;"",IF(N($F98)&gt;0,"Entregue com atraso","Entregue no prazo"),IF($D98="","Sem data prometida",IF($D98&lt;$L$1,"ATRASADA","Aguardando"))))</f>
        <v/>
      </c>
      <c r="H98" s="15"/>
      <c r="I98" s="15"/>
    </row>
    <row r="99" customFormat="false" ht="21" hidden="false" customHeight="true" outlineLevel="0" collapsed="false">
      <c r="A99" s="14"/>
      <c r="B99" s="15"/>
      <c r="C99" s="13"/>
      <c r="D99" s="13"/>
      <c r="E99" s="13"/>
      <c r="F99" s="14" t="str">
        <f aca="false">IF(OR($A99="",$D99="",$E99=""),"",MAX(0,$E99-$D99))</f>
        <v/>
      </c>
      <c r="G99" s="14" t="str">
        <f aca="false">IF($A99="","",IF($E99&lt;&gt;"",IF(N($F99)&gt;0,"Entregue com atraso","Entregue no prazo"),IF($D99="","Sem data prometida",IF($D99&lt;$L$1,"ATRASADA","Aguardando"))))</f>
        <v/>
      </c>
      <c r="H99" s="15"/>
      <c r="I99" s="15"/>
    </row>
    <row r="100" customFormat="false" ht="21" hidden="false" customHeight="true" outlineLevel="0" collapsed="false">
      <c r="A100" s="14"/>
      <c r="B100" s="15"/>
      <c r="C100" s="13"/>
      <c r="D100" s="13"/>
      <c r="E100" s="13"/>
      <c r="F100" s="14" t="str">
        <f aca="false">IF(OR($A100="",$D100="",$E100=""),"",MAX(0,$E100-$D100))</f>
        <v/>
      </c>
      <c r="G100" s="14" t="str">
        <f aca="false">IF($A100="","",IF($E100&lt;&gt;"",IF(N($F100)&gt;0,"Entregue com atraso","Entregue no prazo"),IF($D100="","Sem data prometida",IF($D100&lt;$L$1,"ATRASADA","Aguardando"))))</f>
        <v/>
      </c>
      <c r="H100" s="15"/>
      <c r="I100" s="15"/>
    </row>
    <row r="101" customFormat="false" ht="21" hidden="false" customHeight="true" outlineLevel="0" collapsed="false">
      <c r="A101" s="14"/>
      <c r="B101" s="15"/>
      <c r="C101" s="13"/>
      <c r="D101" s="13"/>
      <c r="E101" s="13"/>
      <c r="F101" s="14" t="str">
        <f aca="false">IF(OR($A101="",$D101="",$E101=""),"",MAX(0,$E101-$D101))</f>
        <v/>
      </c>
      <c r="G101" s="14" t="str">
        <f aca="false">IF($A101="","",IF($E101&lt;&gt;"",IF(N($F101)&gt;0,"Entregue com atraso","Entregue no prazo"),IF($D101="","Sem data prometida",IF($D101&lt;$L$1,"ATRASADA","Aguardando"))))</f>
        <v/>
      </c>
      <c r="H101" s="15"/>
      <c r="I101" s="15"/>
    </row>
    <row r="102" customFormat="false" ht="21" hidden="false" customHeight="true" outlineLevel="0" collapsed="false">
      <c r="A102" s="14"/>
      <c r="B102" s="15"/>
      <c r="C102" s="13"/>
      <c r="D102" s="13"/>
      <c r="E102" s="13"/>
      <c r="F102" s="14" t="str">
        <f aca="false">IF(OR($A102="",$D102="",$E102=""),"",MAX(0,$E102-$D102))</f>
        <v/>
      </c>
      <c r="G102" s="14" t="str">
        <f aca="false">IF($A102="","",IF($E102&lt;&gt;"",IF(N($F102)&gt;0,"Entregue com atraso","Entregue no prazo"),IF($D102="","Sem data prometida",IF($D102&lt;$L$1,"ATRASADA","Aguardando"))))</f>
        <v/>
      </c>
      <c r="H102" s="15"/>
      <c r="I102" s="15"/>
    </row>
    <row r="103" customFormat="false" ht="21" hidden="false" customHeight="true" outlineLevel="0" collapsed="false">
      <c r="A103" s="14"/>
      <c r="B103" s="15"/>
      <c r="C103" s="13"/>
      <c r="D103" s="13"/>
      <c r="E103" s="13"/>
      <c r="F103" s="14" t="str">
        <f aca="false">IF(OR($A103="",$D103="",$E103=""),"",MAX(0,$E103-$D103))</f>
        <v/>
      </c>
      <c r="G103" s="14" t="str">
        <f aca="false">IF($A103="","",IF($E103&lt;&gt;"",IF(N($F103)&gt;0,"Entregue com atraso","Entregue no prazo"),IF($D103="","Sem data prometida",IF($D103&lt;$L$1,"ATRASADA","Aguardando"))))</f>
        <v/>
      </c>
      <c r="H103" s="15"/>
      <c r="I103" s="15"/>
    </row>
    <row r="104" customFormat="false" ht="21" hidden="false" customHeight="true" outlineLevel="0" collapsed="false">
      <c r="A104" s="14"/>
      <c r="B104" s="15"/>
      <c r="C104" s="13"/>
      <c r="D104" s="13"/>
      <c r="E104" s="13"/>
      <c r="F104" s="14" t="str">
        <f aca="false">IF(OR($A104="",$D104="",$E104=""),"",MAX(0,$E104-$D104))</f>
        <v/>
      </c>
      <c r="G104" s="14" t="str">
        <f aca="false">IF($A104="","",IF($E104&lt;&gt;"",IF(N($F104)&gt;0,"Entregue com atraso","Entregue no prazo"),IF($D104="","Sem data prometida",IF($D104&lt;$L$1,"ATRASADA","Aguardando"))))</f>
        <v/>
      </c>
      <c r="H104" s="15"/>
      <c r="I104" s="15"/>
    </row>
    <row r="105" customFormat="false" ht="21" hidden="false" customHeight="true" outlineLevel="0" collapsed="false">
      <c r="A105" s="14"/>
      <c r="B105" s="15"/>
      <c r="C105" s="13"/>
      <c r="D105" s="13"/>
      <c r="E105" s="13"/>
      <c r="F105" s="14" t="str">
        <f aca="false">IF(OR($A105="",$D105="",$E105=""),"",MAX(0,$E105-$D105))</f>
        <v/>
      </c>
      <c r="G105" s="14" t="str">
        <f aca="false">IF($A105="","",IF($E105&lt;&gt;"",IF(N($F105)&gt;0,"Entregue com atraso","Entregue no prazo"),IF($D105="","Sem data prometida",IF($D105&lt;$L$1,"ATRASADA","Aguardando"))))</f>
        <v/>
      </c>
      <c r="H105" s="15"/>
      <c r="I105" s="15"/>
    </row>
    <row r="106" customFormat="false" ht="21" hidden="false" customHeight="true" outlineLevel="0" collapsed="false">
      <c r="A106" s="14"/>
      <c r="B106" s="15"/>
      <c r="C106" s="13"/>
      <c r="D106" s="13"/>
      <c r="E106" s="13"/>
      <c r="F106" s="14" t="str">
        <f aca="false">IF(OR($A106="",$D106="",$E106=""),"",MAX(0,$E106-$D106))</f>
        <v/>
      </c>
      <c r="G106" s="14" t="str">
        <f aca="false">IF($A106="","",IF($E106&lt;&gt;"",IF(N($F106)&gt;0,"Entregue com atraso","Entregue no prazo"),IF($D106="","Sem data prometida",IF($D106&lt;$L$1,"ATRASADA","Aguardando"))))</f>
        <v/>
      </c>
      <c r="H106" s="15"/>
      <c r="I106" s="15"/>
    </row>
    <row r="107" customFormat="false" ht="21" hidden="false" customHeight="true" outlineLevel="0" collapsed="false">
      <c r="A107" s="14"/>
      <c r="B107" s="15"/>
      <c r="C107" s="13"/>
      <c r="D107" s="13"/>
      <c r="E107" s="13"/>
      <c r="F107" s="14" t="str">
        <f aca="false">IF(OR($A107="",$D107="",$E107=""),"",MAX(0,$E107-$D107))</f>
        <v/>
      </c>
      <c r="G107" s="14" t="str">
        <f aca="false">IF($A107="","",IF($E107&lt;&gt;"",IF(N($F107)&gt;0,"Entregue com atraso","Entregue no prazo"),IF($D107="","Sem data prometida",IF($D107&lt;$L$1,"ATRASADA","Aguardando"))))</f>
        <v/>
      </c>
      <c r="H107" s="15"/>
      <c r="I107" s="15"/>
    </row>
    <row r="108" customFormat="false" ht="21" hidden="false" customHeight="true" outlineLevel="0" collapsed="false">
      <c r="A108" s="14"/>
      <c r="B108" s="15"/>
      <c r="C108" s="13"/>
      <c r="D108" s="13"/>
      <c r="E108" s="13"/>
      <c r="F108" s="14" t="str">
        <f aca="false">IF(OR($A108="",$D108="",$E108=""),"",MAX(0,$E108-$D108))</f>
        <v/>
      </c>
      <c r="G108" s="14" t="str">
        <f aca="false">IF($A108="","",IF($E108&lt;&gt;"",IF(N($F108)&gt;0,"Entregue com atraso","Entregue no prazo"),IF($D108="","Sem data prometida",IF($D108&lt;$L$1,"ATRASADA","Aguardando"))))</f>
        <v/>
      </c>
      <c r="H108" s="15"/>
      <c r="I108" s="15"/>
    </row>
    <row r="109" customFormat="false" ht="21" hidden="false" customHeight="true" outlineLevel="0" collapsed="false">
      <c r="A109" s="14"/>
      <c r="B109" s="15"/>
      <c r="C109" s="13"/>
      <c r="D109" s="13"/>
      <c r="E109" s="13"/>
      <c r="F109" s="14" t="str">
        <f aca="false">IF(OR($A109="",$D109="",$E109=""),"",MAX(0,$E109-$D109))</f>
        <v/>
      </c>
      <c r="G109" s="14" t="str">
        <f aca="false">IF($A109="","",IF($E109&lt;&gt;"",IF(N($F109)&gt;0,"Entregue com atraso","Entregue no prazo"),IF($D109="","Sem data prometida",IF($D109&lt;$L$1,"ATRASADA","Aguardando"))))</f>
        <v/>
      </c>
      <c r="H109" s="15"/>
      <c r="I109" s="15"/>
    </row>
    <row r="110" customFormat="false" ht="21" hidden="false" customHeight="true" outlineLevel="0" collapsed="false">
      <c r="A110" s="14"/>
      <c r="B110" s="15"/>
      <c r="C110" s="13"/>
      <c r="D110" s="13"/>
      <c r="E110" s="13"/>
      <c r="F110" s="14" t="str">
        <f aca="false">IF(OR($A110="",$D110="",$E110=""),"",MAX(0,$E110-$D110))</f>
        <v/>
      </c>
      <c r="G110" s="14" t="str">
        <f aca="false">IF($A110="","",IF($E110&lt;&gt;"",IF(N($F110)&gt;0,"Entregue com atraso","Entregue no prazo"),IF($D110="","Sem data prometida",IF($D110&lt;$L$1,"ATRASADA","Aguardando"))))</f>
        <v/>
      </c>
      <c r="H110" s="15"/>
      <c r="I110" s="15"/>
    </row>
    <row r="111" customFormat="false" ht="21" hidden="false" customHeight="true" outlineLevel="0" collapsed="false">
      <c r="A111" s="14"/>
      <c r="B111" s="15"/>
      <c r="C111" s="13"/>
      <c r="D111" s="13"/>
      <c r="E111" s="13"/>
      <c r="F111" s="14" t="str">
        <f aca="false">IF(OR($A111="",$D111="",$E111=""),"",MAX(0,$E111-$D111))</f>
        <v/>
      </c>
      <c r="G111" s="14" t="str">
        <f aca="false">IF($A111="","",IF($E111&lt;&gt;"",IF(N($F111)&gt;0,"Entregue com atraso","Entregue no prazo"),IF($D111="","Sem data prometida",IF($D111&lt;$L$1,"ATRASADA","Aguardando"))))</f>
        <v/>
      </c>
      <c r="H111" s="15"/>
      <c r="I111" s="15"/>
    </row>
    <row r="112" customFormat="false" ht="21" hidden="false" customHeight="true" outlineLevel="0" collapsed="false">
      <c r="A112" s="14"/>
      <c r="B112" s="15"/>
      <c r="C112" s="13"/>
      <c r="D112" s="13"/>
      <c r="E112" s="13"/>
      <c r="F112" s="14" t="str">
        <f aca="false">IF(OR($A112="",$D112="",$E112=""),"",MAX(0,$E112-$D112))</f>
        <v/>
      </c>
      <c r="G112" s="14" t="str">
        <f aca="false">IF($A112="","",IF($E112&lt;&gt;"",IF(N($F112)&gt;0,"Entregue com atraso","Entregue no prazo"),IF($D112="","Sem data prometida",IF($D112&lt;$L$1,"ATRASADA","Aguardando"))))</f>
        <v/>
      </c>
      <c r="H112" s="15"/>
      <c r="I112" s="15"/>
    </row>
    <row r="113" customFormat="false" ht="21" hidden="false" customHeight="true" outlineLevel="0" collapsed="false">
      <c r="A113" s="14"/>
      <c r="B113" s="15"/>
      <c r="C113" s="13"/>
      <c r="D113" s="13"/>
      <c r="E113" s="13"/>
      <c r="F113" s="14" t="str">
        <f aca="false">IF(OR($A113="",$D113="",$E113=""),"",MAX(0,$E113-$D113))</f>
        <v/>
      </c>
      <c r="G113" s="14" t="str">
        <f aca="false">IF($A113="","",IF($E113&lt;&gt;"",IF(N($F113)&gt;0,"Entregue com atraso","Entregue no prazo"),IF($D113="","Sem data prometida",IF($D113&lt;$L$1,"ATRASADA","Aguardando"))))</f>
        <v/>
      </c>
      <c r="H113" s="15"/>
      <c r="I113" s="15"/>
    </row>
    <row r="114" customFormat="false" ht="21" hidden="false" customHeight="true" outlineLevel="0" collapsed="false">
      <c r="A114" s="14"/>
      <c r="B114" s="15"/>
      <c r="C114" s="13"/>
      <c r="D114" s="13"/>
      <c r="E114" s="13"/>
      <c r="F114" s="14" t="str">
        <f aca="false">IF(OR($A114="",$D114="",$E114=""),"",MAX(0,$E114-$D114))</f>
        <v/>
      </c>
      <c r="G114" s="14" t="str">
        <f aca="false">IF($A114="","",IF($E114&lt;&gt;"",IF(N($F114)&gt;0,"Entregue com atraso","Entregue no prazo"),IF($D114="","Sem data prometida",IF($D114&lt;$L$1,"ATRASADA","Aguardando"))))</f>
        <v/>
      </c>
      <c r="H114" s="15"/>
      <c r="I114" s="15"/>
    </row>
    <row r="115" customFormat="false" ht="21" hidden="false" customHeight="true" outlineLevel="0" collapsed="false">
      <c r="A115" s="14"/>
      <c r="B115" s="15"/>
      <c r="C115" s="13"/>
      <c r="D115" s="13"/>
      <c r="E115" s="13"/>
      <c r="F115" s="14" t="str">
        <f aca="false">IF(OR($A115="",$D115="",$E115=""),"",MAX(0,$E115-$D115))</f>
        <v/>
      </c>
      <c r="G115" s="14" t="str">
        <f aca="false">IF($A115="","",IF($E115&lt;&gt;"",IF(N($F115)&gt;0,"Entregue com atraso","Entregue no prazo"),IF($D115="","Sem data prometida",IF($D115&lt;$L$1,"ATRASADA","Aguardando"))))</f>
        <v/>
      </c>
      <c r="H115" s="15"/>
      <c r="I115" s="15"/>
    </row>
    <row r="116" customFormat="false" ht="21" hidden="false" customHeight="true" outlineLevel="0" collapsed="false">
      <c r="A116" s="14"/>
      <c r="B116" s="15"/>
      <c r="C116" s="13"/>
      <c r="D116" s="13"/>
      <c r="E116" s="13"/>
      <c r="F116" s="14" t="str">
        <f aca="false">IF(OR($A116="",$D116="",$E116=""),"",MAX(0,$E116-$D116))</f>
        <v/>
      </c>
      <c r="G116" s="14" t="str">
        <f aca="false">IF($A116="","",IF($E116&lt;&gt;"",IF(N($F116)&gt;0,"Entregue com atraso","Entregue no prazo"),IF($D116="","Sem data prometida",IF($D116&lt;$L$1,"ATRASADA","Aguardando"))))</f>
        <v/>
      </c>
      <c r="H116" s="15"/>
      <c r="I116" s="15"/>
    </row>
    <row r="117" customFormat="false" ht="21" hidden="false" customHeight="true" outlineLevel="0" collapsed="false">
      <c r="A117" s="14"/>
      <c r="B117" s="15"/>
      <c r="C117" s="13"/>
      <c r="D117" s="13"/>
      <c r="E117" s="13"/>
      <c r="F117" s="14" t="str">
        <f aca="false">IF(OR($A117="",$D117="",$E117=""),"",MAX(0,$E117-$D117))</f>
        <v/>
      </c>
      <c r="G117" s="14" t="str">
        <f aca="false">IF($A117="","",IF($E117&lt;&gt;"",IF(N($F117)&gt;0,"Entregue com atraso","Entregue no prazo"),IF($D117="","Sem data prometida",IF($D117&lt;$L$1,"ATRASADA","Aguardando"))))</f>
        <v/>
      </c>
      <c r="H117" s="15"/>
      <c r="I117" s="15"/>
    </row>
    <row r="118" customFormat="false" ht="21" hidden="false" customHeight="true" outlineLevel="0" collapsed="false">
      <c r="A118" s="14"/>
      <c r="B118" s="15"/>
      <c r="C118" s="13"/>
      <c r="D118" s="13"/>
      <c r="E118" s="13"/>
      <c r="F118" s="14" t="str">
        <f aca="false">IF(OR($A118="",$D118="",$E118=""),"",MAX(0,$E118-$D118))</f>
        <v/>
      </c>
      <c r="G118" s="14" t="str">
        <f aca="false">IF($A118="","",IF($E118&lt;&gt;"",IF(N($F118)&gt;0,"Entregue com atraso","Entregue no prazo"),IF($D118="","Sem data prometida",IF($D118&lt;$L$1,"ATRASADA","Aguardando"))))</f>
        <v/>
      </c>
      <c r="H118" s="15"/>
      <c r="I118" s="15"/>
    </row>
    <row r="119" customFormat="false" ht="21" hidden="false" customHeight="true" outlineLevel="0" collapsed="false">
      <c r="A119" s="14"/>
      <c r="B119" s="15"/>
      <c r="C119" s="13"/>
      <c r="D119" s="13"/>
      <c r="E119" s="13"/>
      <c r="F119" s="14" t="str">
        <f aca="false">IF(OR($A119="",$D119="",$E119=""),"",MAX(0,$E119-$D119))</f>
        <v/>
      </c>
      <c r="G119" s="14" t="str">
        <f aca="false">IF($A119="","",IF($E119&lt;&gt;"",IF(N($F119)&gt;0,"Entregue com atraso","Entregue no prazo"),IF($D119="","Sem data prometida",IF($D119&lt;$L$1,"ATRASADA","Aguardando"))))</f>
        <v/>
      </c>
      <c r="H119" s="15"/>
      <c r="I119" s="15"/>
    </row>
    <row r="120" customFormat="false" ht="21" hidden="false" customHeight="true" outlineLevel="0" collapsed="false">
      <c r="A120" s="14"/>
      <c r="B120" s="15"/>
      <c r="C120" s="13"/>
      <c r="D120" s="13"/>
      <c r="E120" s="13"/>
      <c r="F120" s="14" t="str">
        <f aca="false">IF(OR($A120="",$D120="",$E120=""),"",MAX(0,$E120-$D120))</f>
        <v/>
      </c>
      <c r="G120" s="14" t="str">
        <f aca="false">IF($A120="","",IF($E120&lt;&gt;"",IF(N($F120)&gt;0,"Entregue com atraso","Entregue no prazo"),IF($D120="","Sem data prometida",IF($D120&lt;$L$1,"ATRASADA","Aguardando"))))</f>
        <v/>
      </c>
      <c r="H120" s="15"/>
      <c r="I120" s="15"/>
    </row>
    <row r="121" customFormat="false" ht="21" hidden="false" customHeight="true" outlineLevel="0" collapsed="false">
      <c r="A121" s="14"/>
      <c r="B121" s="15"/>
      <c r="C121" s="13"/>
      <c r="D121" s="13"/>
      <c r="E121" s="13"/>
      <c r="F121" s="14" t="str">
        <f aca="false">IF(OR($A121="",$D121="",$E121=""),"",MAX(0,$E121-$D121))</f>
        <v/>
      </c>
      <c r="G121" s="14" t="str">
        <f aca="false">IF($A121="","",IF($E121&lt;&gt;"",IF(N($F121)&gt;0,"Entregue com atraso","Entregue no prazo"),IF($D121="","Sem data prometida",IF($D121&lt;$L$1,"ATRASADA","Aguardando"))))</f>
        <v/>
      </c>
      <c r="H121" s="15"/>
      <c r="I121" s="15"/>
    </row>
    <row r="122" customFormat="false" ht="21" hidden="false" customHeight="true" outlineLevel="0" collapsed="false">
      <c r="A122" s="14"/>
      <c r="B122" s="15"/>
      <c r="C122" s="13"/>
      <c r="D122" s="13"/>
      <c r="E122" s="13"/>
      <c r="F122" s="14" t="str">
        <f aca="false">IF(OR($A122="",$D122="",$E122=""),"",MAX(0,$E122-$D122))</f>
        <v/>
      </c>
      <c r="G122" s="14" t="str">
        <f aca="false">IF($A122="","",IF($E122&lt;&gt;"",IF(N($F122)&gt;0,"Entregue com atraso","Entregue no prazo"),IF($D122="","Sem data prometida",IF($D122&lt;$L$1,"ATRASADA","Aguardando"))))</f>
        <v/>
      </c>
      <c r="H122" s="15"/>
      <c r="I122" s="15"/>
    </row>
    <row r="123" customFormat="false" ht="21" hidden="false" customHeight="true" outlineLevel="0" collapsed="false">
      <c r="A123" s="14"/>
      <c r="B123" s="15"/>
      <c r="C123" s="13"/>
      <c r="D123" s="13"/>
      <c r="E123" s="13"/>
      <c r="F123" s="14" t="str">
        <f aca="false">IF(OR($A123="",$D123="",$E123=""),"",MAX(0,$E123-$D123))</f>
        <v/>
      </c>
      <c r="G123" s="14" t="str">
        <f aca="false">IF($A123="","",IF($E123&lt;&gt;"",IF(N($F123)&gt;0,"Entregue com atraso","Entregue no prazo"),IF($D123="","Sem data prometida",IF($D123&lt;$L$1,"ATRASADA","Aguardando"))))</f>
        <v/>
      </c>
      <c r="H123" s="15"/>
      <c r="I123" s="15"/>
    </row>
    <row r="124" customFormat="false" ht="21" hidden="false" customHeight="true" outlineLevel="0" collapsed="false">
      <c r="A124" s="14"/>
      <c r="B124" s="15"/>
      <c r="C124" s="13"/>
      <c r="D124" s="13"/>
      <c r="E124" s="13"/>
      <c r="F124" s="14" t="str">
        <f aca="false">IF(OR($A124="",$D124="",$E124=""),"",MAX(0,$E124-$D124))</f>
        <v/>
      </c>
      <c r="G124" s="14" t="str">
        <f aca="false">IF($A124="","",IF($E124&lt;&gt;"",IF(N($F124)&gt;0,"Entregue com atraso","Entregue no prazo"),IF($D124="","Sem data prometida",IF($D124&lt;$L$1,"ATRASADA","Aguardando"))))</f>
        <v/>
      </c>
      <c r="H124" s="15"/>
      <c r="I124" s="15"/>
    </row>
    <row r="125" customFormat="false" ht="21" hidden="false" customHeight="true" outlineLevel="0" collapsed="false">
      <c r="A125" s="14"/>
      <c r="B125" s="15"/>
      <c r="C125" s="13"/>
      <c r="D125" s="13"/>
      <c r="E125" s="13"/>
      <c r="F125" s="14" t="str">
        <f aca="false">IF(OR($A125="",$D125="",$E125=""),"",MAX(0,$E125-$D125))</f>
        <v/>
      </c>
      <c r="G125" s="14" t="str">
        <f aca="false">IF($A125="","",IF($E125&lt;&gt;"",IF(N($F125)&gt;0,"Entregue com atraso","Entregue no prazo"),IF($D125="","Sem data prometida",IF($D125&lt;$L$1,"ATRASADA","Aguardando"))))</f>
        <v/>
      </c>
      <c r="H125" s="15"/>
      <c r="I125" s="15"/>
    </row>
    <row r="126" customFormat="false" ht="21" hidden="false" customHeight="true" outlineLevel="0" collapsed="false">
      <c r="A126" s="14"/>
      <c r="B126" s="15"/>
      <c r="C126" s="13"/>
      <c r="D126" s="13"/>
      <c r="E126" s="13"/>
      <c r="F126" s="14" t="str">
        <f aca="false">IF(OR($A126="",$D126="",$E126=""),"",MAX(0,$E126-$D126))</f>
        <v/>
      </c>
      <c r="G126" s="14" t="str">
        <f aca="false">IF($A126="","",IF($E126&lt;&gt;"",IF(N($F126)&gt;0,"Entregue com atraso","Entregue no prazo"),IF($D126="","Sem data prometida",IF($D126&lt;$L$1,"ATRASADA","Aguardando"))))</f>
        <v/>
      </c>
      <c r="H126" s="15"/>
      <c r="I126" s="15"/>
    </row>
    <row r="127" customFormat="false" ht="21" hidden="false" customHeight="true" outlineLevel="0" collapsed="false">
      <c r="A127" s="14"/>
      <c r="B127" s="15"/>
      <c r="C127" s="13"/>
      <c r="D127" s="13"/>
      <c r="E127" s="13"/>
      <c r="F127" s="14" t="str">
        <f aca="false">IF(OR($A127="",$D127="",$E127=""),"",MAX(0,$E127-$D127))</f>
        <v/>
      </c>
      <c r="G127" s="14" t="str">
        <f aca="false">IF($A127="","",IF($E127&lt;&gt;"",IF(N($F127)&gt;0,"Entregue com atraso","Entregue no prazo"),IF($D127="","Sem data prometida",IF($D127&lt;$L$1,"ATRASADA","Aguardando"))))</f>
        <v/>
      </c>
      <c r="H127" s="15"/>
      <c r="I127" s="15"/>
    </row>
    <row r="128" customFormat="false" ht="21" hidden="false" customHeight="true" outlineLevel="0" collapsed="false">
      <c r="A128" s="14"/>
      <c r="B128" s="15"/>
      <c r="C128" s="13"/>
      <c r="D128" s="13"/>
      <c r="E128" s="13"/>
      <c r="F128" s="14" t="str">
        <f aca="false">IF(OR($A128="",$D128="",$E128=""),"",MAX(0,$E128-$D128))</f>
        <v/>
      </c>
      <c r="G128" s="14" t="str">
        <f aca="false">IF($A128="","",IF($E128&lt;&gt;"",IF(N($F128)&gt;0,"Entregue com atraso","Entregue no prazo"),IF($D128="","Sem data prometida",IF($D128&lt;$L$1,"ATRASADA","Aguardando"))))</f>
        <v/>
      </c>
      <c r="H128" s="15"/>
      <c r="I128" s="15"/>
    </row>
    <row r="129" customFormat="false" ht="21" hidden="false" customHeight="true" outlineLevel="0" collapsed="false">
      <c r="A129" s="14"/>
      <c r="B129" s="15"/>
      <c r="C129" s="13"/>
      <c r="D129" s="13"/>
      <c r="E129" s="13"/>
      <c r="F129" s="14" t="str">
        <f aca="false">IF(OR($A129="",$D129="",$E129=""),"",MAX(0,$E129-$D129))</f>
        <v/>
      </c>
      <c r="G129" s="14" t="str">
        <f aca="false">IF($A129="","",IF($E129&lt;&gt;"",IF(N($F129)&gt;0,"Entregue com atraso","Entregue no prazo"),IF($D129="","Sem data prometida",IF($D129&lt;$L$1,"ATRASADA","Aguardando"))))</f>
        <v/>
      </c>
      <c r="H129" s="15"/>
      <c r="I129" s="15"/>
    </row>
    <row r="130" customFormat="false" ht="21" hidden="false" customHeight="true" outlineLevel="0" collapsed="false">
      <c r="A130" s="14"/>
      <c r="B130" s="15"/>
      <c r="C130" s="13"/>
      <c r="D130" s="13"/>
      <c r="E130" s="13"/>
      <c r="F130" s="14" t="str">
        <f aca="false">IF(OR($A130="",$D130="",$E130=""),"",MAX(0,$E130-$D130))</f>
        <v/>
      </c>
      <c r="G130" s="14" t="str">
        <f aca="false">IF($A130="","",IF($E130&lt;&gt;"",IF(N($F130)&gt;0,"Entregue com atraso","Entregue no prazo"),IF($D130="","Sem data prometida",IF($D130&lt;$L$1,"ATRASADA","Aguardando"))))</f>
        <v/>
      </c>
      <c r="H130" s="15"/>
      <c r="I130" s="15"/>
    </row>
    <row r="131" customFormat="false" ht="21" hidden="false" customHeight="true" outlineLevel="0" collapsed="false">
      <c r="A131" s="14"/>
      <c r="B131" s="15"/>
      <c r="C131" s="13"/>
      <c r="D131" s="13"/>
      <c r="E131" s="13"/>
      <c r="F131" s="14" t="str">
        <f aca="false">IF(OR($A131="",$D131="",$E131=""),"",MAX(0,$E131-$D131))</f>
        <v/>
      </c>
      <c r="G131" s="14" t="str">
        <f aca="false">IF($A131="","",IF($E131&lt;&gt;"",IF(N($F131)&gt;0,"Entregue com atraso","Entregue no prazo"),IF($D131="","Sem data prometida",IF($D131&lt;$L$1,"ATRASADA","Aguardando"))))</f>
        <v/>
      </c>
      <c r="H131" s="15"/>
      <c r="I131" s="15"/>
    </row>
    <row r="132" customFormat="false" ht="21" hidden="false" customHeight="true" outlineLevel="0" collapsed="false">
      <c r="A132" s="14"/>
      <c r="B132" s="15"/>
      <c r="C132" s="13"/>
      <c r="D132" s="13"/>
      <c r="E132" s="13"/>
      <c r="F132" s="14" t="str">
        <f aca="false">IF(OR($A132="",$D132="",$E132=""),"",MAX(0,$E132-$D132))</f>
        <v/>
      </c>
      <c r="G132" s="14" t="str">
        <f aca="false">IF($A132="","",IF($E132&lt;&gt;"",IF(N($F132)&gt;0,"Entregue com atraso","Entregue no prazo"),IF($D132="","Sem data prometida",IF($D132&lt;$L$1,"ATRASADA","Aguardando"))))</f>
        <v/>
      </c>
      <c r="H132" s="15"/>
      <c r="I132" s="15"/>
    </row>
    <row r="133" customFormat="false" ht="21" hidden="false" customHeight="true" outlineLevel="0" collapsed="false">
      <c r="A133" s="14"/>
      <c r="B133" s="15"/>
      <c r="C133" s="13"/>
      <c r="D133" s="13"/>
      <c r="E133" s="13"/>
      <c r="F133" s="14" t="str">
        <f aca="false">IF(OR($A133="",$D133="",$E133=""),"",MAX(0,$E133-$D133))</f>
        <v/>
      </c>
      <c r="G133" s="14" t="str">
        <f aca="false">IF($A133="","",IF($E133&lt;&gt;"",IF(N($F133)&gt;0,"Entregue com atraso","Entregue no prazo"),IF($D133="","Sem data prometida",IF($D133&lt;$L$1,"ATRASADA","Aguardando"))))</f>
        <v/>
      </c>
      <c r="H133" s="15"/>
      <c r="I133" s="15"/>
    </row>
    <row r="134" customFormat="false" ht="21" hidden="false" customHeight="true" outlineLevel="0" collapsed="false">
      <c r="A134" s="14"/>
      <c r="B134" s="15"/>
      <c r="C134" s="13"/>
      <c r="D134" s="13"/>
      <c r="E134" s="13"/>
      <c r="F134" s="14" t="str">
        <f aca="false">IF(OR($A134="",$D134="",$E134=""),"",MAX(0,$E134-$D134))</f>
        <v/>
      </c>
      <c r="G134" s="14" t="str">
        <f aca="false">IF($A134="","",IF($E134&lt;&gt;"",IF(N($F134)&gt;0,"Entregue com atraso","Entregue no prazo"),IF($D134="","Sem data prometida",IF($D134&lt;$L$1,"ATRASADA","Aguardando"))))</f>
        <v/>
      </c>
      <c r="H134" s="15"/>
      <c r="I134" s="15"/>
    </row>
    <row r="135" customFormat="false" ht="21" hidden="false" customHeight="true" outlineLevel="0" collapsed="false">
      <c r="A135" s="14"/>
      <c r="B135" s="15"/>
      <c r="C135" s="13"/>
      <c r="D135" s="13"/>
      <c r="E135" s="13"/>
      <c r="F135" s="14" t="str">
        <f aca="false">IF(OR($A135="",$D135="",$E135=""),"",MAX(0,$E135-$D135))</f>
        <v/>
      </c>
      <c r="G135" s="14" t="str">
        <f aca="false">IF($A135="","",IF($E135&lt;&gt;"",IF(N($F135)&gt;0,"Entregue com atraso","Entregue no prazo"),IF($D135="","Sem data prometida",IF($D135&lt;$L$1,"ATRASADA","Aguardando"))))</f>
        <v/>
      </c>
      <c r="H135" s="15"/>
      <c r="I135" s="15"/>
    </row>
    <row r="136" customFormat="false" ht="21" hidden="false" customHeight="true" outlineLevel="0" collapsed="false">
      <c r="A136" s="14"/>
      <c r="B136" s="15"/>
      <c r="C136" s="13"/>
      <c r="D136" s="13"/>
      <c r="E136" s="13"/>
      <c r="F136" s="14" t="str">
        <f aca="false">IF(OR($A136="",$D136="",$E136=""),"",MAX(0,$E136-$D136))</f>
        <v/>
      </c>
      <c r="G136" s="14" t="str">
        <f aca="false">IF($A136="","",IF($E136&lt;&gt;"",IF(N($F136)&gt;0,"Entregue com atraso","Entregue no prazo"),IF($D136="","Sem data prometida",IF($D136&lt;$L$1,"ATRASADA","Aguardando"))))</f>
        <v/>
      </c>
      <c r="H136" s="15"/>
      <c r="I136" s="15"/>
    </row>
    <row r="137" customFormat="false" ht="21" hidden="false" customHeight="true" outlineLevel="0" collapsed="false">
      <c r="A137" s="14"/>
      <c r="B137" s="15"/>
      <c r="C137" s="13"/>
      <c r="D137" s="13"/>
      <c r="E137" s="13"/>
      <c r="F137" s="14" t="str">
        <f aca="false">IF(OR($A137="",$D137="",$E137=""),"",MAX(0,$E137-$D137))</f>
        <v/>
      </c>
      <c r="G137" s="14" t="str">
        <f aca="false">IF($A137="","",IF($E137&lt;&gt;"",IF(N($F137)&gt;0,"Entregue com atraso","Entregue no prazo"),IF($D137="","Sem data prometida",IF($D137&lt;$L$1,"ATRASADA","Aguardando"))))</f>
        <v/>
      </c>
      <c r="H137" s="15"/>
      <c r="I137" s="15"/>
    </row>
    <row r="138" customFormat="false" ht="21" hidden="false" customHeight="true" outlineLevel="0" collapsed="false">
      <c r="A138" s="14"/>
      <c r="B138" s="15"/>
      <c r="C138" s="13"/>
      <c r="D138" s="13"/>
      <c r="E138" s="13"/>
      <c r="F138" s="14" t="str">
        <f aca="false">IF(OR($A138="",$D138="",$E138=""),"",MAX(0,$E138-$D138))</f>
        <v/>
      </c>
      <c r="G138" s="14" t="str">
        <f aca="false">IF($A138="","",IF($E138&lt;&gt;"",IF(N($F138)&gt;0,"Entregue com atraso","Entregue no prazo"),IF($D138="","Sem data prometida",IF($D138&lt;$L$1,"ATRASADA","Aguardando"))))</f>
        <v/>
      </c>
      <c r="H138" s="15"/>
      <c r="I138" s="15"/>
    </row>
    <row r="139" customFormat="false" ht="21" hidden="false" customHeight="true" outlineLevel="0" collapsed="false">
      <c r="A139" s="14"/>
      <c r="B139" s="15"/>
      <c r="C139" s="13"/>
      <c r="D139" s="13"/>
      <c r="E139" s="13"/>
      <c r="F139" s="14" t="str">
        <f aca="false">IF(OR($A139="",$D139="",$E139=""),"",MAX(0,$E139-$D139))</f>
        <v/>
      </c>
      <c r="G139" s="14" t="str">
        <f aca="false">IF($A139="","",IF($E139&lt;&gt;"",IF(N($F139)&gt;0,"Entregue com atraso","Entregue no prazo"),IF($D139="","Sem data prometida",IF($D139&lt;$L$1,"ATRASADA","Aguardando"))))</f>
        <v/>
      </c>
      <c r="H139" s="15"/>
      <c r="I139" s="15"/>
    </row>
    <row r="140" customFormat="false" ht="21" hidden="false" customHeight="true" outlineLevel="0" collapsed="false">
      <c r="A140" s="14"/>
      <c r="B140" s="15"/>
      <c r="C140" s="13"/>
      <c r="D140" s="13"/>
      <c r="E140" s="13"/>
      <c r="F140" s="14" t="str">
        <f aca="false">IF(OR($A140="",$D140="",$E140=""),"",MAX(0,$E140-$D140))</f>
        <v/>
      </c>
      <c r="G140" s="14" t="str">
        <f aca="false">IF($A140="","",IF($E140&lt;&gt;"",IF(N($F140)&gt;0,"Entregue com atraso","Entregue no prazo"),IF($D140="","Sem data prometida",IF($D140&lt;$L$1,"ATRASADA","Aguardando"))))</f>
        <v/>
      </c>
      <c r="H140" s="15"/>
      <c r="I140" s="15"/>
    </row>
    <row r="141" customFormat="false" ht="21" hidden="false" customHeight="true" outlineLevel="0" collapsed="false">
      <c r="A141" s="14"/>
      <c r="B141" s="15"/>
      <c r="C141" s="13"/>
      <c r="D141" s="13"/>
      <c r="E141" s="13"/>
      <c r="F141" s="14" t="str">
        <f aca="false">IF(OR($A141="",$D141="",$E141=""),"",MAX(0,$E141-$D141))</f>
        <v/>
      </c>
      <c r="G141" s="14" t="str">
        <f aca="false">IF($A141="","",IF($E141&lt;&gt;"",IF(N($F141)&gt;0,"Entregue com atraso","Entregue no prazo"),IF($D141="","Sem data prometida",IF($D141&lt;$L$1,"ATRASADA","Aguardando"))))</f>
        <v/>
      </c>
      <c r="H141" s="15"/>
      <c r="I141" s="15"/>
    </row>
    <row r="142" customFormat="false" ht="21" hidden="false" customHeight="true" outlineLevel="0" collapsed="false">
      <c r="A142" s="14"/>
      <c r="B142" s="15"/>
      <c r="C142" s="13"/>
      <c r="D142" s="13"/>
      <c r="E142" s="13"/>
      <c r="F142" s="14" t="str">
        <f aca="false">IF(OR($A142="",$D142="",$E142=""),"",MAX(0,$E142-$D142))</f>
        <v/>
      </c>
      <c r="G142" s="14" t="str">
        <f aca="false">IF($A142="","",IF($E142&lt;&gt;"",IF(N($F142)&gt;0,"Entregue com atraso","Entregue no prazo"),IF($D142="","Sem data prometida",IF($D142&lt;$L$1,"ATRASADA","Aguardando"))))</f>
        <v/>
      </c>
      <c r="H142" s="15"/>
      <c r="I142" s="15"/>
    </row>
    <row r="143" customFormat="false" ht="21" hidden="false" customHeight="true" outlineLevel="0" collapsed="false">
      <c r="A143" s="14"/>
      <c r="B143" s="15"/>
      <c r="C143" s="13"/>
      <c r="D143" s="13"/>
      <c r="E143" s="13"/>
      <c r="F143" s="14" t="str">
        <f aca="false">IF(OR($A143="",$D143="",$E143=""),"",MAX(0,$E143-$D143))</f>
        <v/>
      </c>
      <c r="G143" s="14" t="str">
        <f aca="false">IF($A143="","",IF($E143&lt;&gt;"",IF(N($F143)&gt;0,"Entregue com atraso","Entregue no prazo"),IF($D143="","Sem data prometida",IF($D143&lt;$L$1,"ATRASADA","Aguardando"))))</f>
        <v/>
      </c>
      <c r="H143" s="15"/>
      <c r="I143" s="15"/>
    </row>
    <row r="144" customFormat="false" ht="21" hidden="false" customHeight="true" outlineLevel="0" collapsed="false">
      <c r="A144" s="14"/>
      <c r="B144" s="15"/>
      <c r="C144" s="13"/>
      <c r="D144" s="13"/>
      <c r="E144" s="13"/>
      <c r="F144" s="14" t="str">
        <f aca="false">IF(OR($A144="",$D144="",$E144=""),"",MAX(0,$E144-$D144))</f>
        <v/>
      </c>
      <c r="G144" s="14" t="str">
        <f aca="false">IF($A144="","",IF($E144&lt;&gt;"",IF(N($F144)&gt;0,"Entregue com atraso","Entregue no prazo"),IF($D144="","Sem data prometida",IF($D144&lt;$L$1,"ATRASADA","Aguardando"))))</f>
        <v/>
      </c>
      <c r="H144" s="15"/>
      <c r="I144" s="15"/>
    </row>
    <row r="145" customFormat="false" ht="21" hidden="false" customHeight="true" outlineLevel="0" collapsed="false">
      <c r="A145" s="14"/>
      <c r="B145" s="15"/>
      <c r="C145" s="13"/>
      <c r="D145" s="13"/>
      <c r="E145" s="13"/>
      <c r="F145" s="14" t="str">
        <f aca="false">IF(OR($A145="",$D145="",$E145=""),"",MAX(0,$E145-$D145))</f>
        <v/>
      </c>
      <c r="G145" s="14" t="str">
        <f aca="false">IF($A145="","",IF($E145&lt;&gt;"",IF(N($F145)&gt;0,"Entregue com atraso","Entregue no prazo"),IF($D145="","Sem data prometida",IF($D145&lt;$L$1,"ATRASADA","Aguardando"))))</f>
        <v/>
      </c>
      <c r="H145" s="15"/>
      <c r="I145" s="15"/>
    </row>
    <row r="146" customFormat="false" ht="21" hidden="false" customHeight="true" outlineLevel="0" collapsed="false">
      <c r="A146" s="14"/>
      <c r="B146" s="15"/>
      <c r="C146" s="13"/>
      <c r="D146" s="13"/>
      <c r="E146" s="13"/>
      <c r="F146" s="14" t="str">
        <f aca="false">IF(OR($A146="",$D146="",$E146=""),"",MAX(0,$E146-$D146))</f>
        <v/>
      </c>
      <c r="G146" s="14" t="str">
        <f aca="false">IF($A146="","",IF($E146&lt;&gt;"",IF(N($F146)&gt;0,"Entregue com atraso","Entregue no prazo"),IF($D146="","Sem data prometida",IF($D146&lt;$L$1,"ATRASADA","Aguardando"))))</f>
        <v/>
      </c>
      <c r="H146" s="15"/>
      <c r="I146" s="15"/>
    </row>
    <row r="147" customFormat="false" ht="21" hidden="false" customHeight="true" outlineLevel="0" collapsed="false">
      <c r="A147" s="14"/>
      <c r="B147" s="15"/>
      <c r="C147" s="13"/>
      <c r="D147" s="13"/>
      <c r="E147" s="13"/>
      <c r="F147" s="14" t="str">
        <f aca="false">IF(OR($A147="",$D147="",$E147=""),"",MAX(0,$E147-$D147))</f>
        <v/>
      </c>
      <c r="G147" s="14" t="str">
        <f aca="false">IF($A147="","",IF($E147&lt;&gt;"",IF(N($F147)&gt;0,"Entregue com atraso","Entregue no prazo"),IF($D147="","Sem data prometida",IF($D147&lt;$L$1,"ATRASADA","Aguardando"))))</f>
        <v/>
      </c>
      <c r="H147" s="15"/>
      <c r="I147" s="15"/>
    </row>
    <row r="148" customFormat="false" ht="21" hidden="false" customHeight="true" outlineLevel="0" collapsed="false">
      <c r="A148" s="14"/>
      <c r="B148" s="15"/>
      <c r="C148" s="13"/>
      <c r="D148" s="13"/>
      <c r="E148" s="13"/>
      <c r="F148" s="14" t="str">
        <f aca="false">IF(OR($A148="",$D148="",$E148=""),"",MAX(0,$E148-$D148))</f>
        <v/>
      </c>
      <c r="G148" s="14" t="str">
        <f aca="false">IF($A148="","",IF($E148&lt;&gt;"",IF(N($F148)&gt;0,"Entregue com atraso","Entregue no prazo"),IF($D148="","Sem data prometida",IF($D148&lt;$L$1,"ATRASADA","Aguardando"))))</f>
        <v/>
      </c>
      <c r="H148" s="15"/>
      <c r="I148" s="15"/>
    </row>
    <row r="149" customFormat="false" ht="21" hidden="false" customHeight="true" outlineLevel="0" collapsed="false">
      <c r="A149" s="14"/>
      <c r="B149" s="15"/>
      <c r="C149" s="13"/>
      <c r="D149" s="13"/>
      <c r="E149" s="13"/>
      <c r="F149" s="14" t="str">
        <f aca="false">IF(OR($A149="",$D149="",$E149=""),"",MAX(0,$E149-$D149))</f>
        <v/>
      </c>
      <c r="G149" s="14" t="str">
        <f aca="false">IF($A149="","",IF($E149&lt;&gt;"",IF(N($F149)&gt;0,"Entregue com atraso","Entregue no prazo"),IF($D149="","Sem data prometida",IF($D149&lt;$L$1,"ATRASADA","Aguardando"))))</f>
        <v/>
      </c>
      <c r="H149" s="15"/>
      <c r="I149" s="15"/>
    </row>
    <row r="150" customFormat="false" ht="21" hidden="false" customHeight="true" outlineLevel="0" collapsed="false">
      <c r="A150" s="14"/>
      <c r="B150" s="15"/>
      <c r="C150" s="13"/>
      <c r="D150" s="13"/>
      <c r="E150" s="13"/>
      <c r="F150" s="14" t="str">
        <f aca="false">IF(OR($A150="",$D150="",$E150=""),"",MAX(0,$E150-$D150))</f>
        <v/>
      </c>
      <c r="G150" s="14" t="str">
        <f aca="false">IF($A150="","",IF($E150&lt;&gt;"",IF(N($F150)&gt;0,"Entregue com atraso","Entregue no prazo"),IF($D150="","Sem data prometida",IF($D150&lt;$L$1,"ATRASADA","Aguardando"))))</f>
        <v/>
      </c>
      <c r="H150" s="15"/>
      <c r="I150" s="15"/>
    </row>
    <row r="151" customFormat="false" ht="21" hidden="false" customHeight="true" outlineLevel="0" collapsed="false">
      <c r="A151" s="14"/>
      <c r="B151" s="15"/>
      <c r="C151" s="13"/>
      <c r="D151" s="13"/>
      <c r="E151" s="13"/>
      <c r="F151" s="14" t="str">
        <f aca="false">IF(OR($A151="",$D151="",$E151=""),"",MAX(0,$E151-$D151))</f>
        <v/>
      </c>
      <c r="G151" s="14" t="str">
        <f aca="false">IF($A151="","",IF($E151&lt;&gt;"",IF(N($F151)&gt;0,"Entregue com atraso","Entregue no prazo"),IF($D151="","Sem data prometida",IF($D151&lt;$L$1,"ATRASADA","Aguardando"))))</f>
        <v/>
      </c>
      <c r="H151" s="15"/>
      <c r="I151" s="15"/>
    </row>
    <row r="152" customFormat="false" ht="21" hidden="false" customHeight="true" outlineLevel="0" collapsed="false">
      <c r="A152" s="14"/>
      <c r="B152" s="15"/>
      <c r="C152" s="13"/>
      <c r="D152" s="13"/>
      <c r="E152" s="13"/>
      <c r="F152" s="14" t="str">
        <f aca="false">IF(OR($A152="",$D152="",$E152=""),"",MAX(0,$E152-$D152))</f>
        <v/>
      </c>
      <c r="G152" s="14" t="str">
        <f aca="false">IF($A152="","",IF($E152&lt;&gt;"",IF(N($F152)&gt;0,"Entregue com atraso","Entregue no prazo"),IF($D152="","Sem data prometida",IF($D152&lt;$L$1,"ATRASADA","Aguardando"))))</f>
        <v/>
      </c>
      <c r="H152" s="15"/>
      <c r="I152" s="15"/>
    </row>
    <row r="153" customFormat="false" ht="21" hidden="false" customHeight="true" outlineLevel="0" collapsed="false">
      <c r="A153" s="14"/>
      <c r="B153" s="15"/>
      <c r="C153" s="13"/>
      <c r="D153" s="13"/>
      <c r="E153" s="13"/>
      <c r="F153" s="14" t="str">
        <f aca="false">IF(OR($A153="",$D153="",$E153=""),"",MAX(0,$E153-$D153))</f>
        <v/>
      </c>
      <c r="G153" s="14" t="str">
        <f aca="false">IF($A153="","",IF($E153&lt;&gt;"",IF(N($F153)&gt;0,"Entregue com atraso","Entregue no prazo"),IF($D153="","Sem data prometida",IF($D153&lt;$L$1,"ATRASADA","Aguardando"))))</f>
        <v/>
      </c>
      <c r="H153" s="15"/>
      <c r="I153" s="15"/>
    </row>
    <row r="154" customFormat="false" ht="21" hidden="false" customHeight="true" outlineLevel="0" collapsed="false">
      <c r="A154" s="14"/>
      <c r="B154" s="15"/>
      <c r="C154" s="13"/>
      <c r="D154" s="13"/>
      <c r="E154" s="13"/>
      <c r="F154" s="14" t="str">
        <f aca="false">IF(OR($A154="",$D154="",$E154=""),"",MAX(0,$E154-$D154))</f>
        <v/>
      </c>
      <c r="G154" s="14" t="str">
        <f aca="false">IF($A154="","",IF($E154&lt;&gt;"",IF(N($F154)&gt;0,"Entregue com atraso","Entregue no prazo"),IF($D154="","Sem data prometida",IF($D154&lt;$L$1,"ATRASADA","Aguardando"))))</f>
        <v/>
      </c>
      <c r="H154" s="15"/>
      <c r="I154" s="15"/>
    </row>
    <row r="155" customFormat="false" ht="21" hidden="false" customHeight="true" outlineLevel="0" collapsed="false">
      <c r="A155" s="14"/>
      <c r="B155" s="15"/>
      <c r="C155" s="13"/>
      <c r="D155" s="13"/>
      <c r="E155" s="13"/>
      <c r="F155" s="14" t="str">
        <f aca="false">IF(OR($A155="",$D155="",$E155=""),"",MAX(0,$E155-$D155))</f>
        <v/>
      </c>
      <c r="G155" s="14" t="str">
        <f aca="false">IF($A155="","",IF($E155&lt;&gt;"",IF(N($F155)&gt;0,"Entregue com atraso","Entregue no prazo"),IF($D155="","Sem data prometida",IF($D155&lt;$L$1,"ATRASADA","Aguardando"))))</f>
        <v/>
      </c>
      <c r="H155" s="15"/>
      <c r="I155" s="15"/>
    </row>
    <row r="156" customFormat="false" ht="21" hidden="false" customHeight="true" outlineLevel="0" collapsed="false">
      <c r="A156" s="14"/>
      <c r="B156" s="15"/>
      <c r="C156" s="13"/>
      <c r="D156" s="13"/>
      <c r="E156" s="13"/>
      <c r="F156" s="14" t="str">
        <f aca="false">IF(OR($A156="",$D156="",$E156=""),"",MAX(0,$E156-$D156))</f>
        <v/>
      </c>
      <c r="G156" s="14" t="str">
        <f aca="false">IF($A156="","",IF($E156&lt;&gt;"",IF(N($F156)&gt;0,"Entregue com atraso","Entregue no prazo"),IF($D156="","Sem data prometida",IF($D156&lt;$L$1,"ATRASADA","Aguardando"))))</f>
        <v/>
      </c>
      <c r="H156" s="15"/>
      <c r="I156" s="15"/>
    </row>
    <row r="157" customFormat="false" ht="21" hidden="false" customHeight="true" outlineLevel="0" collapsed="false">
      <c r="A157" s="14"/>
      <c r="B157" s="15"/>
      <c r="C157" s="13"/>
      <c r="D157" s="13"/>
      <c r="E157" s="13"/>
      <c r="F157" s="14" t="str">
        <f aca="false">IF(OR($A157="",$D157="",$E157=""),"",MAX(0,$E157-$D157))</f>
        <v/>
      </c>
      <c r="G157" s="14" t="str">
        <f aca="false">IF($A157="","",IF($E157&lt;&gt;"",IF(N($F157)&gt;0,"Entregue com atraso","Entregue no prazo"),IF($D157="","Sem data prometida",IF($D157&lt;$L$1,"ATRASADA","Aguardando"))))</f>
        <v/>
      </c>
      <c r="H157" s="15"/>
      <c r="I157" s="15"/>
    </row>
    <row r="158" customFormat="false" ht="21" hidden="false" customHeight="true" outlineLevel="0" collapsed="false">
      <c r="A158" s="14"/>
      <c r="B158" s="15"/>
      <c r="C158" s="13"/>
      <c r="D158" s="13"/>
      <c r="E158" s="13"/>
      <c r="F158" s="14" t="str">
        <f aca="false">IF(OR($A158="",$D158="",$E158=""),"",MAX(0,$E158-$D158))</f>
        <v/>
      </c>
      <c r="G158" s="14" t="str">
        <f aca="false">IF($A158="","",IF($E158&lt;&gt;"",IF(N($F158)&gt;0,"Entregue com atraso","Entregue no prazo"),IF($D158="","Sem data prometida",IF($D158&lt;$L$1,"ATRASADA","Aguardando"))))</f>
        <v/>
      </c>
      <c r="H158" s="15"/>
      <c r="I158" s="15"/>
    </row>
    <row r="159" customFormat="false" ht="21" hidden="false" customHeight="true" outlineLevel="0" collapsed="false">
      <c r="A159" s="14"/>
      <c r="B159" s="15"/>
      <c r="C159" s="13"/>
      <c r="D159" s="13"/>
      <c r="E159" s="13"/>
      <c r="F159" s="14" t="str">
        <f aca="false">IF(OR($A159="",$D159="",$E159=""),"",MAX(0,$E159-$D159))</f>
        <v/>
      </c>
      <c r="G159" s="14" t="str">
        <f aca="false">IF($A159="","",IF($E159&lt;&gt;"",IF(N($F159)&gt;0,"Entregue com atraso","Entregue no prazo"),IF($D159="","Sem data prometida",IF($D159&lt;$L$1,"ATRASADA","Aguardando"))))</f>
        <v/>
      </c>
      <c r="H159" s="15"/>
      <c r="I159" s="15"/>
    </row>
    <row r="160" customFormat="false" ht="21" hidden="false" customHeight="true" outlineLevel="0" collapsed="false">
      <c r="A160" s="14"/>
      <c r="B160" s="15"/>
      <c r="C160" s="13"/>
      <c r="D160" s="13"/>
      <c r="E160" s="13"/>
      <c r="F160" s="14" t="str">
        <f aca="false">IF(OR($A160="",$D160="",$E160=""),"",MAX(0,$E160-$D160))</f>
        <v/>
      </c>
      <c r="G160" s="14" t="str">
        <f aca="false">IF($A160="","",IF($E160&lt;&gt;"",IF(N($F160)&gt;0,"Entregue com atraso","Entregue no prazo"),IF($D160="","Sem data prometida",IF($D160&lt;$L$1,"ATRASADA","Aguardando"))))</f>
        <v/>
      </c>
      <c r="H160" s="15"/>
      <c r="I160" s="15"/>
    </row>
    <row r="161" customFormat="false" ht="21" hidden="false" customHeight="true" outlineLevel="0" collapsed="false">
      <c r="A161" s="14"/>
      <c r="B161" s="15"/>
      <c r="C161" s="13"/>
      <c r="D161" s="13"/>
      <c r="E161" s="13"/>
      <c r="F161" s="14" t="str">
        <f aca="false">IF(OR($A161="",$D161="",$E161=""),"",MAX(0,$E161-$D161))</f>
        <v/>
      </c>
      <c r="G161" s="14" t="str">
        <f aca="false">IF($A161="","",IF($E161&lt;&gt;"",IF(N($F161)&gt;0,"Entregue com atraso","Entregue no prazo"),IF($D161="","Sem data prometida",IF($D161&lt;$L$1,"ATRASADA","Aguardando"))))</f>
        <v/>
      </c>
      <c r="H161" s="15"/>
      <c r="I161" s="15"/>
    </row>
    <row r="162" customFormat="false" ht="21" hidden="false" customHeight="true" outlineLevel="0" collapsed="false">
      <c r="A162" s="14"/>
      <c r="B162" s="15"/>
      <c r="C162" s="13"/>
      <c r="D162" s="13"/>
      <c r="E162" s="13"/>
      <c r="F162" s="14" t="str">
        <f aca="false">IF(OR($A162="",$D162="",$E162=""),"",MAX(0,$E162-$D162))</f>
        <v/>
      </c>
      <c r="G162" s="14" t="str">
        <f aca="false">IF($A162="","",IF($E162&lt;&gt;"",IF(N($F162)&gt;0,"Entregue com atraso","Entregue no prazo"),IF($D162="","Sem data prometida",IF($D162&lt;$L$1,"ATRASADA","Aguardando"))))</f>
        <v/>
      </c>
      <c r="H162" s="15"/>
      <c r="I162" s="15"/>
    </row>
    <row r="163" customFormat="false" ht="21" hidden="false" customHeight="true" outlineLevel="0" collapsed="false">
      <c r="A163" s="14"/>
      <c r="B163" s="15"/>
      <c r="C163" s="13"/>
      <c r="D163" s="13"/>
      <c r="E163" s="13"/>
      <c r="F163" s="14" t="str">
        <f aca="false">IF(OR($A163="",$D163="",$E163=""),"",MAX(0,$E163-$D163))</f>
        <v/>
      </c>
      <c r="G163" s="14" t="str">
        <f aca="false">IF($A163="","",IF($E163&lt;&gt;"",IF(N($F163)&gt;0,"Entregue com atraso","Entregue no prazo"),IF($D163="","Sem data prometida",IF($D163&lt;$L$1,"ATRASADA","Aguardando"))))</f>
        <v/>
      </c>
      <c r="H163" s="15"/>
      <c r="I163" s="15"/>
    </row>
    <row r="164" customFormat="false" ht="21" hidden="false" customHeight="true" outlineLevel="0" collapsed="false">
      <c r="A164" s="14"/>
      <c r="B164" s="15"/>
      <c r="C164" s="13"/>
      <c r="D164" s="13"/>
      <c r="E164" s="13"/>
      <c r="F164" s="14" t="str">
        <f aca="false">IF(OR($A164="",$D164="",$E164=""),"",MAX(0,$E164-$D164))</f>
        <v/>
      </c>
      <c r="G164" s="14" t="str">
        <f aca="false">IF($A164="","",IF($E164&lt;&gt;"",IF(N($F164)&gt;0,"Entregue com atraso","Entregue no prazo"),IF($D164="","Sem data prometida",IF($D164&lt;$L$1,"ATRASADA","Aguardando"))))</f>
        <v/>
      </c>
      <c r="H164" s="15"/>
      <c r="I164" s="15"/>
    </row>
    <row r="165" customFormat="false" ht="21" hidden="false" customHeight="true" outlineLevel="0" collapsed="false">
      <c r="A165" s="14"/>
      <c r="B165" s="15"/>
      <c r="C165" s="13"/>
      <c r="D165" s="13"/>
      <c r="E165" s="13"/>
      <c r="F165" s="14" t="str">
        <f aca="false">IF(OR($A165="",$D165="",$E165=""),"",MAX(0,$E165-$D165))</f>
        <v/>
      </c>
      <c r="G165" s="14" t="str">
        <f aca="false">IF($A165="","",IF($E165&lt;&gt;"",IF(N($F165)&gt;0,"Entregue com atraso","Entregue no prazo"),IF($D165="","Sem data prometida",IF($D165&lt;$L$1,"ATRASADA","Aguardando"))))</f>
        <v/>
      </c>
      <c r="H165" s="15"/>
      <c r="I165" s="15"/>
    </row>
    <row r="166" customFormat="false" ht="21" hidden="false" customHeight="true" outlineLevel="0" collapsed="false">
      <c r="A166" s="14"/>
      <c r="B166" s="15"/>
      <c r="C166" s="13"/>
      <c r="D166" s="13"/>
      <c r="E166" s="13"/>
      <c r="F166" s="14" t="str">
        <f aca="false">IF(OR($A166="",$D166="",$E166=""),"",MAX(0,$E166-$D166))</f>
        <v/>
      </c>
      <c r="G166" s="14" t="str">
        <f aca="false">IF($A166="","",IF($E166&lt;&gt;"",IF(N($F166)&gt;0,"Entregue com atraso","Entregue no prazo"),IF($D166="","Sem data prometida",IF($D166&lt;$L$1,"ATRASADA","Aguardando"))))</f>
        <v/>
      </c>
      <c r="H166" s="15"/>
      <c r="I166" s="15"/>
    </row>
    <row r="167" customFormat="false" ht="21" hidden="false" customHeight="true" outlineLevel="0" collapsed="false">
      <c r="A167" s="14"/>
      <c r="B167" s="15"/>
      <c r="C167" s="13"/>
      <c r="D167" s="13"/>
      <c r="E167" s="13"/>
      <c r="F167" s="14" t="str">
        <f aca="false">IF(OR($A167="",$D167="",$E167=""),"",MAX(0,$E167-$D167))</f>
        <v/>
      </c>
      <c r="G167" s="14" t="str">
        <f aca="false">IF($A167="","",IF($E167&lt;&gt;"",IF(N($F167)&gt;0,"Entregue com atraso","Entregue no prazo"),IF($D167="","Sem data prometida",IF($D167&lt;$L$1,"ATRASADA","Aguardando"))))</f>
        <v/>
      </c>
      <c r="H167" s="15"/>
      <c r="I167" s="15"/>
    </row>
    <row r="168" customFormat="false" ht="21" hidden="false" customHeight="true" outlineLevel="0" collapsed="false">
      <c r="A168" s="14"/>
      <c r="B168" s="15"/>
      <c r="C168" s="13"/>
      <c r="D168" s="13"/>
      <c r="E168" s="13"/>
      <c r="F168" s="14" t="str">
        <f aca="false">IF(OR($A168="",$D168="",$E168=""),"",MAX(0,$E168-$D168))</f>
        <v/>
      </c>
      <c r="G168" s="14" t="str">
        <f aca="false">IF($A168="","",IF($E168&lt;&gt;"",IF(N($F168)&gt;0,"Entregue com atraso","Entregue no prazo"),IF($D168="","Sem data prometida",IF($D168&lt;$L$1,"ATRASADA","Aguardando"))))</f>
        <v/>
      </c>
      <c r="H168" s="15"/>
      <c r="I168" s="15"/>
    </row>
    <row r="169" customFormat="false" ht="21" hidden="false" customHeight="true" outlineLevel="0" collapsed="false">
      <c r="A169" s="14"/>
      <c r="B169" s="15"/>
      <c r="C169" s="13"/>
      <c r="D169" s="13"/>
      <c r="E169" s="13"/>
      <c r="F169" s="14" t="str">
        <f aca="false">IF(OR($A169="",$D169="",$E169=""),"",MAX(0,$E169-$D169))</f>
        <v/>
      </c>
      <c r="G169" s="14" t="str">
        <f aca="false">IF($A169="","",IF($E169&lt;&gt;"",IF(N($F169)&gt;0,"Entregue com atraso","Entregue no prazo"),IF($D169="","Sem data prometida",IF($D169&lt;$L$1,"ATRASADA","Aguardando"))))</f>
        <v/>
      </c>
      <c r="H169" s="15"/>
      <c r="I169" s="15"/>
    </row>
    <row r="170" customFormat="false" ht="21" hidden="false" customHeight="true" outlineLevel="0" collapsed="false">
      <c r="A170" s="14"/>
      <c r="B170" s="15"/>
      <c r="C170" s="13"/>
      <c r="D170" s="13"/>
      <c r="E170" s="13"/>
      <c r="F170" s="14" t="str">
        <f aca="false">IF(OR($A170="",$D170="",$E170=""),"",MAX(0,$E170-$D170))</f>
        <v/>
      </c>
      <c r="G170" s="14" t="str">
        <f aca="false">IF($A170="","",IF($E170&lt;&gt;"",IF(N($F170)&gt;0,"Entregue com atraso","Entregue no prazo"),IF($D170="","Sem data prometida",IF($D170&lt;$L$1,"ATRASADA","Aguardando"))))</f>
        <v/>
      </c>
      <c r="H170" s="15"/>
      <c r="I170" s="15"/>
    </row>
    <row r="171" customFormat="false" ht="21" hidden="false" customHeight="true" outlineLevel="0" collapsed="false">
      <c r="A171" s="14"/>
      <c r="B171" s="15"/>
      <c r="C171" s="13"/>
      <c r="D171" s="13"/>
      <c r="E171" s="13"/>
      <c r="F171" s="14" t="str">
        <f aca="false">IF(OR($A171="",$D171="",$E171=""),"",MAX(0,$E171-$D171))</f>
        <v/>
      </c>
      <c r="G171" s="14" t="str">
        <f aca="false">IF($A171="","",IF($E171&lt;&gt;"",IF(N($F171)&gt;0,"Entregue com atraso","Entregue no prazo"),IF($D171="","Sem data prometida",IF($D171&lt;$L$1,"ATRASADA","Aguardando"))))</f>
        <v/>
      </c>
      <c r="H171" s="15"/>
      <c r="I171" s="15"/>
    </row>
    <row r="172" customFormat="false" ht="21" hidden="false" customHeight="true" outlineLevel="0" collapsed="false">
      <c r="A172" s="14"/>
      <c r="B172" s="15"/>
      <c r="C172" s="13"/>
      <c r="D172" s="13"/>
      <c r="E172" s="13"/>
      <c r="F172" s="14" t="str">
        <f aca="false">IF(OR($A172="",$D172="",$E172=""),"",MAX(0,$E172-$D172))</f>
        <v/>
      </c>
      <c r="G172" s="14" t="str">
        <f aca="false">IF($A172="","",IF($E172&lt;&gt;"",IF(N($F172)&gt;0,"Entregue com atraso","Entregue no prazo"),IF($D172="","Sem data prometida",IF($D172&lt;$L$1,"ATRASADA","Aguardando"))))</f>
        <v/>
      </c>
      <c r="H172" s="15"/>
      <c r="I172" s="15"/>
    </row>
    <row r="173" customFormat="false" ht="21" hidden="false" customHeight="true" outlineLevel="0" collapsed="false">
      <c r="A173" s="14"/>
      <c r="B173" s="15"/>
      <c r="C173" s="13"/>
      <c r="D173" s="13"/>
      <c r="E173" s="13"/>
      <c r="F173" s="14" t="str">
        <f aca="false">IF(OR($A173="",$D173="",$E173=""),"",MAX(0,$E173-$D173))</f>
        <v/>
      </c>
      <c r="G173" s="14" t="str">
        <f aca="false">IF($A173="","",IF($E173&lt;&gt;"",IF(N($F173)&gt;0,"Entregue com atraso","Entregue no prazo"),IF($D173="","Sem data prometida",IF($D173&lt;$L$1,"ATRASADA","Aguardando"))))</f>
        <v/>
      </c>
      <c r="H173" s="15"/>
      <c r="I173" s="15"/>
    </row>
    <row r="174" customFormat="false" ht="21" hidden="false" customHeight="true" outlineLevel="0" collapsed="false">
      <c r="A174" s="14"/>
      <c r="B174" s="15"/>
      <c r="C174" s="13"/>
      <c r="D174" s="13"/>
      <c r="E174" s="13"/>
      <c r="F174" s="14" t="str">
        <f aca="false">IF(OR($A174="",$D174="",$E174=""),"",MAX(0,$E174-$D174))</f>
        <v/>
      </c>
      <c r="G174" s="14" t="str">
        <f aca="false">IF($A174="","",IF($E174&lt;&gt;"",IF(N($F174)&gt;0,"Entregue com atraso","Entregue no prazo"),IF($D174="","Sem data prometida",IF($D174&lt;$L$1,"ATRASADA","Aguardando"))))</f>
        <v/>
      </c>
      <c r="H174" s="15"/>
      <c r="I174" s="15"/>
    </row>
    <row r="175" customFormat="false" ht="21" hidden="false" customHeight="true" outlineLevel="0" collapsed="false">
      <c r="A175" s="14"/>
      <c r="B175" s="15"/>
      <c r="C175" s="13"/>
      <c r="D175" s="13"/>
      <c r="E175" s="13"/>
      <c r="F175" s="14" t="str">
        <f aca="false">IF(OR($A175="",$D175="",$E175=""),"",MAX(0,$E175-$D175))</f>
        <v/>
      </c>
      <c r="G175" s="14" t="str">
        <f aca="false">IF($A175="","",IF($E175&lt;&gt;"",IF(N($F175)&gt;0,"Entregue com atraso","Entregue no prazo"),IF($D175="","Sem data prometida",IF($D175&lt;$L$1,"ATRASADA","Aguardando"))))</f>
        <v/>
      </c>
      <c r="H175" s="15"/>
      <c r="I175" s="15"/>
    </row>
    <row r="176" customFormat="false" ht="21" hidden="false" customHeight="true" outlineLevel="0" collapsed="false">
      <c r="A176" s="14"/>
      <c r="B176" s="15"/>
      <c r="C176" s="13"/>
      <c r="D176" s="13"/>
      <c r="E176" s="13"/>
      <c r="F176" s="14" t="str">
        <f aca="false">IF(OR($A176="",$D176="",$E176=""),"",MAX(0,$E176-$D176))</f>
        <v/>
      </c>
      <c r="G176" s="14" t="str">
        <f aca="false">IF($A176="","",IF($E176&lt;&gt;"",IF(N($F176)&gt;0,"Entregue com atraso","Entregue no prazo"),IF($D176="","Sem data prometida",IF($D176&lt;$L$1,"ATRASADA","Aguardando"))))</f>
        <v/>
      </c>
      <c r="H176" s="15"/>
      <c r="I176" s="15"/>
    </row>
    <row r="177" customFormat="false" ht="21" hidden="false" customHeight="true" outlineLevel="0" collapsed="false">
      <c r="A177" s="14"/>
      <c r="B177" s="15"/>
      <c r="C177" s="13"/>
      <c r="D177" s="13"/>
      <c r="E177" s="13"/>
      <c r="F177" s="14" t="str">
        <f aca="false">IF(OR($A177="",$D177="",$E177=""),"",MAX(0,$E177-$D177))</f>
        <v/>
      </c>
      <c r="G177" s="14" t="str">
        <f aca="false">IF($A177="","",IF($E177&lt;&gt;"",IF(N($F177)&gt;0,"Entregue com atraso","Entregue no prazo"),IF($D177="","Sem data prometida",IF($D177&lt;$L$1,"ATRASADA","Aguardando"))))</f>
        <v/>
      </c>
      <c r="H177" s="15"/>
      <c r="I177" s="15"/>
    </row>
    <row r="178" customFormat="false" ht="21" hidden="false" customHeight="true" outlineLevel="0" collapsed="false">
      <c r="A178" s="14"/>
      <c r="B178" s="15"/>
      <c r="C178" s="13"/>
      <c r="D178" s="13"/>
      <c r="E178" s="13"/>
      <c r="F178" s="14" t="str">
        <f aca="false">IF(OR($A178="",$D178="",$E178=""),"",MAX(0,$E178-$D178))</f>
        <v/>
      </c>
      <c r="G178" s="14" t="str">
        <f aca="false">IF($A178="","",IF($E178&lt;&gt;"",IF(N($F178)&gt;0,"Entregue com atraso","Entregue no prazo"),IF($D178="","Sem data prometida",IF($D178&lt;$L$1,"ATRASADA","Aguardando"))))</f>
        <v/>
      </c>
      <c r="H178" s="15"/>
      <c r="I178" s="15"/>
    </row>
    <row r="179" customFormat="false" ht="21" hidden="false" customHeight="true" outlineLevel="0" collapsed="false">
      <c r="A179" s="14"/>
      <c r="B179" s="15"/>
      <c r="C179" s="13"/>
      <c r="D179" s="13"/>
      <c r="E179" s="13"/>
      <c r="F179" s="14" t="str">
        <f aca="false">IF(OR($A179="",$D179="",$E179=""),"",MAX(0,$E179-$D179))</f>
        <v/>
      </c>
      <c r="G179" s="14" t="str">
        <f aca="false">IF($A179="","",IF($E179&lt;&gt;"",IF(N($F179)&gt;0,"Entregue com atraso","Entregue no prazo"),IF($D179="","Sem data prometida",IF($D179&lt;$L$1,"ATRASADA","Aguardando"))))</f>
        <v/>
      </c>
      <c r="H179" s="15"/>
      <c r="I179" s="15"/>
    </row>
    <row r="180" customFormat="false" ht="21" hidden="false" customHeight="true" outlineLevel="0" collapsed="false">
      <c r="A180" s="14"/>
      <c r="B180" s="15"/>
      <c r="C180" s="13"/>
      <c r="D180" s="13"/>
      <c r="E180" s="13"/>
      <c r="F180" s="14" t="str">
        <f aca="false">IF(OR($A180="",$D180="",$E180=""),"",MAX(0,$E180-$D180))</f>
        <v/>
      </c>
      <c r="G180" s="14" t="str">
        <f aca="false">IF($A180="","",IF($E180&lt;&gt;"",IF(N($F180)&gt;0,"Entregue com atraso","Entregue no prazo"),IF($D180="","Sem data prometida",IF($D180&lt;$L$1,"ATRASADA","Aguardando"))))</f>
        <v/>
      </c>
      <c r="H180" s="15"/>
      <c r="I180" s="15"/>
    </row>
    <row r="181" customFormat="false" ht="21" hidden="false" customHeight="true" outlineLevel="0" collapsed="false">
      <c r="A181" s="14"/>
      <c r="B181" s="15"/>
      <c r="C181" s="13"/>
      <c r="D181" s="13"/>
      <c r="E181" s="13"/>
      <c r="F181" s="14" t="str">
        <f aca="false">IF(OR($A181="",$D181="",$E181=""),"",MAX(0,$E181-$D181))</f>
        <v/>
      </c>
      <c r="G181" s="14" t="str">
        <f aca="false">IF($A181="","",IF($E181&lt;&gt;"",IF(N($F181)&gt;0,"Entregue com atraso","Entregue no prazo"),IF($D181="","Sem data prometida",IF($D181&lt;$L$1,"ATRASADA","Aguardando"))))</f>
        <v/>
      </c>
      <c r="H181" s="15"/>
      <c r="I181" s="15"/>
    </row>
    <row r="182" customFormat="false" ht="21" hidden="false" customHeight="true" outlineLevel="0" collapsed="false">
      <c r="A182" s="14"/>
      <c r="B182" s="15"/>
      <c r="C182" s="13"/>
      <c r="D182" s="13"/>
      <c r="E182" s="13"/>
      <c r="F182" s="14" t="str">
        <f aca="false">IF(OR($A182="",$D182="",$E182=""),"",MAX(0,$E182-$D182))</f>
        <v/>
      </c>
      <c r="G182" s="14" t="str">
        <f aca="false">IF($A182="","",IF($E182&lt;&gt;"",IF(N($F182)&gt;0,"Entregue com atraso","Entregue no prazo"),IF($D182="","Sem data prometida",IF($D182&lt;$L$1,"ATRASADA","Aguardando"))))</f>
        <v/>
      </c>
      <c r="H182" s="15"/>
      <c r="I182" s="15"/>
    </row>
    <row r="183" customFormat="false" ht="21" hidden="false" customHeight="true" outlineLevel="0" collapsed="false">
      <c r="A183" s="14"/>
      <c r="B183" s="15"/>
      <c r="C183" s="13"/>
      <c r="D183" s="13"/>
      <c r="E183" s="13"/>
      <c r="F183" s="14" t="str">
        <f aca="false">IF(OR($A183="",$D183="",$E183=""),"",MAX(0,$E183-$D183))</f>
        <v/>
      </c>
      <c r="G183" s="14" t="str">
        <f aca="false">IF($A183="","",IF($E183&lt;&gt;"",IF(N($F183)&gt;0,"Entregue com atraso","Entregue no prazo"),IF($D183="","Sem data prometida",IF($D183&lt;$L$1,"ATRASADA","Aguardando"))))</f>
        <v/>
      </c>
      <c r="H183" s="15"/>
      <c r="I183" s="15"/>
    </row>
    <row r="184" customFormat="false" ht="21" hidden="false" customHeight="true" outlineLevel="0" collapsed="false">
      <c r="A184" s="14"/>
      <c r="B184" s="15"/>
      <c r="C184" s="13"/>
      <c r="D184" s="13"/>
      <c r="E184" s="13"/>
      <c r="F184" s="14" t="str">
        <f aca="false">IF(OR($A184="",$D184="",$E184=""),"",MAX(0,$E184-$D184))</f>
        <v/>
      </c>
      <c r="G184" s="14" t="str">
        <f aca="false">IF($A184="","",IF($E184&lt;&gt;"",IF(N($F184)&gt;0,"Entregue com atraso","Entregue no prazo"),IF($D184="","Sem data prometida",IF($D184&lt;$L$1,"ATRASADA","Aguardando"))))</f>
        <v/>
      </c>
      <c r="H184" s="15"/>
      <c r="I184" s="15"/>
    </row>
    <row r="185" customFormat="false" ht="21" hidden="false" customHeight="true" outlineLevel="0" collapsed="false">
      <c r="A185" s="14"/>
      <c r="B185" s="15"/>
      <c r="C185" s="13"/>
      <c r="D185" s="13"/>
      <c r="E185" s="13"/>
      <c r="F185" s="14" t="str">
        <f aca="false">IF(OR($A185="",$D185="",$E185=""),"",MAX(0,$E185-$D185))</f>
        <v/>
      </c>
      <c r="G185" s="14" t="str">
        <f aca="false">IF($A185="","",IF($E185&lt;&gt;"",IF(N($F185)&gt;0,"Entregue com atraso","Entregue no prazo"),IF($D185="","Sem data prometida",IF($D185&lt;$L$1,"ATRASADA","Aguardando"))))</f>
        <v/>
      </c>
      <c r="H185" s="15"/>
      <c r="I185" s="15"/>
    </row>
    <row r="186" customFormat="false" ht="21" hidden="false" customHeight="true" outlineLevel="0" collapsed="false">
      <c r="A186" s="14"/>
      <c r="B186" s="15"/>
      <c r="C186" s="13"/>
      <c r="D186" s="13"/>
      <c r="E186" s="13"/>
      <c r="F186" s="14" t="str">
        <f aca="false">IF(OR($A186="",$D186="",$E186=""),"",MAX(0,$E186-$D186))</f>
        <v/>
      </c>
      <c r="G186" s="14" t="str">
        <f aca="false">IF($A186="","",IF($E186&lt;&gt;"",IF(N($F186)&gt;0,"Entregue com atraso","Entregue no prazo"),IF($D186="","Sem data prometida",IF($D186&lt;$L$1,"ATRASADA","Aguardando"))))</f>
        <v/>
      </c>
      <c r="H186" s="15"/>
      <c r="I186" s="15"/>
    </row>
    <row r="187" customFormat="false" ht="21" hidden="false" customHeight="true" outlineLevel="0" collapsed="false">
      <c r="A187" s="14"/>
      <c r="B187" s="15"/>
      <c r="C187" s="13"/>
      <c r="D187" s="13"/>
      <c r="E187" s="13"/>
      <c r="F187" s="14" t="str">
        <f aca="false">IF(OR($A187="",$D187="",$E187=""),"",MAX(0,$E187-$D187))</f>
        <v/>
      </c>
      <c r="G187" s="14" t="str">
        <f aca="false">IF($A187="","",IF($E187&lt;&gt;"",IF(N($F187)&gt;0,"Entregue com atraso","Entregue no prazo"),IF($D187="","Sem data prometida",IF($D187&lt;$L$1,"ATRASADA","Aguardando"))))</f>
        <v/>
      </c>
      <c r="H187" s="15"/>
      <c r="I187" s="15"/>
    </row>
    <row r="188" customFormat="false" ht="21" hidden="false" customHeight="true" outlineLevel="0" collapsed="false">
      <c r="A188" s="14"/>
      <c r="B188" s="15"/>
      <c r="C188" s="13"/>
      <c r="D188" s="13"/>
      <c r="E188" s="13"/>
      <c r="F188" s="14" t="str">
        <f aca="false">IF(OR($A188="",$D188="",$E188=""),"",MAX(0,$E188-$D188))</f>
        <v/>
      </c>
      <c r="G188" s="14" t="str">
        <f aca="false">IF($A188="","",IF($E188&lt;&gt;"",IF(N($F188)&gt;0,"Entregue com atraso","Entregue no prazo"),IF($D188="","Sem data prometida",IF($D188&lt;$L$1,"ATRASADA","Aguardando"))))</f>
        <v/>
      </c>
      <c r="H188" s="15"/>
      <c r="I188" s="15"/>
    </row>
    <row r="189" customFormat="false" ht="21" hidden="false" customHeight="true" outlineLevel="0" collapsed="false">
      <c r="A189" s="14"/>
      <c r="B189" s="15"/>
      <c r="C189" s="13"/>
      <c r="D189" s="13"/>
      <c r="E189" s="13"/>
      <c r="F189" s="14" t="str">
        <f aca="false">IF(OR($A189="",$D189="",$E189=""),"",MAX(0,$E189-$D189))</f>
        <v/>
      </c>
      <c r="G189" s="14" t="str">
        <f aca="false">IF($A189="","",IF($E189&lt;&gt;"",IF(N($F189)&gt;0,"Entregue com atraso","Entregue no prazo"),IF($D189="","Sem data prometida",IF($D189&lt;$L$1,"ATRASADA","Aguardando"))))</f>
        <v/>
      </c>
      <c r="H189" s="15"/>
      <c r="I189" s="15"/>
    </row>
    <row r="190" customFormat="false" ht="21" hidden="false" customHeight="true" outlineLevel="0" collapsed="false">
      <c r="A190" s="14"/>
      <c r="B190" s="15"/>
      <c r="C190" s="13"/>
      <c r="D190" s="13"/>
      <c r="E190" s="13"/>
      <c r="F190" s="14" t="str">
        <f aca="false">IF(OR($A190="",$D190="",$E190=""),"",MAX(0,$E190-$D190))</f>
        <v/>
      </c>
      <c r="G190" s="14" t="str">
        <f aca="false">IF($A190="","",IF($E190&lt;&gt;"",IF(N($F190)&gt;0,"Entregue com atraso","Entregue no prazo"),IF($D190="","Sem data prometida",IF($D190&lt;$L$1,"ATRASADA","Aguardando"))))</f>
        <v/>
      </c>
      <c r="H190" s="15"/>
      <c r="I190" s="15"/>
    </row>
    <row r="191" customFormat="false" ht="21" hidden="false" customHeight="true" outlineLevel="0" collapsed="false">
      <c r="A191" s="14"/>
      <c r="B191" s="15"/>
      <c r="C191" s="13"/>
      <c r="D191" s="13"/>
      <c r="E191" s="13"/>
      <c r="F191" s="14" t="str">
        <f aca="false">IF(OR($A191="",$D191="",$E191=""),"",MAX(0,$E191-$D191))</f>
        <v/>
      </c>
      <c r="G191" s="14" t="str">
        <f aca="false">IF($A191="","",IF($E191&lt;&gt;"",IF(N($F191)&gt;0,"Entregue com atraso","Entregue no prazo"),IF($D191="","Sem data prometida",IF($D191&lt;$L$1,"ATRASADA","Aguardando"))))</f>
        <v/>
      </c>
      <c r="H191" s="15"/>
      <c r="I191" s="15"/>
    </row>
    <row r="192" customFormat="false" ht="21" hidden="false" customHeight="true" outlineLevel="0" collapsed="false">
      <c r="A192" s="14"/>
      <c r="B192" s="15"/>
      <c r="C192" s="13"/>
      <c r="D192" s="13"/>
      <c r="E192" s="13"/>
      <c r="F192" s="14" t="str">
        <f aca="false">IF(OR($A192="",$D192="",$E192=""),"",MAX(0,$E192-$D192))</f>
        <v/>
      </c>
      <c r="G192" s="14" t="str">
        <f aca="false">IF($A192="","",IF($E192&lt;&gt;"",IF(N($F192)&gt;0,"Entregue com atraso","Entregue no prazo"),IF($D192="","Sem data prometida",IF($D192&lt;$L$1,"ATRASADA","Aguardando"))))</f>
        <v/>
      </c>
      <c r="H192" s="15"/>
      <c r="I192" s="15"/>
    </row>
    <row r="193" customFormat="false" ht="21" hidden="false" customHeight="true" outlineLevel="0" collapsed="false">
      <c r="A193" s="14"/>
      <c r="B193" s="15"/>
      <c r="C193" s="13"/>
      <c r="D193" s="13"/>
      <c r="E193" s="13"/>
      <c r="F193" s="14" t="str">
        <f aca="false">IF(OR($A193="",$D193="",$E193=""),"",MAX(0,$E193-$D193))</f>
        <v/>
      </c>
      <c r="G193" s="14" t="str">
        <f aca="false">IF($A193="","",IF($E193&lt;&gt;"",IF(N($F193)&gt;0,"Entregue com atraso","Entregue no prazo"),IF($D193="","Sem data prometida",IF($D193&lt;$L$1,"ATRASADA","Aguardando"))))</f>
        <v/>
      </c>
      <c r="H193" s="15"/>
      <c r="I193" s="15"/>
    </row>
    <row r="194" customFormat="false" ht="21" hidden="false" customHeight="true" outlineLevel="0" collapsed="false">
      <c r="A194" s="14"/>
      <c r="B194" s="15"/>
      <c r="C194" s="13"/>
      <c r="D194" s="13"/>
      <c r="E194" s="13"/>
      <c r="F194" s="14" t="str">
        <f aca="false">IF(OR($A194="",$D194="",$E194=""),"",MAX(0,$E194-$D194))</f>
        <v/>
      </c>
      <c r="G194" s="14" t="str">
        <f aca="false">IF($A194="","",IF($E194&lt;&gt;"",IF(N($F194)&gt;0,"Entregue com atraso","Entregue no prazo"),IF($D194="","Sem data prometida",IF($D194&lt;$L$1,"ATRASADA","Aguardando"))))</f>
        <v/>
      </c>
      <c r="H194" s="15"/>
      <c r="I194" s="15"/>
    </row>
    <row r="195" customFormat="false" ht="21" hidden="false" customHeight="true" outlineLevel="0" collapsed="false">
      <c r="A195" s="14"/>
      <c r="B195" s="15"/>
      <c r="C195" s="13"/>
      <c r="D195" s="13"/>
      <c r="E195" s="13"/>
      <c r="F195" s="14" t="str">
        <f aca="false">IF(OR($A195="",$D195="",$E195=""),"",MAX(0,$E195-$D195))</f>
        <v/>
      </c>
      <c r="G195" s="14" t="str">
        <f aca="false">IF($A195="","",IF($E195&lt;&gt;"",IF(N($F195)&gt;0,"Entregue com atraso","Entregue no prazo"),IF($D195="","Sem data prometida",IF($D195&lt;$L$1,"ATRASADA","Aguardando"))))</f>
        <v/>
      </c>
      <c r="H195" s="15"/>
      <c r="I195" s="15"/>
    </row>
    <row r="196" customFormat="false" ht="21" hidden="false" customHeight="true" outlineLevel="0" collapsed="false">
      <c r="A196" s="14"/>
      <c r="B196" s="15"/>
      <c r="C196" s="13"/>
      <c r="D196" s="13"/>
      <c r="E196" s="13"/>
      <c r="F196" s="14" t="str">
        <f aca="false">IF(OR($A196="",$D196="",$E196=""),"",MAX(0,$E196-$D196))</f>
        <v/>
      </c>
      <c r="G196" s="14" t="str">
        <f aca="false">IF($A196="","",IF($E196&lt;&gt;"",IF(N($F196)&gt;0,"Entregue com atraso","Entregue no prazo"),IF($D196="","Sem data prometida",IF($D196&lt;$L$1,"ATRASADA","Aguardando"))))</f>
        <v/>
      </c>
      <c r="H196" s="15"/>
      <c r="I196" s="15"/>
    </row>
    <row r="197" customFormat="false" ht="21" hidden="false" customHeight="true" outlineLevel="0" collapsed="false">
      <c r="A197" s="14"/>
      <c r="B197" s="15"/>
      <c r="C197" s="13"/>
      <c r="D197" s="13"/>
      <c r="E197" s="13"/>
      <c r="F197" s="14" t="str">
        <f aca="false">IF(OR($A197="",$D197="",$E197=""),"",MAX(0,$E197-$D197))</f>
        <v/>
      </c>
      <c r="G197" s="14" t="str">
        <f aca="false">IF($A197="","",IF($E197&lt;&gt;"",IF(N($F197)&gt;0,"Entregue com atraso","Entregue no prazo"),IF($D197="","Sem data prometida",IF($D197&lt;$L$1,"ATRASADA","Aguardando"))))</f>
        <v/>
      </c>
      <c r="H197" s="15"/>
      <c r="I197" s="15"/>
    </row>
    <row r="198" customFormat="false" ht="21" hidden="false" customHeight="true" outlineLevel="0" collapsed="false">
      <c r="A198" s="14"/>
      <c r="B198" s="15"/>
      <c r="C198" s="13"/>
      <c r="D198" s="13"/>
      <c r="E198" s="13"/>
      <c r="F198" s="14" t="str">
        <f aca="false">IF(OR($A198="",$D198="",$E198=""),"",MAX(0,$E198-$D198))</f>
        <v/>
      </c>
      <c r="G198" s="14" t="str">
        <f aca="false">IF($A198="","",IF($E198&lt;&gt;"",IF(N($F198)&gt;0,"Entregue com atraso","Entregue no prazo"),IF($D198="","Sem data prometida",IF($D198&lt;$L$1,"ATRASADA","Aguardando"))))</f>
        <v/>
      </c>
      <c r="H198" s="15"/>
      <c r="I198" s="15"/>
    </row>
    <row r="199" customFormat="false" ht="21" hidden="false" customHeight="true" outlineLevel="0" collapsed="false">
      <c r="A199" s="14"/>
      <c r="B199" s="15"/>
      <c r="C199" s="13"/>
      <c r="D199" s="13"/>
      <c r="E199" s="13"/>
      <c r="F199" s="14" t="str">
        <f aca="false">IF(OR($A199="",$D199="",$E199=""),"",MAX(0,$E199-$D199))</f>
        <v/>
      </c>
      <c r="G199" s="14" t="str">
        <f aca="false">IF($A199="","",IF($E199&lt;&gt;"",IF(N($F199)&gt;0,"Entregue com atraso","Entregue no prazo"),IF($D199="","Sem data prometida",IF($D199&lt;$L$1,"ATRASADA","Aguardando"))))</f>
        <v/>
      </c>
      <c r="H199" s="15"/>
      <c r="I199" s="15"/>
    </row>
    <row r="200" customFormat="false" ht="21" hidden="false" customHeight="true" outlineLevel="0" collapsed="false">
      <c r="A200" s="14"/>
      <c r="B200" s="15"/>
      <c r="C200" s="13"/>
      <c r="D200" s="13"/>
      <c r="E200" s="13"/>
      <c r="F200" s="14" t="str">
        <f aca="false">IF(OR($A200="",$D200="",$E200=""),"",MAX(0,$E200-$D200))</f>
        <v/>
      </c>
      <c r="G200" s="14" t="str">
        <f aca="false">IF($A200="","",IF($E200&lt;&gt;"",IF(N($F200)&gt;0,"Entregue com atraso","Entregue no prazo"),IF($D200="","Sem data prometida",IF($D200&lt;$L$1,"ATRASADA","Aguardando"))))</f>
        <v/>
      </c>
      <c r="H200" s="15"/>
      <c r="I200" s="15"/>
    </row>
    <row r="201" customFormat="false" ht="21" hidden="false" customHeight="true" outlineLevel="0" collapsed="false">
      <c r="A201" s="14"/>
      <c r="B201" s="15"/>
      <c r="C201" s="13"/>
      <c r="D201" s="13"/>
      <c r="E201" s="13"/>
      <c r="F201" s="14" t="str">
        <f aca="false">IF(OR($A201="",$D201="",$E201=""),"",MAX(0,$E201-$D201))</f>
        <v/>
      </c>
      <c r="G201" s="14" t="str">
        <f aca="false">IF($A201="","",IF($E201&lt;&gt;"",IF(N($F201)&gt;0,"Entregue com atraso","Entregue no prazo"),IF($D201="","Sem data prometida",IF($D201&lt;$L$1,"ATRASADA","Aguardando"))))</f>
        <v/>
      </c>
      <c r="H201" s="15"/>
      <c r="I201" s="15"/>
    </row>
    <row r="202" customFormat="false" ht="21" hidden="false" customHeight="true" outlineLevel="0" collapsed="false">
      <c r="A202" s="14"/>
      <c r="B202" s="15"/>
      <c r="C202" s="13"/>
      <c r="D202" s="13"/>
      <c r="E202" s="13"/>
      <c r="F202" s="14" t="str">
        <f aca="false">IF(OR($A202="",$D202="",$E202=""),"",MAX(0,$E202-$D202))</f>
        <v/>
      </c>
      <c r="G202" s="14" t="str">
        <f aca="false">IF($A202="","",IF($E202&lt;&gt;"",IF(N($F202)&gt;0,"Entregue com atraso","Entregue no prazo"),IF($D202="","Sem data prometida",IF($D202&lt;$L$1,"ATRASADA","Aguardando"))))</f>
        <v/>
      </c>
      <c r="H202" s="15"/>
      <c r="I202" s="15"/>
    </row>
    <row r="203" customFormat="false" ht="21" hidden="false" customHeight="true" outlineLevel="0" collapsed="false">
      <c r="A203" s="14"/>
      <c r="B203" s="15"/>
      <c r="C203" s="13"/>
      <c r="D203" s="13"/>
      <c r="E203" s="13"/>
      <c r="F203" s="14" t="str">
        <f aca="false">IF(OR($A203="",$D203="",$E203=""),"",MAX(0,$E203-$D203))</f>
        <v/>
      </c>
      <c r="G203" s="14" t="str">
        <f aca="false">IF($A203="","",IF($E203&lt;&gt;"",IF(N($F203)&gt;0,"Entregue com atraso","Entregue no prazo"),IF($D203="","Sem data prometida",IF($D203&lt;$L$1,"ATRASADA","Aguardando"))))</f>
        <v/>
      </c>
      <c r="H203" s="15"/>
      <c r="I203" s="15"/>
    </row>
    <row r="204" customFormat="false" ht="21" hidden="false" customHeight="true" outlineLevel="0" collapsed="false">
      <c r="A204" s="14"/>
      <c r="B204" s="15"/>
      <c r="C204" s="13"/>
      <c r="D204" s="13"/>
      <c r="E204" s="13"/>
      <c r="F204" s="14" t="str">
        <f aca="false">IF(OR($A204="",$D204="",$E204=""),"",MAX(0,$E204-$D204))</f>
        <v/>
      </c>
      <c r="G204" s="14" t="str">
        <f aca="false">IF($A204="","",IF($E204&lt;&gt;"",IF(N($F204)&gt;0,"Entregue com atraso","Entregue no prazo"),IF($D204="","Sem data prometida",IF($D204&lt;$L$1,"ATRASADA","Aguardando"))))</f>
        <v/>
      </c>
      <c r="H204" s="15"/>
      <c r="I204" s="15"/>
    </row>
    <row r="205" customFormat="false" ht="21" hidden="false" customHeight="true" outlineLevel="0" collapsed="false">
      <c r="A205" s="14"/>
      <c r="B205" s="15"/>
      <c r="C205" s="13"/>
      <c r="D205" s="13"/>
      <c r="E205" s="13"/>
      <c r="F205" s="14" t="str">
        <f aca="false">IF(OR($A205="",$D205="",$E205=""),"",MAX(0,$E205-$D205))</f>
        <v/>
      </c>
      <c r="G205" s="14" t="str">
        <f aca="false">IF($A205="","",IF($E205&lt;&gt;"",IF(N($F205)&gt;0,"Entregue com atraso","Entregue no prazo"),IF($D205="","Sem data prometida",IF($D205&lt;$L$1,"ATRASADA","Aguardando"))))</f>
        <v/>
      </c>
      <c r="H205" s="15"/>
      <c r="I205" s="15"/>
    </row>
    <row r="206" customFormat="false" ht="21" hidden="false" customHeight="true" outlineLevel="0" collapsed="false">
      <c r="A206" s="14"/>
      <c r="B206" s="15"/>
      <c r="C206" s="13"/>
      <c r="D206" s="13"/>
      <c r="E206" s="13"/>
      <c r="F206" s="14" t="str">
        <f aca="false">IF(OR($A206="",$D206="",$E206=""),"",MAX(0,$E206-$D206))</f>
        <v/>
      </c>
      <c r="G206" s="14" t="str">
        <f aca="false">IF($A206="","",IF($E206&lt;&gt;"",IF(N($F206)&gt;0,"Entregue com atraso","Entregue no prazo"),IF($D206="","Sem data prometida",IF($D206&lt;$L$1,"ATRASADA","Aguardando"))))</f>
        <v/>
      </c>
      <c r="H206" s="15"/>
      <c r="I206" s="15"/>
    </row>
    <row r="207" customFormat="false" ht="21" hidden="false" customHeight="true" outlineLevel="0" collapsed="false">
      <c r="A207" s="14"/>
      <c r="B207" s="15"/>
      <c r="C207" s="13"/>
      <c r="D207" s="13"/>
      <c r="E207" s="13"/>
      <c r="F207" s="14" t="str">
        <f aca="false">IF(OR($A207="",$D207="",$E207=""),"",MAX(0,$E207-$D207))</f>
        <v/>
      </c>
      <c r="G207" s="14" t="str">
        <f aca="false">IF($A207="","",IF($E207&lt;&gt;"",IF(N($F207)&gt;0,"Entregue com atraso","Entregue no prazo"),IF($D207="","Sem data prometida",IF($D207&lt;$L$1,"ATRASADA","Aguardando"))))</f>
        <v/>
      </c>
      <c r="H207" s="15"/>
      <c r="I207" s="15"/>
    </row>
    <row r="208" customFormat="false" ht="21" hidden="false" customHeight="true" outlineLevel="0" collapsed="false">
      <c r="A208" s="14"/>
      <c r="B208" s="15"/>
      <c r="C208" s="13"/>
      <c r="D208" s="13"/>
      <c r="E208" s="13"/>
      <c r="F208" s="14" t="str">
        <f aca="false">IF(OR($A208="",$D208="",$E208=""),"",MAX(0,$E208-$D208))</f>
        <v/>
      </c>
      <c r="G208" s="14" t="str">
        <f aca="false">IF($A208="","",IF($E208&lt;&gt;"",IF(N($F208)&gt;0,"Entregue com atraso","Entregue no prazo"),IF($D208="","Sem data prometida",IF($D208&lt;$L$1,"ATRASADA","Aguardando"))))</f>
        <v/>
      </c>
      <c r="H208" s="15"/>
      <c r="I208" s="15"/>
    </row>
    <row r="209" customFormat="false" ht="21" hidden="false" customHeight="true" outlineLevel="0" collapsed="false">
      <c r="A209" s="14"/>
      <c r="B209" s="15"/>
      <c r="C209" s="13"/>
      <c r="D209" s="13"/>
      <c r="E209" s="13"/>
      <c r="F209" s="14" t="str">
        <f aca="false">IF(OR($A209="",$D209="",$E209=""),"",MAX(0,$E209-$D209))</f>
        <v/>
      </c>
      <c r="G209" s="14" t="str">
        <f aca="false">IF($A209="","",IF($E209&lt;&gt;"",IF(N($F209)&gt;0,"Entregue com atraso","Entregue no prazo"),IF($D209="","Sem data prometida",IF($D209&lt;$L$1,"ATRASADA","Aguardando"))))</f>
        <v/>
      </c>
      <c r="H209" s="15"/>
      <c r="I209" s="15"/>
    </row>
    <row r="210" customFormat="false" ht="21" hidden="false" customHeight="true" outlineLevel="0" collapsed="false">
      <c r="A210" s="14"/>
      <c r="B210" s="15"/>
      <c r="C210" s="13"/>
      <c r="D210" s="13"/>
      <c r="E210" s="13"/>
      <c r="F210" s="14" t="str">
        <f aca="false">IF(OR($A210="",$D210="",$E210=""),"",MAX(0,$E210-$D210))</f>
        <v/>
      </c>
      <c r="G210" s="14" t="str">
        <f aca="false">IF($A210="","",IF($E210&lt;&gt;"",IF(N($F210)&gt;0,"Entregue com atraso","Entregue no prazo"),IF($D210="","Sem data prometida",IF($D210&lt;$L$1,"ATRASADA","Aguardando"))))</f>
        <v/>
      </c>
      <c r="H210" s="15"/>
      <c r="I210" s="15"/>
    </row>
    <row r="211" customFormat="false" ht="21" hidden="false" customHeight="true" outlineLevel="0" collapsed="false">
      <c r="A211" s="14"/>
      <c r="B211" s="15"/>
      <c r="C211" s="13"/>
      <c r="D211" s="13"/>
      <c r="E211" s="13"/>
      <c r="F211" s="14" t="str">
        <f aca="false">IF(OR($A211="",$D211="",$E211=""),"",MAX(0,$E211-$D211))</f>
        <v/>
      </c>
      <c r="G211" s="14" t="str">
        <f aca="false">IF($A211="","",IF($E211&lt;&gt;"",IF(N($F211)&gt;0,"Entregue com atraso","Entregue no prazo"),IF($D211="","Sem data prometida",IF($D211&lt;$L$1,"ATRASADA","Aguardando"))))</f>
        <v/>
      </c>
      <c r="H211" s="15"/>
      <c r="I211" s="15"/>
    </row>
    <row r="212" customFormat="false" ht="21" hidden="false" customHeight="true" outlineLevel="0" collapsed="false">
      <c r="A212" s="14"/>
      <c r="B212" s="15"/>
      <c r="C212" s="13"/>
      <c r="D212" s="13"/>
      <c r="E212" s="13"/>
      <c r="F212" s="14" t="str">
        <f aca="false">IF(OR($A212="",$D212="",$E212=""),"",MAX(0,$E212-$D212))</f>
        <v/>
      </c>
      <c r="G212" s="14" t="str">
        <f aca="false">IF($A212="","",IF($E212&lt;&gt;"",IF(N($F212)&gt;0,"Entregue com atraso","Entregue no prazo"),IF($D212="","Sem data prometida",IF($D212&lt;$L$1,"ATRASADA","Aguardando"))))</f>
        <v/>
      </c>
      <c r="H212" s="15"/>
      <c r="I212" s="15"/>
    </row>
    <row r="213" customFormat="false" ht="21" hidden="false" customHeight="true" outlineLevel="0" collapsed="false">
      <c r="A213" s="14"/>
      <c r="B213" s="15"/>
      <c r="C213" s="13"/>
      <c r="D213" s="13"/>
      <c r="E213" s="13"/>
      <c r="F213" s="14" t="str">
        <f aca="false">IF(OR($A213="",$D213="",$E213=""),"",MAX(0,$E213-$D213))</f>
        <v/>
      </c>
      <c r="G213" s="14" t="str">
        <f aca="false">IF($A213="","",IF($E213&lt;&gt;"",IF(N($F213)&gt;0,"Entregue com atraso","Entregue no prazo"),IF($D213="","Sem data prometida",IF($D213&lt;$L$1,"ATRASADA","Aguardando"))))</f>
        <v/>
      </c>
      <c r="H213" s="15"/>
      <c r="I213" s="15"/>
    </row>
    <row r="214" customFormat="false" ht="21" hidden="false" customHeight="true" outlineLevel="0" collapsed="false">
      <c r="A214" s="14"/>
      <c r="B214" s="15"/>
      <c r="C214" s="13"/>
      <c r="D214" s="13"/>
      <c r="E214" s="13"/>
      <c r="F214" s="14" t="str">
        <f aca="false">IF(OR($A214="",$D214="",$E214=""),"",MAX(0,$E214-$D214))</f>
        <v/>
      </c>
      <c r="G214" s="14" t="str">
        <f aca="false">IF($A214="","",IF($E214&lt;&gt;"",IF(N($F214)&gt;0,"Entregue com atraso","Entregue no prazo"),IF($D214="","Sem data prometida",IF($D214&lt;$L$1,"ATRASADA","Aguardando"))))</f>
        <v/>
      </c>
      <c r="H214" s="15"/>
      <c r="I214" s="15"/>
    </row>
    <row r="215" customFormat="false" ht="21" hidden="false" customHeight="true" outlineLevel="0" collapsed="false">
      <c r="A215" s="14"/>
      <c r="B215" s="15"/>
      <c r="C215" s="13"/>
      <c r="D215" s="13"/>
      <c r="E215" s="13"/>
      <c r="F215" s="14" t="str">
        <f aca="false">IF(OR($A215="",$D215="",$E215=""),"",MAX(0,$E215-$D215))</f>
        <v/>
      </c>
      <c r="G215" s="14" t="str">
        <f aca="false">IF($A215="","",IF($E215&lt;&gt;"",IF(N($F215)&gt;0,"Entregue com atraso","Entregue no prazo"),IF($D215="","Sem data prometida",IF($D215&lt;$L$1,"ATRASADA","Aguardando"))))</f>
        <v/>
      </c>
      <c r="H215" s="15"/>
      <c r="I215" s="15"/>
    </row>
    <row r="216" customFormat="false" ht="21" hidden="false" customHeight="true" outlineLevel="0" collapsed="false">
      <c r="A216" s="14"/>
      <c r="B216" s="15"/>
      <c r="C216" s="13"/>
      <c r="D216" s="13"/>
      <c r="E216" s="13"/>
      <c r="F216" s="14" t="str">
        <f aca="false">IF(OR($A216="",$D216="",$E216=""),"",MAX(0,$E216-$D216))</f>
        <v/>
      </c>
      <c r="G216" s="14" t="str">
        <f aca="false">IF($A216="","",IF($E216&lt;&gt;"",IF(N($F216)&gt;0,"Entregue com atraso","Entregue no prazo"),IF($D216="","Sem data prometida",IF($D216&lt;$L$1,"ATRASADA","Aguardando"))))</f>
        <v/>
      </c>
      <c r="H216" s="15"/>
      <c r="I216" s="15"/>
    </row>
    <row r="217" customFormat="false" ht="21" hidden="false" customHeight="true" outlineLevel="0" collapsed="false">
      <c r="A217" s="14"/>
      <c r="B217" s="15"/>
      <c r="C217" s="13"/>
      <c r="D217" s="13"/>
      <c r="E217" s="13"/>
      <c r="F217" s="14" t="str">
        <f aca="false">IF(OR($A217="",$D217="",$E217=""),"",MAX(0,$E217-$D217))</f>
        <v/>
      </c>
      <c r="G217" s="14" t="str">
        <f aca="false">IF($A217="","",IF($E217&lt;&gt;"",IF(N($F217)&gt;0,"Entregue com atraso","Entregue no prazo"),IF($D217="","Sem data prometida",IF($D217&lt;$L$1,"ATRASADA","Aguardando"))))</f>
        <v/>
      </c>
      <c r="H217" s="15"/>
      <c r="I217" s="15"/>
    </row>
    <row r="218" customFormat="false" ht="21" hidden="false" customHeight="true" outlineLevel="0" collapsed="false">
      <c r="A218" s="14"/>
      <c r="B218" s="15"/>
      <c r="C218" s="13"/>
      <c r="D218" s="13"/>
      <c r="E218" s="13"/>
      <c r="F218" s="14" t="str">
        <f aca="false">IF(OR($A218="",$D218="",$E218=""),"",MAX(0,$E218-$D218))</f>
        <v/>
      </c>
      <c r="G218" s="14" t="str">
        <f aca="false">IF($A218="","",IF($E218&lt;&gt;"",IF(N($F218)&gt;0,"Entregue com atraso","Entregue no prazo"),IF($D218="","Sem data prometida",IF($D218&lt;$L$1,"ATRASADA","Aguardando"))))</f>
        <v/>
      </c>
      <c r="H218" s="15"/>
      <c r="I218" s="15"/>
    </row>
    <row r="219" customFormat="false" ht="21" hidden="false" customHeight="true" outlineLevel="0" collapsed="false">
      <c r="A219" s="14"/>
      <c r="B219" s="15"/>
      <c r="C219" s="13"/>
      <c r="D219" s="13"/>
      <c r="E219" s="13"/>
      <c r="F219" s="14" t="str">
        <f aca="false">IF(OR($A219="",$D219="",$E219=""),"",MAX(0,$E219-$D219))</f>
        <v/>
      </c>
      <c r="G219" s="14" t="str">
        <f aca="false">IF($A219="","",IF($E219&lt;&gt;"",IF(N($F219)&gt;0,"Entregue com atraso","Entregue no prazo"),IF($D219="","Sem data prometida",IF($D219&lt;$L$1,"ATRASADA","Aguardando"))))</f>
        <v/>
      </c>
      <c r="H219" s="15"/>
      <c r="I219" s="15"/>
    </row>
    <row r="220" customFormat="false" ht="21" hidden="false" customHeight="true" outlineLevel="0" collapsed="false">
      <c r="A220" s="14"/>
      <c r="B220" s="15"/>
      <c r="C220" s="13"/>
      <c r="D220" s="13"/>
      <c r="E220" s="13"/>
      <c r="F220" s="14" t="str">
        <f aca="false">IF(OR($A220="",$D220="",$E220=""),"",MAX(0,$E220-$D220))</f>
        <v/>
      </c>
      <c r="G220" s="14" t="str">
        <f aca="false">IF($A220="","",IF($E220&lt;&gt;"",IF(N($F220)&gt;0,"Entregue com atraso","Entregue no prazo"),IF($D220="","Sem data prometida",IF($D220&lt;$L$1,"ATRASADA","Aguardando"))))</f>
        <v/>
      </c>
      <c r="H220" s="15"/>
      <c r="I220" s="15"/>
    </row>
    <row r="221" customFormat="false" ht="21" hidden="false" customHeight="true" outlineLevel="0" collapsed="false">
      <c r="A221" s="14"/>
      <c r="B221" s="15"/>
      <c r="C221" s="13"/>
      <c r="D221" s="13"/>
      <c r="E221" s="13"/>
      <c r="F221" s="14" t="str">
        <f aca="false">IF(OR($A221="",$D221="",$E221=""),"",MAX(0,$E221-$D221))</f>
        <v/>
      </c>
      <c r="G221" s="14" t="str">
        <f aca="false">IF($A221="","",IF($E221&lt;&gt;"",IF(N($F221)&gt;0,"Entregue com atraso","Entregue no prazo"),IF($D221="","Sem data prometida",IF($D221&lt;$L$1,"ATRASADA","Aguardando"))))</f>
        <v/>
      </c>
      <c r="H221" s="15"/>
      <c r="I221" s="15"/>
    </row>
    <row r="222" customFormat="false" ht="21" hidden="false" customHeight="true" outlineLevel="0" collapsed="false">
      <c r="A222" s="14"/>
      <c r="B222" s="15"/>
      <c r="C222" s="13"/>
      <c r="D222" s="13"/>
      <c r="E222" s="13"/>
      <c r="F222" s="14" t="str">
        <f aca="false">IF(OR($A222="",$D222="",$E222=""),"",MAX(0,$E222-$D222))</f>
        <v/>
      </c>
      <c r="G222" s="14" t="str">
        <f aca="false">IF($A222="","",IF($E222&lt;&gt;"",IF(N($F222)&gt;0,"Entregue com atraso","Entregue no prazo"),IF($D222="","Sem data prometida",IF($D222&lt;$L$1,"ATRASADA","Aguardando"))))</f>
        <v/>
      </c>
      <c r="H222" s="15"/>
      <c r="I222" s="15"/>
    </row>
    <row r="223" customFormat="false" ht="21" hidden="false" customHeight="true" outlineLevel="0" collapsed="false">
      <c r="A223" s="14"/>
      <c r="B223" s="15"/>
      <c r="C223" s="13"/>
      <c r="D223" s="13"/>
      <c r="E223" s="13"/>
      <c r="F223" s="14" t="str">
        <f aca="false">IF(OR($A223="",$D223="",$E223=""),"",MAX(0,$E223-$D223))</f>
        <v/>
      </c>
      <c r="G223" s="14" t="str">
        <f aca="false">IF($A223="","",IF($E223&lt;&gt;"",IF(N($F223)&gt;0,"Entregue com atraso","Entregue no prazo"),IF($D223="","Sem data prometida",IF($D223&lt;$L$1,"ATRASADA","Aguardando"))))</f>
        <v/>
      </c>
      <c r="H223" s="15"/>
      <c r="I223" s="15"/>
    </row>
    <row r="224" customFormat="false" ht="21" hidden="false" customHeight="true" outlineLevel="0" collapsed="false">
      <c r="A224" s="14"/>
      <c r="B224" s="15"/>
      <c r="C224" s="13"/>
      <c r="D224" s="13"/>
      <c r="E224" s="13"/>
      <c r="F224" s="14" t="str">
        <f aca="false">IF(OR($A224="",$D224="",$E224=""),"",MAX(0,$E224-$D224))</f>
        <v/>
      </c>
      <c r="G224" s="14" t="str">
        <f aca="false">IF($A224="","",IF($E224&lt;&gt;"",IF(N($F224)&gt;0,"Entregue com atraso","Entregue no prazo"),IF($D224="","Sem data prometida",IF($D224&lt;$L$1,"ATRASADA","Aguardando"))))</f>
        <v/>
      </c>
      <c r="H224" s="15"/>
      <c r="I224" s="15"/>
    </row>
    <row r="225" customFormat="false" ht="21" hidden="false" customHeight="true" outlineLevel="0" collapsed="false">
      <c r="A225" s="14"/>
      <c r="B225" s="15"/>
      <c r="C225" s="13"/>
      <c r="D225" s="13"/>
      <c r="E225" s="13"/>
      <c r="F225" s="14" t="str">
        <f aca="false">IF(OR($A225="",$D225="",$E225=""),"",MAX(0,$E225-$D225))</f>
        <v/>
      </c>
      <c r="G225" s="14" t="str">
        <f aca="false">IF($A225="","",IF($E225&lt;&gt;"",IF(N($F225)&gt;0,"Entregue com atraso","Entregue no prazo"),IF($D225="","Sem data prometida",IF($D225&lt;$L$1,"ATRASADA","Aguardando"))))</f>
        <v/>
      </c>
      <c r="H225" s="15"/>
      <c r="I225" s="15"/>
    </row>
    <row r="226" customFormat="false" ht="21" hidden="false" customHeight="true" outlineLevel="0" collapsed="false">
      <c r="A226" s="14"/>
      <c r="B226" s="15"/>
      <c r="C226" s="13"/>
      <c r="D226" s="13"/>
      <c r="E226" s="13"/>
      <c r="F226" s="14" t="str">
        <f aca="false">IF(OR($A226="",$D226="",$E226=""),"",MAX(0,$E226-$D226))</f>
        <v/>
      </c>
      <c r="G226" s="14" t="str">
        <f aca="false">IF($A226="","",IF($E226&lt;&gt;"",IF(N($F226)&gt;0,"Entregue com atraso","Entregue no prazo"),IF($D226="","Sem data prometida",IF($D226&lt;$L$1,"ATRASADA","Aguardando"))))</f>
        <v/>
      </c>
      <c r="H226" s="15"/>
      <c r="I226" s="15"/>
    </row>
    <row r="227" customFormat="false" ht="21" hidden="false" customHeight="true" outlineLevel="0" collapsed="false">
      <c r="A227" s="14"/>
      <c r="B227" s="15"/>
      <c r="C227" s="13"/>
      <c r="D227" s="13"/>
      <c r="E227" s="13"/>
      <c r="F227" s="14" t="str">
        <f aca="false">IF(OR($A227="",$D227="",$E227=""),"",MAX(0,$E227-$D227))</f>
        <v/>
      </c>
      <c r="G227" s="14" t="str">
        <f aca="false">IF($A227="","",IF($E227&lt;&gt;"",IF(N($F227)&gt;0,"Entregue com atraso","Entregue no prazo"),IF($D227="","Sem data prometida",IF($D227&lt;$L$1,"ATRASADA","Aguardando"))))</f>
        <v/>
      </c>
      <c r="H227" s="15"/>
      <c r="I227" s="15"/>
    </row>
    <row r="228" customFormat="false" ht="21" hidden="false" customHeight="true" outlineLevel="0" collapsed="false">
      <c r="A228" s="14"/>
      <c r="B228" s="15"/>
      <c r="C228" s="13"/>
      <c r="D228" s="13"/>
      <c r="E228" s="13"/>
      <c r="F228" s="14" t="str">
        <f aca="false">IF(OR($A228="",$D228="",$E228=""),"",MAX(0,$E228-$D228))</f>
        <v/>
      </c>
      <c r="G228" s="14" t="str">
        <f aca="false">IF($A228="","",IF($E228&lt;&gt;"",IF(N($F228)&gt;0,"Entregue com atraso","Entregue no prazo"),IF($D228="","Sem data prometida",IF($D228&lt;$L$1,"ATRASADA","Aguardando"))))</f>
        <v/>
      </c>
      <c r="H228" s="15"/>
      <c r="I228" s="15"/>
    </row>
    <row r="229" customFormat="false" ht="21" hidden="false" customHeight="true" outlineLevel="0" collapsed="false">
      <c r="A229" s="14"/>
      <c r="B229" s="15"/>
      <c r="C229" s="13"/>
      <c r="D229" s="13"/>
      <c r="E229" s="13"/>
      <c r="F229" s="14" t="str">
        <f aca="false">IF(OR($A229="",$D229="",$E229=""),"",MAX(0,$E229-$D229))</f>
        <v/>
      </c>
      <c r="G229" s="14" t="str">
        <f aca="false">IF($A229="","",IF($E229&lt;&gt;"",IF(N($F229)&gt;0,"Entregue com atraso","Entregue no prazo"),IF($D229="","Sem data prometida",IF($D229&lt;$L$1,"ATRASADA","Aguardando"))))</f>
        <v/>
      </c>
      <c r="H229" s="15"/>
      <c r="I229" s="15"/>
    </row>
    <row r="230" customFormat="false" ht="21" hidden="false" customHeight="true" outlineLevel="0" collapsed="false">
      <c r="A230" s="14"/>
      <c r="B230" s="15"/>
      <c r="C230" s="13"/>
      <c r="D230" s="13"/>
      <c r="E230" s="13"/>
      <c r="F230" s="14" t="str">
        <f aca="false">IF(OR($A230="",$D230="",$E230=""),"",MAX(0,$E230-$D230))</f>
        <v/>
      </c>
      <c r="G230" s="14" t="str">
        <f aca="false">IF($A230="","",IF($E230&lt;&gt;"",IF(N($F230)&gt;0,"Entregue com atraso","Entregue no prazo"),IF($D230="","Sem data prometida",IF($D230&lt;$L$1,"ATRASADA","Aguardando"))))</f>
        <v/>
      </c>
      <c r="H230" s="15"/>
      <c r="I230" s="15"/>
    </row>
    <row r="231" customFormat="false" ht="21" hidden="false" customHeight="true" outlineLevel="0" collapsed="false">
      <c r="A231" s="14"/>
      <c r="B231" s="15"/>
      <c r="C231" s="13"/>
      <c r="D231" s="13"/>
      <c r="E231" s="13"/>
      <c r="F231" s="14" t="str">
        <f aca="false">IF(OR($A231="",$D231="",$E231=""),"",MAX(0,$E231-$D231))</f>
        <v/>
      </c>
      <c r="G231" s="14" t="str">
        <f aca="false">IF($A231="","",IF($E231&lt;&gt;"",IF(N($F231)&gt;0,"Entregue com atraso","Entregue no prazo"),IF($D231="","Sem data prometida",IF($D231&lt;$L$1,"ATRASADA","Aguardando"))))</f>
        <v/>
      </c>
      <c r="H231" s="15"/>
      <c r="I231" s="15"/>
    </row>
    <row r="232" customFormat="false" ht="21" hidden="false" customHeight="true" outlineLevel="0" collapsed="false">
      <c r="A232" s="14"/>
      <c r="B232" s="15"/>
      <c r="C232" s="13"/>
      <c r="D232" s="13"/>
      <c r="E232" s="13"/>
      <c r="F232" s="14" t="str">
        <f aca="false">IF(OR($A232="",$D232="",$E232=""),"",MAX(0,$E232-$D232))</f>
        <v/>
      </c>
      <c r="G232" s="14" t="str">
        <f aca="false">IF($A232="","",IF($E232&lt;&gt;"",IF(N($F232)&gt;0,"Entregue com atraso","Entregue no prazo"),IF($D232="","Sem data prometida",IF($D232&lt;$L$1,"ATRASADA","Aguardando"))))</f>
        <v/>
      </c>
      <c r="H232" s="15"/>
      <c r="I232" s="15"/>
    </row>
    <row r="233" customFormat="false" ht="21" hidden="false" customHeight="true" outlineLevel="0" collapsed="false">
      <c r="A233" s="14"/>
      <c r="B233" s="15"/>
      <c r="C233" s="13"/>
      <c r="D233" s="13"/>
      <c r="E233" s="13"/>
      <c r="F233" s="14" t="str">
        <f aca="false">IF(OR($A233="",$D233="",$E233=""),"",MAX(0,$E233-$D233))</f>
        <v/>
      </c>
      <c r="G233" s="14" t="str">
        <f aca="false">IF($A233="","",IF($E233&lt;&gt;"",IF(N($F233)&gt;0,"Entregue com atraso","Entregue no prazo"),IF($D233="","Sem data prometida",IF($D233&lt;$L$1,"ATRASADA","Aguardando"))))</f>
        <v/>
      </c>
      <c r="H233" s="15"/>
      <c r="I233" s="15"/>
    </row>
    <row r="234" customFormat="false" ht="21" hidden="false" customHeight="true" outlineLevel="0" collapsed="false">
      <c r="A234" s="14"/>
      <c r="B234" s="15"/>
      <c r="C234" s="13"/>
      <c r="D234" s="13"/>
      <c r="E234" s="13"/>
      <c r="F234" s="14" t="str">
        <f aca="false">IF(OR($A234="",$D234="",$E234=""),"",MAX(0,$E234-$D234))</f>
        <v/>
      </c>
      <c r="G234" s="14" t="str">
        <f aca="false">IF($A234="","",IF($E234&lt;&gt;"",IF(N($F234)&gt;0,"Entregue com atraso","Entregue no prazo"),IF($D234="","Sem data prometida",IF($D234&lt;$L$1,"ATRASADA","Aguardando"))))</f>
        <v/>
      </c>
      <c r="H234" s="15"/>
      <c r="I234" s="15"/>
    </row>
    <row r="235" customFormat="false" ht="21" hidden="false" customHeight="true" outlineLevel="0" collapsed="false">
      <c r="A235" s="14"/>
      <c r="B235" s="15"/>
      <c r="C235" s="13"/>
      <c r="D235" s="13"/>
      <c r="E235" s="13"/>
      <c r="F235" s="14" t="str">
        <f aca="false">IF(OR($A235="",$D235="",$E235=""),"",MAX(0,$E235-$D235))</f>
        <v/>
      </c>
      <c r="G235" s="14" t="str">
        <f aca="false">IF($A235="","",IF($E235&lt;&gt;"",IF(N($F235)&gt;0,"Entregue com atraso","Entregue no prazo"),IF($D235="","Sem data prometida",IF($D235&lt;$L$1,"ATRASADA","Aguardando"))))</f>
        <v/>
      </c>
      <c r="H235" s="15"/>
      <c r="I235" s="15"/>
    </row>
    <row r="236" customFormat="false" ht="21" hidden="false" customHeight="true" outlineLevel="0" collapsed="false">
      <c r="A236" s="14"/>
      <c r="B236" s="15"/>
      <c r="C236" s="13"/>
      <c r="D236" s="13"/>
      <c r="E236" s="13"/>
      <c r="F236" s="14" t="str">
        <f aca="false">IF(OR($A236="",$D236="",$E236=""),"",MAX(0,$E236-$D236))</f>
        <v/>
      </c>
      <c r="G236" s="14" t="str">
        <f aca="false">IF($A236="","",IF($E236&lt;&gt;"",IF(N($F236)&gt;0,"Entregue com atraso","Entregue no prazo"),IF($D236="","Sem data prometida",IF($D236&lt;$L$1,"ATRASADA","Aguardando"))))</f>
        <v/>
      </c>
      <c r="H236" s="15"/>
      <c r="I236" s="15"/>
    </row>
    <row r="237" customFormat="false" ht="21" hidden="false" customHeight="true" outlineLevel="0" collapsed="false">
      <c r="A237" s="14"/>
      <c r="B237" s="15"/>
      <c r="C237" s="13"/>
      <c r="D237" s="13"/>
      <c r="E237" s="13"/>
      <c r="F237" s="14" t="str">
        <f aca="false">IF(OR($A237="",$D237="",$E237=""),"",MAX(0,$E237-$D237))</f>
        <v/>
      </c>
      <c r="G237" s="14" t="str">
        <f aca="false">IF($A237="","",IF($E237&lt;&gt;"",IF(N($F237)&gt;0,"Entregue com atraso","Entregue no prazo"),IF($D237="","Sem data prometida",IF($D237&lt;$L$1,"ATRASADA","Aguardando"))))</f>
        <v/>
      </c>
      <c r="H237" s="15"/>
      <c r="I237" s="15"/>
    </row>
    <row r="238" customFormat="false" ht="21" hidden="false" customHeight="true" outlineLevel="0" collapsed="false">
      <c r="A238" s="14"/>
      <c r="B238" s="15"/>
      <c r="C238" s="13"/>
      <c r="D238" s="13"/>
      <c r="E238" s="13"/>
      <c r="F238" s="14" t="str">
        <f aca="false">IF(OR($A238="",$D238="",$E238=""),"",MAX(0,$E238-$D238))</f>
        <v/>
      </c>
      <c r="G238" s="14" t="str">
        <f aca="false">IF($A238="","",IF($E238&lt;&gt;"",IF(N($F238)&gt;0,"Entregue com atraso","Entregue no prazo"),IF($D238="","Sem data prometida",IF($D238&lt;$L$1,"ATRASADA","Aguardando"))))</f>
        <v/>
      </c>
      <c r="H238" s="15"/>
      <c r="I238" s="15"/>
    </row>
    <row r="239" customFormat="false" ht="21" hidden="false" customHeight="true" outlineLevel="0" collapsed="false">
      <c r="A239" s="14"/>
      <c r="B239" s="15"/>
      <c r="C239" s="13"/>
      <c r="D239" s="13"/>
      <c r="E239" s="13"/>
      <c r="F239" s="14" t="str">
        <f aca="false">IF(OR($A239="",$D239="",$E239=""),"",MAX(0,$E239-$D239))</f>
        <v/>
      </c>
      <c r="G239" s="14" t="str">
        <f aca="false">IF($A239="","",IF($E239&lt;&gt;"",IF(N($F239)&gt;0,"Entregue com atraso","Entregue no prazo"),IF($D239="","Sem data prometida",IF($D239&lt;$L$1,"ATRASADA","Aguardando"))))</f>
        <v/>
      </c>
      <c r="H239" s="15"/>
      <c r="I239" s="15"/>
    </row>
    <row r="240" customFormat="false" ht="21" hidden="false" customHeight="true" outlineLevel="0" collapsed="false">
      <c r="A240" s="14"/>
      <c r="B240" s="15"/>
      <c r="C240" s="13"/>
      <c r="D240" s="13"/>
      <c r="E240" s="13"/>
      <c r="F240" s="14" t="str">
        <f aca="false">IF(OR($A240="",$D240="",$E240=""),"",MAX(0,$E240-$D240))</f>
        <v/>
      </c>
      <c r="G240" s="14" t="str">
        <f aca="false">IF($A240="","",IF($E240&lt;&gt;"",IF(N($F240)&gt;0,"Entregue com atraso","Entregue no prazo"),IF($D240="","Sem data prometida",IF($D240&lt;$L$1,"ATRASADA","Aguardando"))))</f>
        <v/>
      </c>
      <c r="H240" s="15"/>
      <c r="I240" s="15"/>
    </row>
    <row r="241" customFormat="false" ht="21" hidden="false" customHeight="true" outlineLevel="0" collapsed="false">
      <c r="A241" s="14"/>
      <c r="B241" s="15"/>
      <c r="C241" s="13"/>
      <c r="D241" s="13"/>
      <c r="E241" s="13"/>
      <c r="F241" s="14" t="str">
        <f aca="false">IF(OR($A241="",$D241="",$E241=""),"",MAX(0,$E241-$D241))</f>
        <v/>
      </c>
      <c r="G241" s="14" t="str">
        <f aca="false">IF($A241="","",IF($E241&lt;&gt;"",IF(N($F241)&gt;0,"Entregue com atraso","Entregue no prazo"),IF($D241="","Sem data prometida",IF($D241&lt;$L$1,"ATRASADA","Aguardando"))))</f>
        <v/>
      </c>
      <c r="H241" s="15"/>
      <c r="I241" s="15"/>
    </row>
    <row r="242" customFormat="false" ht="21" hidden="false" customHeight="true" outlineLevel="0" collapsed="false">
      <c r="A242" s="14"/>
      <c r="B242" s="15"/>
      <c r="C242" s="13"/>
      <c r="D242" s="13"/>
      <c r="E242" s="13"/>
      <c r="F242" s="14" t="str">
        <f aca="false">IF(OR($A242="",$D242="",$E242=""),"",MAX(0,$E242-$D242))</f>
        <v/>
      </c>
      <c r="G242" s="14" t="str">
        <f aca="false">IF($A242="","",IF($E242&lt;&gt;"",IF(N($F242)&gt;0,"Entregue com atraso","Entregue no prazo"),IF($D242="","Sem data prometida",IF($D242&lt;$L$1,"ATRASADA","Aguardando"))))</f>
        <v/>
      </c>
      <c r="H242" s="15"/>
      <c r="I242" s="15"/>
    </row>
    <row r="243" customFormat="false" ht="21" hidden="false" customHeight="true" outlineLevel="0" collapsed="false">
      <c r="A243" s="14"/>
      <c r="B243" s="15"/>
      <c r="C243" s="13"/>
      <c r="D243" s="13"/>
      <c r="E243" s="13"/>
      <c r="F243" s="14" t="str">
        <f aca="false">IF(OR($A243="",$D243="",$E243=""),"",MAX(0,$E243-$D243))</f>
        <v/>
      </c>
      <c r="G243" s="14" t="str">
        <f aca="false">IF($A243="","",IF($E243&lt;&gt;"",IF(N($F243)&gt;0,"Entregue com atraso","Entregue no prazo"),IF($D243="","Sem data prometida",IF($D243&lt;$L$1,"ATRASADA","Aguardando"))))</f>
        <v/>
      </c>
      <c r="H243" s="15"/>
      <c r="I243" s="15"/>
    </row>
    <row r="244" customFormat="false" ht="21" hidden="false" customHeight="true" outlineLevel="0" collapsed="false">
      <c r="A244" s="14"/>
      <c r="B244" s="15"/>
      <c r="C244" s="13"/>
      <c r="D244" s="13"/>
      <c r="E244" s="13"/>
      <c r="F244" s="14" t="str">
        <f aca="false">IF(OR($A244="",$D244="",$E244=""),"",MAX(0,$E244-$D244))</f>
        <v/>
      </c>
      <c r="G244" s="14" t="str">
        <f aca="false">IF($A244="","",IF($E244&lt;&gt;"",IF(N($F244)&gt;0,"Entregue com atraso","Entregue no prazo"),IF($D244="","Sem data prometida",IF($D244&lt;$L$1,"ATRASADA","Aguardando"))))</f>
        <v/>
      </c>
      <c r="H244" s="15"/>
      <c r="I244" s="15"/>
    </row>
    <row r="245" customFormat="false" ht="21" hidden="false" customHeight="true" outlineLevel="0" collapsed="false">
      <c r="A245" s="14"/>
      <c r="B245" s="15"/>
      <c r="C245" s="13"/>
      <c r="D245" s="13"/>
      <c r="E245" s="13"/>
      <c r="F245" s="14" t="str">
        <f aca="false">IF(OR($A245="",$D245="",$E245=""),"",MAX(0,$E245-$D245))</f>
        <v/>
      </c>
      <c r="G245" s="14" t="str">
        <f aca="false">IF($A245="","",IF($E245&lt;&gt;"",IF(N($F245)&gt;0,"Entregue com atraso","Entregue no prazo"),IF($D245="","Sem data prometida",IF($D245&lt;$L$1,"ATRASADA","Aguardando"))))</f>
        <v/>
      </c>
      <c r="H245" s="15"/>
      <c r="I245" s="15"/>
    </row>
    <row r="246" customFormat="false" ht="21" hidden="false" customHeight="true" outlineLevel="0" collapsed="false">
      <c r="A246" s="14"/>
      <c r="B246" s="15"/>
      <c r="C246" s="13"/>
      <c r="D246" s="13"/>
      <c r="E246" s="13"/>
      <c r="F246" s="14" t="str">
        <f aca="false">IF(OR($A246="",$D246="",$E246=""),"",MAX(0,$E246-$D246))</f>
        <v/>
      </c>
      <c r="G246" s="14" t="str">
        <f aca="false">IF($A246="","",IF($E246&lt;&gt;"",IF(N($F246)&gt;0,"Entregue com atraso","Entregue no prazo"),IF($D246="","Sem data prometida",IF($D246&lt;$L$1,"ATRASADA","Aguardando"))))</f>
        <v/>
      </c>
      <c r="H246" s="15"/>
      <c r="I246" s="15"/>
    </row>
    <row r="247" customFormat="false" ht="21" hidden="false" customHeight="true" outlineLevel="0" collapsed="false">
      <c r="A247" s="14"/>
      <c r="B247" s="15"/>
      <c r="C247" s="13"/>
      <c r="D247" s="13"/>
      <c r="E247" s="13"/>
      <c r="F247" s="14" t="str">
        <f aca="false">IF(OR($A247="",$D247="",$E247=""),"",MAX(0,$E247-$D247))</f>
        <v/>
      </c>
      <c r="G247" s="14" t="str">
        <f aca="false">IF($A247="","",IF($E247&lt;&gt;"",IF(N($F247)&gt;0,"Entregue com atraso","Entregue no prazo"),IF($D247="","Sem data prometida",IF($D247&lt;$L$1,"ATRASADA","Aguardando"))))</f>
        <v/>
      </c>
      <c r="H247" s="15"/>
      <c r="I247" s="15"/>
    </row>
    <row r="248" customFormat="false" ht="21" hidden="false" customHeight="true" outlineLevel="0" collapsed="false">
      <c r="A248" s="14"/>
      <c r="B248" s="15"/>
      <c r="C248" s="13"/>
      <c r="D248" s="13"/>
      <c r="E248" s="13"/>
      <c r="F248" s="14" t="str">
        <f aca="false">IF(OR($A248="",$D248="",$E248=""),"",MAX(0,$E248-$D248))</f>
        <v/>
      </c>
      <c r="G248" s="14" t="str">
        <f aca="false">IF($A248="","",IF($E248&lt;&gt;"",IF(N($F248)&gt;0,"Entregue com atraso","Entregue no prazo"),IF($D248="","Sem data prometida",IF($D248&lt;$L$1,"ATRASADA","Aguardando"))))</f>
        <v/>
      </c>
      <c r="H248" s="15"/>
      <c r="I248" s="15"/>
    </row>
    <row r="249" customFormat="false" ht="21" hidden="false" customHeight="true" outlineLevel="0" collapsed="false">
      <c r="A249" s="14"/>
      <c r="B249" s="15"/>
      <c r="C249" s="13"/>
      <c r="D249" s="13"/>
      <c r="E249" s="13"/>
      <c r="F249" s="14" t="str">
        <f aca="false">IF(OR($A249="",$D249="",$E249=""),"",MAX(0,$E249-$D249))</f>
        <v/>
      </c>
      <c r="G249" s="14" t="str">
        <f aca="false">IF($A249="","",IF($E249&lt;&gt;"",IF(N($F249)&gt;0,"Entregue com atraso","Entregue no prazo"),IF($D249="","Sem data prometida",IF($D249&lt;$L$1,"ATRASADA","Aguardando"))))</f>
        <v/>
      </c>
      <c r="H249" s="15"/>
      <c r="I249" s="15"/>
    </row>
    <row r="250" customFormat="false" ht="21" hidden="false" customHeight="true" outlineLevel="0" collapsed="false">
      <c r="A250" s="14"/>
      <c r="B250" s="15"/>
      <c r="C250" s="13"/>
      <c r="D250" s="13"/>
      <c r="E250" s="13"/>
      <c r="F250" s="14" t="str">
        <f aca="false">IF(OR($A250="",$D250="",$E250=""),"",MAX(0,$E250-$D250))</f>
        <v/>
      </c>
      <c r="G250" s="14" t="str">
        <f aca="false">IF($A250="","",IF($E250&lt;&gt;"",IF(N($F250)&gt;0,"Entregue com atraso","Entregue no prazo"),IF($D250="","Sem data prometida",IF($D250&lt;$L$1,"ATRASADA","Aguardando"))))</f>
        <v/>
      </c>
      <c r="H250" s="15"/>
      <c r="I250" s="15"/>
    </row>
    <row r="251" customFormat="false" ht="21" hidden="false" customHeight="true" outlineLevel="0" collapsed="false">
      <c r="A251" s="14"/>
      <c r="B251" s="15"/>
      <c r="C251" s="13"/>
      <c r="D251" s="13"/>
      <c r="E251" s="13"/>
      <c r="F251" s="14" t="str">
        <f aca="false">IF(OR($A251="",$D251="",$E251=""),"",MAX(0,$E251-$D251))</f>
        <v/>
      </c>
      <c r="G251" s="14" t="str">
        <f aca="false">IF($A251="","",IF($E251&lt;&gt;"",IF(N($F251)&gt;0,"Entregue com atraso","Entregue no prazo"),IF($D251="","Sem data prometida",IF($D251&lt;$L$1,"ATRASADA","Aguardando"))))</f>
        <v/>
      </c>
      <c r="H251" s="15"/>
      <c r="I251" s="15"/>
    </row>
    <row r="252" customFormat="false" ht="21" hidden="false" customHeight="true" outlineLevel="0" collapsed="false">
      <c r="A252" s="14"/>
      <c r="B252" s="15"/>
      <c r="C252" s="13"/>
      <c r="D252" s="13"/>
      <c r="E252" s="13"/>
      <c r="F252" s="14" t="str">
        <f aca="false">IF(OR($A252="",$D252="",$E252=""),"",MAX(0,$E252-$D252))</f>
        <v/>
      </c>
      <c r="G252" s="14" t="str">
        <f aca="false">IF($A252="","",IF($E252&lt;&gt;"",IF(N($F252)&gt;0,"Entregue com atraso","Entregue no prazo"),IF($D252="","Sem data prometida",IF($D252&lt;$L$1,"ATRASADA","Aguardando"))))</f>
        <v/>
      </c>
      <c r="H252" s="15"/>
      <c r="I252" s="15"/>
    </row>
    <row r="253" customFormat="false" ht="21" hidden="false" customHeight="true" outlineLevel="0" collapsed="false">
      <c r="A253" s="14"/>
      <c r="B253" s="15"/>
      <c r="C253" s="13"/>
      <c r="D253" s="13"/>
      <c r="E253" s="13"/>
      <c r="F253" s="14" t="str">
        <f aca="false">IF(OR($A253="",$D253="",$E253=""),"",MAX(0,$E253-$D253))</f>
        <v/>
      </c>
      <c r="G253" s="14" t="str">
        <f aca="false">IF($A253="","",IF($E253&lt;&gt;"",IF(N($F253)&gt;0,"Entregue com atraso","Entregue no prazo"),IF($D253="","Sem data prometida",IF($D253&lt;$L$1,"ATRASADA","Aguardando"))))</f>
        <v/>
      </c>
      <c r="H253" s="15"/>
      <c r="I253" s="15"/>
    </row>
    <row r="254" customFormat="false" ht="21" hidden="false" customHeight="true" outlineLevel="0" collapsed="false">
      <c r="A254" s="14"/>
      <c r="B254" s="15"/>
      <c r="C254" s="13"/>
      <c r="D254" s="13"/>
      <c r="E254" s="13"/>
      <c r="F254" s="14" t="str">
        <f aca="false">IF(OR($A254="",$D254="",$E254=""),"",MAX(0,$E254-$D254))</f>
        <v/>
      </c>
      <c r="G254" s="14" t="str">
        <f aca="false">IF($A254="","",IF($E254&lt;&gt;"",IF(N($F254)&gt;0,"Entregue com atraso","Entregue no prazo"),IF($D254="","Sem data prometida",IF($D254&lt;$L$1,"ATRASADA","Aguardando"))))</f>
        <v/>
      </c>
      <c r="H254" s="15"/>
      <c r="I254" s="15"/>
    </row>
    <row r="255" customFormat="false" ht="21" hidden="false" customHeight="true" outlineLevel="0" collapsed="false">
      <c r="A255" s="14"/>
      <c r="B255" s="15"/>
      <c r="C255" s="13"/>
      <c r="D255" s="13"/>
      <c r="E255" s="13"/>
      <c r="F255" s="14" t="str">
        <f aca="false">IF(OR($A255="",$D255="",$E255=""),"",MAX(0,$E255-$D255))</f>
        <v/>
      </c>
      <c r="G255" s="14" t="str">
        <f aca="false">IF($A255="","",IF($E255&lt;&gt;"",IF(N($F255)&gt;0,"Entregue com atraso","Entregue no prazo"),IF($D255="","Sem data prometida",IF($D255&lt;$L$1,"ATRASADA","Aguardando"))))</f>
        <v/>
      </c>
      <c r="H255" s="15"/>
      <c r="I255" s="15"/>
    </row>
    <row r="256" customFormat="false" ht="21" hidden="false" customHeight="true" outlineLevel="0" collapsed="false">
      <c r="A256" s="14"/>
      <c r="B256" s="15"/>
      <c r="C256" s="13"/>
      <c r="D256" s="13"/>
      <c r="E256" s="13"/>
      <c r="F256" s="14" t="str">
        <f aca="false">IF(OR($A256="",$D256="",$E256=""),"",MAX(0,$E256-$D256))</f>
        <v/>
      </c>
      <c r="G256" s="14" t="str">
        <f aca="false">IF($A256="","",IF($E256&lt;&gt;"",IF(N($F256)&gt;0,"Entregue com atraso","Entregue no prazo"),IF($D256="","Sem data prometida",IF($D256&lt;$L$1,"ATRASADA","Aguardando"))))</f>
        <v/>
      </c>
      <c r="H256" s="15"/>
      <c r="I256" s="15"/>
    </row>
    <row r="257" customFormat="false" ht="21" hidden="false" customHeight="true" outlineLevel="0" collapsed="false">
      <c r="A257" s="14"/>
      <c r="B257" s="15"/>
      <c r="C257" s="13"/>
      <c r="D257" s="13"/>
      <c r="E257" s="13"/>
      <c r="F257" s="14" t="str">
        <f aca="false">IF(OR($A257="",$D257="",$E257=""),"",MAX(0,$E257-$D257))</f>
        <v/>
      </c>
      <c r="G257" s="14" t="str">
        <f aca="false">IF($A257="","",IF($E257&lt;&gt;"",IF(N($F257)&gt;0,"Entregue com atraso","Entregue no prazo"),IF($D257="","Sem data prometida",IF($D257&lt;$L$1,"ATRASADA","Aguardando"))))</f>
        <v/>
      </c>
      <c r="H257" s="15"/>
      <c r="I257" s="15"/>
    </row>
    <row r="258" customFormat="false" ht="21" hidden="false" customHeight="true" outlineLevel="0" collapsed="false">
      <c r="A258" s="14"/>
      <c r="B258" s="15"/>
      <c r="C258" s="13"/>
      <c r="D258" s="13"/>
      <c r="E258" s="13"/>
      <c r="F258" s="14" t="str">
        <f aca="false">IF(OR($A258="",$D258="",$E258=""),"",MAX(0,$E258-$D258))</f>
        <v/>
      </c>
      <c r="G258" s="14" t="str">
        <f aca="false">IF($A258="","",IF($E258&lt;&gt;"",IF(N($F258)&gt;0,"Entregue com atraso","Entregue no prazo"),IF($D258="","Sem data prometida",IF($D258&lt;$L$1,"ATRASADA","Aguardando"))))</f>
        <v/>
      </c>
      <c r="H258" s="15"/>
      <c r="I258" s="15"/>
    </row>
    <row r="259" customFormat="false" ht="21" hidden="false" customHeight="true" outlineLevel="0" collapsed="false">
      <c r="A259" s="14"/>
      <c r="B259" s="15"/>
      <c r="C259" s="13"/>
      <c r="D259" s="13"/>
      <c r="E259" s="13"/>
      <c r="F259" s="14" t="str">
        <f aca="false">IF(OR($A259="",$D259="",$E259=""),"",MAX(0,$E259-$D259))</f>
        <v/>
      </c>
      <c r="G259" s="14" t="str">
        <f aca="false">IF($A259="","",IF($E259&lt;&gt;"",IF(N($F259)&gt;0,"Entregue com atraso","Entregue no prazo"),IF($D259="","Sem data prometida",IF($D259&lt;$L$1,"ATRASADA","Aguardando"))))</f>
        <v/>
      </c>
      <c r="H259" s="15"/>
      <c r="I259" s="15"/>
    </row>
    <row r="260" customFormat="false" ht="21" hidden="false" customHeight="true" outlineLevel="0" collapsed="false">
      <c r="A260" s="14"/>
      <c r="B260" s="15"/>
      <c r="C260" s="13"/>
      <c r="D260" s="13"/>
      <c r="E260" s="13"/>
      <c r="F260" s="14" t="str">
        <f aca="false">IF(OR($A260="",$D260="",$E260=""),"",MAX(0,$E260-$D260))</f>
        <v/>
      </c>
      <c r="G260" s="14" t="str">
        <f aca="false">IF($A260="","",IF($E260&lt;&gt;"",IF(N($F260)&gt;0,"Entregue com atraso","Entregue no prazo"),IF($D260="","Sem data prometida",IF($D260&lt;$L$1,"ATRASADA","Aguardando"))))</f>
        <v/>
      </c>
      <c r="H260" s="15"/>
      <c r="I260" s="15"/>
    </row>
    <row r="261" customFormat="false" ht="21" hidden="false" customHeight="true" outlineLevel="0" collapsed="false">
      <c r="A261" s="14"/>
      <c r="B261" s="15"/>
      <c r="C261" s="13"/>
      <c r="D261" s="13"/>
      <c r="E261" s="13"/>
      <c r="F261" s="14" t="str">
        <f aca="false">IF(OR($A261="",$D261="",$E261=""),"",MAX(0,$E261-$D261))</f>
        <v/>
      </c>
      <c r="G261" s="14" t="str">
        <f aca="false">IF($A261="","",IF($E261&lt;&gt;"",IF(N($F261)&gt;0,"Entregue com atraso","Entregue no prazo"),IF($D261="","Sem data prometida",IF($D261&lt;$L$1,"ATRASADA","Aguardando"))))</f>
        <v/>
      </c>
      <c r="H261" s="15"/>
      <c r="I261" s="15"/>
    </row>
    <row r="262" customFormat="false" ht="21" hidden="false" customHeight="true" outlineLevel="0" collapsed="false">
      <c r="A262" s="14"/>
      <c r="B262" s="15"/>
      <c r="C262" s="13"/>
      <c r="D262" s="13"/>
      <c r="E262" s="13"/>
      <c r="F262" s="14" t="str">
        <f aca="false">IF(OR($A262="",$D262="",$E262=""),"",MAX(0,$E262-$D262))</f>
        <v/>
      </c>
      <c r="G262" s="14" t="str">
        <f aca="false">IF($A262="","",IF($E262&lt;&gt;"",IF(N($F262)&gt;0,"Entregue com atraso","Entregue no prazo"),IF($D262="","Sem data prometida",IF($D262&lt;$L$1,"ATRASADA","Aguardando"))))</f>
        <v/>
      </c>
      <c r="H262" s="15"/>
      <c r="I262" s="15"/>
    </row>
    <row r="263" customFormat="false" ht="21" hidden="false" customHeight="true" outlineLevel="0" collapsed="false">
      <c r="A263" s="14"/>
      <c r="B263" s="15"/>
      <c r="C263" s="13"/>
      <c r="D263" s="13"/>
      <c r="E263" s="13"/>
      <c r="F263" s="14" t="str">
        <f aca="false">IF(OR($A263="",$D263="",$E263=""),"",MAX(0,$E263-$D263))</f>
        <v/>
      </c>
      <c r="G263" s="14" t="str">
        <f aca="false">IF($A263="","",IF($E263&lt;&gt;"",IF(N($F263)&gt;0,"Entregue com atraso","Entregue no prazo"),IF($D263="","Sem data prometida",IF($D263&lt;$L$1,"ATRASADA","Aguardando"))))</f>
        <v/>
      </c>
      <c r="H263" s="15"/>
      <c r="I263" s="15"/>
    </row>
    <row r="264" customFormat="false" ht="21" hidden="false" customHeight="true" outlineLevel="0" collapsed="false">
      <c r="A264" s="14"/>
      <c r="B264" s="15"/>
      <c r="C264" s="13"/>
      <c r="D264" s="13"/>
      <c r="E264" s="13"/>
      <c r="F264" s="14" t="str">
        <f aca="false">IF(OR($A264="",$D264="",$E264=""),"",MAX(0,$E264-$D264))</f>
        <v/>
      </c>
      <c r="G264" s="14" t="str">
        <f aca="false">IF($A264="","",IF($E264&lt;&gt;"",IF(N($F264)&gt;0,"Entregue com atraso","Entregue no prazo"),IF($D264="","Sem data prometida",IF($D264&lt;$L$1,"ATRASADA","Aguardando"))))</f>
        <v/>
      </c>
      <c r="H264" s="15"/>
      <c r="I264" s="15"/>
    </row>
    <row r="265" customFormat="false" ht="21" hidden="false" customHeight="true" outlineLevel="0" collapsed="false">
      <c r="A265" s="14"/>
      <c r="B265" s="15"/>
      <c r="C265" s="13"/>
      <c r="D265" s="13"/>
      <c r="E265" s="13"/>
      <c r="F265" s="14" t="str">
        <f aca="false">IF(OR($A265="",$D265="",$E265=""),"",MAX(0,$E265-$D265))</f>
        <v/>
      </c>
      <c r="G265" s="14" t="str">
        <f aca="false">IF($A265="","",IF($E265&lt;&gt;"",IF(N($F265)&gt;0,"Entregue com atraso","Entregue no prazo"),IF($D265="","Sem data prometida",IF($D265&lt;$L$1,"ATRASADA","Aguardando"))))</f>
        <v/>
      </c>
      <c r="H265" s="15"/>
      <c r="I265" s="15"/>
    </row>
    <row r="266" customFormat="false" ht="21" hidden="false" customHeight="true" outlineLevel="0" collapsed="false">
      <c r="A266" s="14"/>
      <c r="B266" s="15"/>
      <c r="C266" s="13"/>
      <c r="D266" s="13"/>
      <c r="E266" s="13"/>
      <c r="F266" s="14" t="str">
        <f aca="false">IF(OR($A266="",$D266="",$E266=""),"",MAX(0,$E266-$D266))</f>
        <v/>
      </c>
      <c r="G266" s="14" t="str">
        <f aca="false">IF($A266="","",IF($E266&lt;&gt;"",IF(N($F266)&gt;0,"Entregue com atraso","Entregue no prazo"),IF($D266="","Sem data prometida",IF($D266&lt;$L$1,"ATRASADA","Aguardando"))))</f>
        <v/>
      </c>
      <c r="H266" s="15"/>
      <c r="I266" s="15"/>
    </row>
    <row r="267" customFormat="false" ht="21" hidden="false" customHeight="true" outlineLevel="0" collapsed="false">
      <c r="A267" s="14"/>
      <c r="B267" s="15"/>
      <c r="C267" s="13"/>
      <c r="D267" s="13"/>
      <c r="E267" s="13"/>
      <c r="F267" s="14" t="str">
        <f aca="false">IF(OR($A267="",$D267="",$E267=""),"",MAX(0,$E267-$D267))</f>
        <v/>
      </c>
      <c r="G267" s="14" t="str">
        <f aca="false">IF($A267="","",IF($E267&lt;&gt;"",IF(N($F267)&gt;0,"Entregue com atraso","Entregue no prazo"),IF($D267="","Sem data prometida",IF($D267&lt;$L$1,"ATRASADA","Aguardando"))))</f>
        <v/>
      </c>
      <c r="H267" s="15"/>
      <c r="I267" s="15"/>
    </row>
    <row r="268" customFormat="false" ht="21" hidden="false" customHeight="true" outlineLevel="0" collapsed="false">
      <c r="A268" s="14"/>
      <c r="B268" s="15"/>
      <c r="C268" s="13"/>
      <c r="D268" s="13"/>
      <c r="E268" s="13"/>
      <c r="F268" s="14" t="str">
        <f aca="false">IF(OR($A268="",$D268="",$E268=""),"",MAX(0,$E268-$D268))</f>
        <v/>
      </c>
      <c r="G268" s="14" t="str">
        <f aca="false">IF($A268="","",IF($E268&lt;&gt;"",IF(N($F268)&gt;0,"Entregue com atraso","Entregue no prazo"),IF($D268="","Sem data prometida",IF($D268&lt;$L$1,"ATRASADA","Aguardando"))))</f>
        <v/>
      </c>
      <c r="H268" s="15"/>
      <c r="I268" s="15"/>
    </row>
    <row r="269" customFormat="false" ht="21" hidden="false" customHeight="true" outlineLevel="0" collapsed="false">
      <c r="A269" s="14"/>
      <c r="B269" s="15"/>
      <c r="C269" s="13"/>
      <c r="D269" s="13"/>
      <c r="E269" s="13"/>
      <c r="F269" s="14" t="str">
        <f aca="false">IF(OR($A269="",$D269="",$E269=""),"",MAX(0,$E269-$D269))</f>
        <v/>
      </c>
      <c r="G269" s="14" t="str">
        <f aca="false">IF($A269="","",IF($E269&lt;&gt;"",IF(N($F269)&gt;0,"Entregue com atraso","Entregue no prazo"),IF($D269="","Sem data prometida",IF($D269&lt;$L$1,"ATRASADA","Aguardando"))))</f>
        <v/>
      </c>
      <c r="H269" s="15"/>
      <c r="I269" s="15"/>
    </row>
    <row r="270" customFormat="false" ht="21" hidden="false" customHeight="true" outlineLevel="0" collapsed="false">
      <c r="A270" s="14"/>
      <c r="B270" s="15"/>
      <c r="C270" s="13"/>
      <c r="D270" s="13"/>
      <c r="E270" s="13"/>
      <c r="F270" s="14" t="str">
        <f aca="false">IF(OR($A270="",$D270="",$E270=""),"",MAX(0,$E270-$D270))</f>
        <v/>
      </c>
      <c r="G270" s="14" t="str">
        <f aca="false">IF($A270="","",IF($E270&lt;&gt;"",IF(N($F270)&gt;0,"Entregue com atraso","Entregue no prazo"),IF($D270="","Sem data prometida",IF($D270&lt;$L$1,"ATRASADA","Aguardando"))))</f>
        <v/>
      </c>
      <c r="H270" s="15"/>
      <c r="I270" s="15"/>
    </row>
    <row r="271" customFormat="false" ht="21" hidden="false" customHeight="true" outlineLevel="0" collapsed="false">
      <c r="A271" s="14"/>
      <c r="B271" s="15"/>
      <c r="C271" s="13"/>
      <c r="D271" s="13"/>
      <c r="E271" s="13"/>
      <c r="F271" s="14" t="str">
        <f aca="false">IF(OR($A271="",$D271="",$E271=""),"",MAX(0,$E271-$D271))</f>
        <v/>
      </c>
      <c r="G271" s="14" t="str">
        <f aca="false">IF($A271="","",IF($E271&lt;&gt;"",IF(N($F271)&gt;0,"Entregue com atraso","Entregue no prazo"),IF($D271="","Sem data prometida",IF($D271&lt;$L$1,"ATRASADA","Aguardando"))))</f>
        <v/>
      </c>
      <c r="H271" s="15"/>
      <c r="I271" s="15"/>
    </row>
    <row r="272" customFormat="false" ht="21" hidden="false" customHeight="true" outlineLevel="0" collapsed="false">
      <c r="A272" s="14"/>
      <c r="B272" s="15"/>
      <c r="C272" s="13"/>
      <c r="D272" s="13"/>
      <c r="E272" s="13"/>
      <c r="F272" s="14" t="str">
        <f aca="false">IF(OR($A272="",$D272="",$E272=""),"",MAX(0,$E272-$D272))</f>
        <v/>
      </c>
      <c r="G272" s="14" t="str">
        <f aca="false">IF($A272="","",IF($E272&lt;&gt;"",IF(N($F272)&gt;0,"Entregue com atraso","Entregue no prazo"),IF($D272="","Sem data prometida",IF($D272&lt;$L$1,"ATRASADA","Aguardando"))))</f>
        <v/>
      </c>
      <c r="H272" s="15"/>
      <c r="I272" s="15"/>
    </row>
    <row r="273" customFormat="false" ht="21" hidden="false" customHeight="true" outlineLevel="0" collapsed="false">
      <c r="A273" s="14"/>
      <c r="B273" s="15"/>
      <c r="C273" s="13"/>
      <c r="D273" s="13"/>
      <c r="E273" s="13"/>
      <c r="F273" s="14" t="str">
        <f aca="false">IF(OR($A273="",$D273="",$E273=""),"",MAX(0,$E273-$D273))</f>
        <v/>
      </c>
      <c r="G273" s="14" t="str">
        <f aca="false">IF($A273="","",IF($E273&lt;&gt;"",IF(N($F273)&gt;0,"Entregue com atraso","Entregue no prazo"),IF($D273="","Sem data prometida",IF($D273&lt;$L$1,"ATRASADA","Aguardando"))))</f>
        <v/>
      </c>
      <c r="H273" s="15"/>
      <c r="I273" s="15"/>
    </row>
    <row r="274" customFormat="false" ht="21" hidden="false" customHeight="true" outlineLevel="0" collapsed="false">
      <c r="A274" s="14"/>
      <c r="B274" s="15"/>
      <c r="C274" s="13"/>
      <c r="D274" s="13"/>
      <c r="E274" s="13"/>
      <c r="F274" s="14" t="str">
        <f aca="false">IF(OR($A274="",$D274="",$E274=""),"",MAX(0,$E274-$D274))</f>
        <v/>
      </c>
      <c r="G274" s="14" t="str">
        <f aca="false">IF($A274="","",IF($E274&lt;&gt;"",IF(N($F274)&gt;0,"Entregue com atraso","Entregue no prazo"),IF($D274="","Sem data prometida",IF($D274&lt;$L$1,"ATRASADA","Aguardando"))))</f>
        <v/>
      </c>
      <c r="H274" s="15"/>
      <c r="I274" s="15"/>
    </row>
    <row r="275" customFormat="false" ht="21" hidden="false" customHeight="true" outlineLevel="0" collapsed="false">
      <c r="A275" s="14"/>
      <c r="B275" s="15"/>
      <c r="C275" s="13"/>
      <c r="D275" s="13"/>
      <c r="E275" s="13"/>
      <c r="F275" s="14" t="str">
        <f aca="false">IF(OR($A275="",$D275="",$E275=""),"",MAX(0,$E275-$D275))</f>
        <v/>
      </c>
      <c r="G275" s="14" t="str">
        <f aca="false">IF($A275="","",IF($E275&lt;&gt;"",IF(N($F275)&gt;0,"Entregue com atraso","Entregue no prazo"),IF($D275="","Sem data prometida",IF($D275&lt;$L$1,"ATRASADA","Aguardando"))))</f>
        <v/>
      </c>
      <c r="H275" s="15"/>
      <c r="I275" s="15"/>
    </row>
    <row r="276" customFormat="false" ht="21" hidden="false" customHeight="true" outlineLevel="0" collapsed="false">
      <c r="A276" s="14"/>
      <c r="B276" s="15"/>
      <c r="C276" s="13"/>
      <c r="D276" s="13"/>
      <c r="E276" s="13"/>
      <c r="F276" s="14" t="str">
        <f aca="false">IF(OR($A276="",$D276="",$E276=""),"",MAX(0,$E276-$D276))</f>
        <v/>
      </c>
      <c r="G276" s="14" t="str">
        <f aca="false">IF($A276="","",IF($E276&lt;&gt;"",IF(N($F276)&gt;0,"Entregue com atraso","Entregue no prazo"),IF($D276="","Sem data prometida",IF($D276&lt;$L$1,"ATRASADA","Aguardando"))))</f>
        <v/>
      </c>
      <c r="H276" s="15"/>
      <c r="I276" s="15"/>
    </row>
    <row r="277" customFormat="false" ht="21" hidden="false" customHeight="true" outlineLevel="0" collapsed="false">
      <c r="A277" s="14"/>
      <c r="B277" s="15"/>
      <c r="C277" s="13"/>
      <c r="D277" s="13"/>
      <c r="E277" s="13"/>
      <c r="F277" s="14" t="str">
        <f aca="false">IF(OR($A277="",$D277="",$E277=""),"",MAX(0,$E277-$D277))</f>
        <v/>
      </c>
      <c r="G277" s="14" t="str">
        <f aca="false">IF($A277="","",IF($E277&lt;&gt;"",IF(N($F277)&gt;0,"Entregue com atraso","Entregue no prazo"),IF($D277="","Sem data prometida",IF($D277&lt;$L$1,"ATRASADA","Aguardando"))))</f>
        <v/>
      </c>
      <c r="H277" s="15"/>
      <c r="I277" s="15"/>
    </row>
    <row r="278" customFormat="false" ht="21" hidden="false" customHeight="true" outlineLevel="0" collapsed="false">
      <c r="A278" s="14"/>
      <c r="B278" s="15"/>
      <c r="C278" s="13"/>
      <c r="D278" s="13"/>
      <c r="E278" s="13"/>
      <c r="F278" s="14" t="str">
        <f aca="false">IF(OR($A278="",$D278="",$E278=""),"",MAX(0,$E278-$D278))</f>
        <v/>
      </c>
      <c r="G278" s="14" t="str">
        <f aca="false">IF($A278="","",IF($E278&lt;&gt;"",IF(N($F278)&gt;0,"Entregue com atraso","Entregue no prazo"),IF($D278="","Sem data prometida",IF($D278&lt;$L$1,"ATRASADA","Aguardando"))))</f>
        <v/>
      </c>
      <c r="H278" s="15"/>
      <c r="I278" s="15"/>
    </row>
    <row r="279" customFormat="false" ht="21" hidden="false" customHeight="true" outlineLevel="0" collapsed="false">
      <c r="A279" s="14"/>
      <c r="B279" s="15"/>
      <c r="C279" s="13"/>
      <c r="D279" s="13"/>
      <c r="E279" s="13"/>
      <c r="F279" s="14" t="str">
        <f aca="false">IF(OR($A279="",$D279="",$E279=""),"",MAX(0,$E279-$D279))</f>
        <v/>
      </c>
      <c r="G279" s="14" t="str">
        <f aca="false">IF($A279="","",IF($E279&lt;&gt;"",IF(N($F279)&gt;0,"Entregue com atraso","Entregue no prazo"),IF($D279="","Sem data prometida",IF($D279&lt;$L$1,"ATRASADA","Aguardando"))))</f>
        <v/>
      </c>
      <c r="H279" s="15"/>
      <c r="I279" s="15"/>
    </row>
    <row r="280" customFormat="false" ht="21" hidden="false" customHeight="true" outlineLevel="0" collapsed="false">
      <c r="A280" s="14"/>
      <c r="B280" s="15"/>
      <c r="C280" s="13"/>
      <c r="D280" s="13"/>
      <c r="E280" s="13"/>
      <c r="F280" s="14" t="str">
        <f aca="false">IF(OR($A280="",$D280="",$E280=""),"",MAX(0,$E280-$D280))</f>
        <v/>
      </c>
      <c r="G280" s="14" t="str">
        <f aca="false">IF($A280="","",IF($E280&lt;&gt;"",IF(N($F280)&gt;0,"Entregue com atraso","Entregue no prazo"),IF($D280="","Sem data prometida",IF($D280&lt;$L$1,"ATRASADA","Aguardando"))))</f>
        <v/>
      </c>
      <c r="H280" s="15"/>
      <c r="I280" s="15"/>
    </row>
    <row r="281" customFormat="false" ht="21" hidden="false" customHeight="true" outlineLevel="0" collapsed="false">
      <c r="A281" s="14"/>
      <c r="B281" s="15"/>
      <c r="C281" s="13"/>
      <c r="D281" s="13"/>
      <c r="E281" s="13"/>
      <c r="F281" s="14" t="str">
        <f aca="false">IF(OR($A281="",$D281="",$E281=""),"",MAX(0,$E281-$D281))</f>
        <v/>
      </c>
      <c r="G281" s="14" t="str">
        <f aca="false">IF($A281="","",IF($E281&lt;&gt;"",IF(N($F281)&gt;0,"Entregue com atraso","Entregue no prazo"),IF($D281="","Sem data prometida",IF($D281&lt;$L$1,"ATRASADA","Aguardando"))))</f>
        <v/>
      </c>
      <c r="H281" s="15"/>
      <c r="I281" s="15"/>
    </row>
    <row r="282" customFormat="false" ht="21" hidden="false" customHeight="true" outlineLevel="0" collapsed="false">
      <c r="A282" s="14"/>
      <c r="B282" s="15"/>
      <c r="C282" s="13"/>
      <c r="D282" s="13"/>
      <c r="E282" s="13"/>
      <c r="F282" s="14" t="str">
        <f aca="false">IF(OR($A282="",$D282="",$E282=""),"",MAX(0,$E282-$D282))</f>
        <v/>
      </c>
      <c r="G282" s="14" t="str">
        <f aca="false">IF($A282="","",IF($E282&lt;&gt;"",IF(N($F282)&gt;0,"Entregue com atraso","Entregue no prazo"),IF($D282="","Sem data prometida",IF($D282&lt;$L$1,"ATRASADA","Aguardando"))))</f>
        <v/>
      </c>
      <c r="H282" s="15"/>
      <c r="I282" s="15"/>
    </row>
    <row r="283" customFormat="false" ht="21" hidden="false" customHeight="true" outlineLevel="0" collapsed="false">
      <c r="A283" s="14"/>
      <c r="B283" s="15"/>
      <c r="C283" s="13"/>
      <c r="D283" s="13"/>
      <c r="E283" s="13"/>
      <c r="F283" s="14" t="str">
        <f aca="false">IF(OR($A283="",$D283="",$E283=""),"",MAX(0,$E283-$D283))</f>
        <v/>
      </c>
      <c r="G283" s="14" t="str">
        <f aca="false">IF($A283="","",IF($E283&lt;&gt;"",IF(N($F283)&gt;0,"Entregue com atraso","Entregue no prazo"),IF($D283="","Sem data prometida",IF($D283&lt;$L$1,"ATRASADA","Aguardando"))))</f>
        <v/>
      </c>
      <c r="H283" s="15"/>
      <c r="I283" s="15"/>
    </row>
    <row r="284" customFormat="false" ht="21" hidden="false" customHeight="true" outlineLevel="0" collapsed="false">
      <c r="A284" s="14"/>
      <c r="B284" s="15"/>
      <c r="C284" s="13"/>
      <c r="D284" s="13"/>
      <c r="E284" s="13"/>
      <c r="F284" s="14" t="str">
        <f aca="false">IF(OR($A284="",$D284="",$E284=""),"",MAX(0,$E284-$D284))</f>
        <v/>
      </c>
      <c r="G284" s="14" t="str">
        <f aca="false">IF($A284="","",IF($E284&lt;&gt;"",IF(N($F284)&gt;0,"Entregue com atraso","Entregue no prazo"),IF($D284="","Sem data prometida",IF($D284&lt;$L$1,"ATRASADA","Aguardando"))))</f>
        <v/>
      </c>
      <c r="H284" s="15"/>
      <c r="I284" s="15"/>
    </row>
    <row r="285" customFormat="false" ht="21" hidden="false" customHeight="true" outlineLevel="0" collapsed="false">
      <c r="A285" s="14"/>
      <c r="B285" s="15"/>
      <c r="C285" s="13"/>
      <c r="D285" s="13"/>
      <c r="E285" s="13"/>
      <c r="F285" s="14" t="str">
        <f aca="false">IF(OR($A285="",$D285="",$E285=""),"",MAX(0,$E285-$D285))</f>
        <v/>
      </c>
      <c r="G285" s="14" t="str">
        <f aca="false">IF($A285="","",IF($E285&lt;&gt;"",IF(N($F285)&gt;0,"Entregue com atraso","Entregue no prazo"),IF($D285="","Sem data prometida",IF($D285&lt;$L$1,"ATRASADA","Aguardando"))))</f>
        <v/>
      </c>
      <c r="H285" s="15"/>
      <c r="I285" s="15"/>
    </row>
    <row r="286" customFormat="false" ht="21" hidden="false" customHeight="true" outlineLevel="0" collapsed="false">
      <c r="A286" s="14"/>
      <c r="B286" s="15"/>
      <c r="C286" s="13"/>
      <c r="D286" s="13"/>
      <c r="E286" s="13"/>
      <c r="F286" s="14" t="str">
        <f aca="false">IF(OR($A286="",$D286="",$E286=""),"",MAX(0,$E286-$D286))</f>
        <v/>
      </c>
      <c r="G286" s="14" t="str">
        <f aca="false">IF($A286="","",IF($E286&lt;&gt;"",IF(N($F286)&gt;0,"Entregue com atraso","Entregue no prazo"),IF($D286="","Sem data prometida",IF($D286&lt;$L$1,"ATRASADA","Aguardando"))))</f>
        <v/>
      </c>
      <c r="H286" s="15"/>
      <c r="I286" s="15"/>
    </row>
    <row r="287" customFormat="false" ht="21" hidden="false" customHeight="true" outlineLevel="0" collapsed="false">
      <c r="A287" s="14"/>
      <c r="B287" s="15"/>
      <c r="C287" s="13"/>
      <c r="D287" s="13"/>
      <c r="E287" s="13"/>
      <c r="F287" s="14" t="str">
        <f aca="false">IF(OR($A287="",$D287="",$E287=""),"",MAX(0,$E287-$D287))</f>
        <v/>
      </c>
      <c r="G287" s="14" t="str">
        <f aca="false">IF($A287="","",IF($E287&lt;&gt;"",IF(N($F287)&gt;0,"Entregue com atraso","Entregue no prazo"),IF($D287="","Sem data prometida",IF($D287&lt;$L$1,"ATRASADA","Aguardando"))))</f>
        <v/>
      </c>
      <c r="H287" s="15"/>
      <c r="I287" s="15"/>
    </row>
    <row r="288" customFormat="false" ht="21" hidden="false" customHeight="true" outlineLevel="0" collapsed="false">
      <c r="A288" s="14"/>
      <c r="B288" s="15"/>
      <c r="C288" s="13"/>
      <c r="D288" s="13"/>
      <c r="E288" s="13"/>
      <c r="F288" s="14" t="str">
        <f aca="false">IF(OR($A288="",$D288="",$E288=""),"",MAX(0,$E288-$D288))</f>
        <v/>
      </c>
      <c r="G288" s="14" t="str">
        <f aca="false">IF($A288="","",IF($E288&lt;&gt;"",IF(N($F288)&gt;0,"Entregue com atraso","Entregue no prazo"),IF($D288="","Sem data prometida",IF($D288&lt;$L$1,"ATRASADA","Aguardando"))))</f>
        <v/>
      </c>
      <c r="H288" s="15"/>
      <c r="I288" s="15"/>
    </row>
    <row r="289" customFormat="false" ht="21" hidden="false" customHeight="true" outlineLevel="0" collapsed="false">
      <c r="A289" s="14"/>
      <c r="B289" s="15"/>
      <c r="C289" s="13"/>
      <c r="D289" s="13"/>
      <c r="E289" s="13"/>
      <c r="F289" s="14" t="str">
        <f aca="false">IF(OR($A289="",$D289="",$E289=""),"",MAX(0,$E289-$D289))</f>
        <v/>
      </c>
      <c r="G289" s="14" t="str">
        <f aca="false">IF($A289="","",IF($E289&lt;&gt;"",IF(N($F289)&gt;0,"Entregue com atraso","Entregue no prazo"),IF($D289="","Sem data prometida",IF($D289&lt;$L$1,"ATRASADA","Aguardando"))))</f>
        <v/>
      </c>
      <c r="H289" s="15"/>
      <c r="I289" s="15"/>
    </row>
    <row r="290" customFormat="false" ht="21" hidden="false" customHeight="true" outlineLevel="0" collapsed="false">
      <c r="A290" s="14"/>
      <c r="B290" s="15"/>
      <c r="C290" s="13"/>
      <c r="D290" s="13"/>
      <c r="E290" s="13"/>
      <c r="F290" s="14" t="str">
        <f aca="false">IF(OR($A290="",$D290="",$E290=""),"",MAX(0,$E290-$D290))</f>
        <v/>
      </c>
      <c r="G290" s="14" t="str">
        <f aca="false">IF($A290="","",IF($E290&lt;&gt;"",IF(N($F290)&gt;0,"Entregue com atraso","Entregue no prazo"),IF($D290="","Sem data prometida",IF($D290&lt;$L$1,"ATRASADA","Aguardando"))))</f>
        <v/>
      </c>
      <c r="H290" s="15"/>
      <c r="I290" s="15"/>
    </row>
    <row r="291" customFormat="false" ht="21" hidden="false" customHeight="true" outlineLevel="0" collapsed="false">
      <c r="A291" s="14"/>
      <c r="B291" s="15"/>
      <c r="C291" s="13"/>
      <c r="D291" s="13"/>
      <c r="E291" s="13"/>
      <c r="F291" s="14" t="str">
        <f aca="false">IF(OR($A291="",$D291="",$E291=""),"",MAX(0,$E291-$D291))</f>
        <v/>
      </c>
      <c r="G291" s="14" t="str">
        <f aca="false">IF($A291="","",IF($E291&lt;&gt;"",IF(N($F291)&gt;0,"Entregue com atraso","Entregue no prazo"),IF($D291="","Sem data prometida",IF($D291&lt;$L$1,"ATRASADA","Aguardando"))))</f>
        <v/>
      </c>
      <c r="H291" s="15"/>
      <c r="I291" s="15"/>
    </row>
    <row r="292" customFormat="false" ht="21" hidden="false" customHeight="true" outlineLevel="0" collapsed="false">
      <c r="A292" s="14"/>
      <c r="B292" s="15"/>
      <c r="C292" s="13"/>
      <c r="D292" s="13"/>
      <c r="E292" s="13"/>
      <c r="F292" s="14" t="str">
        <f aca="false">IF(OR($A292="",$D292="",$E292=""),"",MAX(0,$E292-$D292))</f>
        <v/>
      </c>
      <c r="G292" s="14" t="str">
        <f aca="false">IF($A292="","",IF($E292&lt;&gt;"",IF(N($F292)&gt;0,"Entregue com atraso","Entregue no prazo"),IF($D292="","Sem data prometida",IF($D292&lt;$L$1,"ATRASADA","Aguardando"))))</f>
        <v/>
      </c>
      <c r="H292" s="15"/>
      <c r="I292" s="15"/>
    </row>
    <row r="293" customFormat="false" ht="21" hidden="false" customHeight="true" outlineLevel="0" collapsed="false">
      <c r="A293" s="14"/>
      <c r="B293" s="15"/>
      <c r="C293" s="13"/>
      <c r="D293" s="13"/>
      <c r="E293" s="13"/>
      <c r="F293" s="14" t="str">
        <f aca="false">IF(OR($A293="",$D293="",$E293=""),"",MAX(0,$E293-$D293))</f>
        <v/>
      </c>
      <c r="G293" s="14" t="str">
        <f aca="false">IF($A293="","",IF($E293&lt;&gt;"",IF(N($F293)&gt;0,"Entregue com atraso","Entregue no prazo"),IF($D293="","Sem data prometida",IF($D293&lt;$L$1,"ATRASADA","Aguardando"))))</f>
        <v/>
      </c>
      <c r="H293" s="15"/>
      <c r="I293" s="15"/>
    </row>
    <row r="294" customFormat="false" ht="21" hidden="false" customHeight="true" outlineLevel="0" collapsed="false">
      <c r="A294" s="14"/>
      <c r="B294" s="15"/>
      <c r="C294" s="13"/>
      <c r="D294" s="13"/>
      <c r="E294" s="13"/>
      <c r="F294" s="14" t="str">
        <f aca="false">IF(OR($A294="",$D294="",$E294=""),"",MAX(0,$E294-$D294))</f>
        <v/>
      </c>
      <c r="G294" s="14" t="str">
        <f aca="false">IF($A294="","",IF($E294&lt;&gt;"",IF(N($F294)&gt;0,"Entregue com atraso","Entregue no prazo"),IF($D294="","Sem data prometida",IF($D294&lt;$L$1,"ATRASADA","Aguardando"))))</f>
        <v/>
      </c>
      <c r="H294" s="15"/>
      <c r="I294" s="15"/>
    </row>
    <row r="295" customFormat="false" ht="21" hidden="false" customHeight="true" outlineLevel="0" collapsed="false">
      <c r="A295" s="14"/>
      <c r="B295" s="15"/>
      <c r="C295" s="13"/>
      <c r="D295" s="13"/>
      <c r="E295" s="13"/>
      <c r="F295" s="14" t="str">
        <f aca="false">IF(OR($A295="",$D295="",$E295=""),"",MAX(0,$E295-$D295))</f>
        <v/>
      </c>
      <c r="G295" s="14" t="str">
        <f aca="false">IF($A295="","",IF($E295&lt;&gt;"",IF(N($F295)&gt;0,"Entregue com atraso","Entregue no prazo"),IF($D295="","Sem data prometida",IF($D295&lt;$L$1,"ATRASADA","Aguardando"))))</f>
        <v/>
      </c>
      <c r="H295" s="15"/>
      <c r="I295" s="15"/>
    </row>
    <row r="296" customFormat="false" ht="21" hidden="false" customHeight="true" outlineLevel="0" collapsed="false">
      <c r="A296" s="14"/>
      <c r="B296" s="15"/>
      <c r="C296" s="13"/>
      <c r="D296" s="13"/>
      <c r="E296" s="13"/>
      <c r="F296" s="14" t="str">
        <f aca="false">IF(OR($A296="",$D296="",$E296=""),"",MAX(0,$E296-$D296))</f>
        <v/>
      </c>
      <c r="G296" s="14" t="str">
        <f aca="false">IF($A296="","",IF($E296&lt;&gt;"",IF(N($F296)&gt;0,"Entregue com atraso","Entregue no prazo"),IF($D296="","Sem data prometida",IF($D296&lt;$L$1,"ATRASADA","Aguardando"))))</f>
        <v/>
      </c>
      <c r="H296" s="15"/>
      <c r="I296" s="15"/>
    </row>
    <row r="297" customFormat="false" ht="21" hidden="false" customHeight="true" outlineLevel="0" collapsed="false">
      <c r="A297" s="14"/>
      <c r="B297" s="15"/>
      <c r="C297" s="13"/>
      <c r="D297" s="13"/>
      <c r="E297" s="13"/>
      <c r="F297" s="14" t="str">
        <f aca="false">IF(OR($A297="",$D297="",$E297=""),"",MAX(0,$E297-$D297))</f>
        <v/>
      </c>
      <c r="G297" s="14" t="str">
        <f aca="false">IF($A297="","",IF($E297&lt;&gt;"",IF(N($F297)&gt;0,"Entregue com atraso","Entregue no prazo"),IF($D297="","Sem data prometida",IF($D297&lt;$L$1,"ATRASADA","Aguardando"))))</f>
        <v/>
      </c>
      <c r="H297" s="15"/>
      <c r="I297" s="15"/>
    </row>
    <row r="298" customFormat="false" ht="21" hidden="false" customHeight="true" outlineLevel="0" collapsed="false">
      <c r="A298" s="14"/>
      <c r="B298" s="15"/>
      <c r="C298" s="13"/>
      <c r="D298" s="13"/>
      <c r="E298" s="13"/>
      <c r="F298" s="14" t="str">
        <f aca="false">IF(OR($A298="",$D298="",$E298=""),"",MAX(0,$E298-$D298))</f>
        <v/>
      </c>
      <c r="G298" s="14" t="str">
        <f aca="false">IF($A298="","",IF($E298&lt;&gt;"",IF(N($F298)&gt;0,"Entregue com atraso","Entregue no prazo"),IF($D298="","Sem data prometida",IF($D298&lt;$L$1,"ATRASADA","Aguardando"))))</f>
        <v/>
      </c>
      <c r="H298" s="15"/>
      <c r="I298" s="15"/>
    </row>
    <row r="299" customFormat="false" ht="21" hidden="false" customHeight="true" outlineLevel="0" collapsed="false">
      <c r="A299" s="14"/>
      <c r="B299" s="15"/>
      <c r="C299" s="13"/>
      <c r="D299" s="13"/>
      <c r="E299" s="13"/>
      <c r="F299" s="14" t="str">
        <f aca="false">IF(OR($A299="",$D299="",$E299=""),"",MAX(0,$E299-$D299))</f>
        <v/>
      </c>
      <c r="G299" s="14" t="str">
        <f aca="false">IF($A299="","",IF($E299&lt;&gt;"",IF(N($F299)&gt;0,"Entregue com atraso","Entregue no prazo"),IF($D299="","Sem data prometida",IF($D299&lt;$L$1,"ATRASADA","Aguardando"))))</f>
        <v/>
      </c>
      <c r="H299" s="15"/>
      <c r="I299" s="15"/>
    </row>
    <row r="300" customFormat="false" ht="21" hidden="false" customHeight="true" outlineLevel="0" collapsed="false">
      <c r="A300" s="14"/>
      <c r="B300" s="15"/>
      <c r="C300" s="13"/>
      <c r="D300" s="13"/>
      <c r="E300" s="13"/>
      <c r="F300" s="14" t="str">
        <f aca="false">IF(OR($A300="",$D300="",$E300=""),"",MAX(0,$E300-$D300))</f>
        <v/>
      </c>
      <c r="G300" s="14" t="str">
        <f aca="false">IF($A300="","",IF($E300&lt;&gt;"",IF(N($F300)&gt;0,"Entregue com atraso","Entregue no prazo"),IF($D300="","Sem data prometida",IF($D300&lt;$L$1,"ATRASADA","Aguardando"))))</f>
        <v/>
      </c>
      <c r="H300" s="15"/>
      <c r="I300" s="15"/>
    </row>
    <row r="301" customFormat="false" ht="21" hidden="false" customHeight="true" outlineLevel="0" collapsed="false">
      <c r="A301" s="14"/>
      <c r="B301" s="15"/>
      <c r="C301" s="13"/>
      <c r="D301" s="13"/>
      <c r="E301" s="13"/>
      <c r="F301" s="14" t="str">
        <f aca="false">IF(OR($A301="",$D301="",$E301=""),"",MAX(0,$E301-$D301))</f>
        <v/>
      </c>
      <c r="G301" s="14" t="str">
        <f aca="false">IF($A301="","",IF($E301&lt;&gt;"",IF(N($F301)&gt;0,"Entregue com atraso","Entregue no prazo"),IF($D301="","Sem data prometida",IF($D301&lt;$L$1,"ATRASADA","Aguardando"))))</f>
        <v/>
      </c>
      <c r="H301" s="15"/>
      <c r="I301" s="15"/>
    </row>
    <row r="302" customFormat="false" ht="21" hidden="false" customHeight="true" outlineLevel="0" collapsed="false">
      <c r="A302" s="14"/>
      <c r="B302" s="15"/>
      <c r="C302" s="13"/>
      <c r="D302" s="13"/>
      <c r="E302" s="13"/>
      <c r="F302" s="14" t="str">
        <f aca="false">IF(OR($A302="",$D302="",$E302=""),"",MAX(0,$E302-$D302))</f>
        <v/>
      </c>
      <c r="G302" s="14" t="str">
        <f aca="false">IF($A302="","",IF($E302&lt;&gt;"",IF(N($F302)&gt;0,"Entregue com atraso","Entregue no prazo"),IF($D302="","Sem data prometida",IF($D302&lt;$L$1,"ATRASADA","Aguardando"))))</f>
        <v/>
      </c>
      <c r="H302" s="15"/>
      <c r="I302" s="15"/>
    </row>
    <row r="303" customFormat="false" ht="21" hidden="false" customHeight="true" outlineLevel="0" collapsed="false">
      <c r="A303" s="14"/>
      <c r="B303" s="15"/>
      <c r="C303" s="13"/>
      <c r="D303" s="13"/>
      <c r="E303" s="13"/>
      <c r="F303" s="14" t="str">
        <f aca="false">IF(OR($A303="",$D303="",$E303=""),"",MAX(0,$E303-$D303))</f>
        <v/>
      </c>
      <c r="G303" s="14" t="str">
        <f aca="false">IF($A303="","",IF($E303&lt;&gt;"",IF(N($F303)&gt;0,"Entregue com atraso","Entregue no prazo"),IF($D303="","Sem data prometida",IF($D303&lt;$L$1,"ATRASADA","Aguardando"))))</f>
        <v/>
      </c>
      <c r="H303" s="15"/>
      <c r="I303" s="15"/>
    </row>
    <row r="304" customFormat="false" ht="21" hidden="false" customHeight="true" outlineLevel="0" collapsed="false">
      <c r="A304" s="14"/>
      <c r="B304" s="15"/>
      <c r="C304" s="13"/>
      <c r="D304" s="13"/>
      <c r="E304" s="13"/>
      <c r="F304" s="14" t="str">
        <f aca="false">IF(OR($A304="",$D304="",$E304=""),"",MAX(0,$E304-$D304))</f>
        <v/>
      </c>
      <c r="G304" s="14" t="str">
        <f aca="false">IF($A304="","",IF($E304&lt;&gt;"",IF(N($F304)&gt;0,"Entregue com atraso","Entregue no prazo"),IF($D304="","Sem data prometida",IF($D304&lt;$L$1,"ATRASADA","Aguardando"))))</f>
        <v/>
      </c>
      <c r="H304" s="15"/>
      <c r="I304" s="15"/>
    </row>
    <row r="305" customFormat="false" ht="21" hidden="false" customHeight="true" outlineLevel="0" collapsed="false">
      <c r="A305" s="14"/>
      <c r="B305" s="15"/>
      <c r="C305" s="13"/>
      <c r="D305" s="13"/>
      <c r="E305" s="13"/>
      <c r="F305" s="14" t="str">
        <f aca="false">IF(OR($A305="",$D305="",$E305=""),"",MAX(0,$E305-$D305))</f>
        <v/>
      </c>
      <c r="G305" s="14" t="str">
        <f aca="false">IF($A305="","",IF($E305&lt;&gt;"",IF(N($F305)&gt;0,"Entregue com atraso","Entregue no prazo"),IF($D305="","Sem data prometida",IF($D305&lt;$L$1,"ATRASADA","Aguardando"))))</f>
        <v/>
      </c>
      <c r="H305" s="15"/>
      <c r="I305" s="15"/>
    </row>
    <row r="306" customFormat="false" ht="21" hidden="false" customHeight="true" outlineLevel="0" collapsed="false">
      <c r="A306" s="14"/>
      <c r="B306" s="15"/>
      <c r="C306" s="13"/>
      <c r="D306" s="13"/>
      <c r="E306" s="13"/>
      <c r="F306" s="14" t="str">
        <f aca="false">IF(OR($A306="",$D306="",$E306=""),"",MAX(0,$E306-$D306))</f>
        <v/>
      </c>
      <c r="G306" s="14" t="str">
        <f aca="false">IF($A306="","",IF($E306&lt;&gt;"",IF(N($F306)&gt;0,"Entregue com atraso","Entregue no prazo"),IF($D306="","Sem data prometida",IF($D306&lt;$L$1,"ATRASADA","Aguardando"))))</f>
        <v/>
      </c>
      <c r="H306" s="15"/>
      <c r="I306" s="15"/>
    </row>
    <row r="307" customFormat="false" ht="21" hidden="false" customHeight="true" outlineLevel="0" collapsed="false">
      <c r="A307" s="14"/>
      <c r="B307" s="15"/>
      <c r="C307" s="13"/>
      <c r="D307" s="13"/>
      <c r="E307" s="13"/>
      <c r="F307" s="14" t="str">
        <f aca="false">IF(OR($A307="",$D307="",$E307=""),"",MAX(0,$E307-$D307))</f>
        <v/>
      </c>
      <c r="G307" s="14" t="str">
        <f aca="false">IF($A307="","",IF($E307&lt;&gt;"",IF(N($F307)&gt;0,"Entregue com atraso","Entregue no prazo"),IF($D307="","Sem data prometida",IF($D307&lt;$L$1,"ATRASADA","Aguardando"))))</f>
        <v/>
      </c>
      <c r="H307" s="15"/>
      <c r="I307" s="15"/>
    </row>
    <row r="308" customFormat="false" ht="21" hidden="false" customHeight="true" outlineLevel="0" collapsed="false">
      <c r="A308" s="14"/>
      <c r="B308" s="15"/>
      <c r="C308" s="13"/>
      <c r="D308" s="13"/>
      <c r="E308" s="13"/>
      <c r="F308" s="14" t="str">
        <f aca="false">IF(OR($A308="",$D308="",$E308=""),"",MAX(0,$E308-$D308))</f>
        <v/>
      </c>
      <c r="G308" s="14" t="str">
        <f aca="false">IF($A308="","",IF($E308&lt;&gt;"",IF(N($F308)&gt;0,"Entregue com atraso","Entregue no prazo"),IF($D308="","Sem data prometida",IF($D308&lt;$L$1,"ATRASADA","Aguardando"))))</f>
        <v/>
      </c>
      <c r="H308" s="15"/>
      <c r="I308" s="15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16">
      <formula>0.85</formula>
    </cfRule>
    <cfRule type="cellIs" priority="3" operator="lessThan" aboveAverage="0" equalAverage="0" bottom="0" percent="0" rank="0" text="" dxfId="17">
      <formula>0.6</formula>
    </cfRule>
  </conditionalFormatting>
  <conditionalFormatting sqref="G9:G308">
    <cfRule type="expression" priority="4" aboveAverage="0" equalAverage="0" bottom="0" percent="0" rank="0" text="" dxfId="9">
      <formula>$G9="Entregue no prazo"</formula>
    </cfRule>
    <cfRule type="expression" priority="5" aboveAverage="0" equalAverage="0" bottom="0" percent="0" rank="0" text="" dxfId="11">
      <formula>$G9="Entregue com atraso"</formula>
    </cfRule>
    <cfRule type="expression" priority="6" aboveAverage="0" equalAverage="0" bottom="0" percent="0" rank="0" text="" dxfId="10">
      <formula>$G9="ATRASADA"</formula>
    </cfRule>
    <cfRule type="expression" priority="7" aboveAverage="0" equalAverage="0" bottom="0" percent="0" rank="0" text="" dxfId="18">
      <formula>$G9="Aguardando"</formula>
    </cfRule>
    <cfRule type="expression" priority="8" aboveAverage="0" equalAverage="0" bottom="0" percent="0" rank="0" text="" dxfId="19">
      <formula>$G9="Sem data prometida"</formula>
    </cfRule>
  </conditionalFormatting>
  <conditionalFormatting sqref="F9:F308">
    <cfRule type="expression" priority="9" aboveAverage="0" equalAverage="0" bottom="0" percent="0" rank="0" text="" dxfId="10">
      <formula>N($F9)&gt;0</formula>
    </cfRule>
  </conditionalFormatting>
  <conditionalFormatting sqref="D9:D308">
    <cfRule type="expression" priority="10" aboveAverage="0" equalAverage="0" bottom="0" percent="0" rank="0" text="" dxfId="10">
      <formula>AND($A9&lt;&gt;"",$D9&lt;&gt;"",$E9="",$D9&lt;$L$1)</formula>
    </cfRule>
  </conditionalFormatting>
  <conditionalFormatting sqref="A9:I308">
    <cfRule type="expression" priority="11" aboveAverage="0" equalAverage="0" bottom="0" percent="0" rank="0" text="" dxfId="13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Listas!$A$2:$A$81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2026-09-02T18:50:21Z</dcterms:created>
  <dc:creator>openpyxl</dc:creator>
  <dc:description/>
  <dc:language>en-US</dc:language>
  <cp:lastModifiedBy/>
  <dcterms:modified xsi:type="dcterms:W3CDTF">2026-09-02T18:50:22Z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